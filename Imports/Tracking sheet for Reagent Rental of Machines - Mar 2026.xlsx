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18.xml" ContentType="application/vnd.openxmlformats-officedocument.spreadsheetml.pivotTable+xml"/>
  <Override PartName="/xl/customProperty1.bin" ContentType="application/vnd.openxmlformats-officedocument.spreadsheetml.customProperty"/>
  <Override PartName="/xl/drawings/drawing4.xml" ContentType="application/vnd.openxmlformats-officedocument.drawing+xml"/>
  <Override PartName="/xl/tables/table2.xml" ContentType="application/vnd.openxmlformats-officedocument.spreadsheetml.table+xml"/>
  <Override PartName="/xl/slicers/slicer3.xml" ContentType="application/vnd.ms-excel.slicer+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q\ix\MartinDow\PartialSB-MartinDow\Imports\"/>
    </mc:Choice>
  </mc:AlternateContent>
  <xr:revisionPtr revIDLastSave="0" documentId="13_ncr:1_{44C10164-57D5-4716-B4AD-1E10A7135192}" xr6:coauthVersionLast="47" xr6:coauthVersionMax="47" xr10:uidLastSave="{00000000-0000-0000-0000-000000000000}"/>
  <bookViews>
    <workbookView xWindow="-108" yWindow="-108" windowWidth="23256" windowHeight="12456" tabRatio="810" firstSheet="2" activeTab="10" xr2:uid="{00000000-000D-0000-FFFF-FFFF00000000}"/>
  </bookViews>
  <sheets>
    <sheet name="Sheet6" sheetId="16" state="hidden" r:id="rId1"/>
    <sheet name="Sheet1" sheetId="21" state="hidden" r:id="rId2"/>
    <sheet name="Technology Wise Summary" sheetId="20" r:id="rId3"/>
    <sheet name="Sheet5" sheetId="24" state="hidden" r:id="rId4"/>
    <sheet name="Sheet7" sheetId="25" state="hidden" r:id="rId5"/>
    <sheet name="Main Pivot (3)" sheetId="26" state="hidden" r:id="rId6"/>
    <sheet name="Sheet8" sheetId="31" state="hidden" r:id="rId7"/>
    <sheet name="Customer Wise Summary" sheetId="28" r:id="rId8"/>
    <sheet name="Comments" sheetId="29" state="hidden" r:id="rId9"/>
    <sheet name="AB Report" sheetId="27" state="hidden" r:id="rId10"/>
    <sheet name="Data" sheetId="8" r:id="rId11"/>
    <sheet name="Sheet3" sheetId="23" state="hidden" r:id="rId12"/>
    <sheet name="Revised &amp; Closed" sheetId="18" state="hidden" r:id="rId13"/>
    <sheet name="Sales (Dec-Jan)" sheetId="13" state="hidden" r:id="rId14"/>
    <sheet name="Sheet2" sheetId="10" state="hidden" r:id="rId15"/>
    <sheet name="Pivot Summary" sheetId="9" state="hidden" r:id="rId16"/>
    <sheet name="Sheet4" sheetId="5" state="hidden" r:id="rId17"/>
    <sheet name="Sheet1 (2)" sheetId="4" state="hidden" r:id="rId18"/>
    <sheet name="Main Pivot (2)" sheetId="22" state="hidden" r:id="rId19"/>
  </sheets>
  <definedNames>
    <definedName name="_xlnm._FilterDatabase" localSheetId="9" hidden="1">'AB Report'!$A$12:$L$70</definedName>
    <definedName name="_xlnm._FilterDatabase" localSheetId="8" hidden="1">Comments!$A$8:$O$115</definedName>
    <definedName name="_xlnm._FilterDatabase" localSheetId="10" hidden="1">Data!#REF!</definedName>
    <definedName name="_xlnm._FilterDatabase" localSheetId="17" hidden="1">'Sheet1 (2)'!$A$5:$AI$19</definedName>
    <definedName name="_xlnm._FilterDatabase" localSheetId="11" hidden="1">Sheet3!$A$3:$L$118</definedName>
    <definedName name="_xlnm.Print_Area" localSheetId="10">Data!$A$7:$CV$187</definedName>
    <definedName name="Slicer_Machine_Name1">#N/A</definedName>
    <definedName name="Slicer_Machine_Name3">#N/A</definedName>
    <definedName name="Slicer_Region1">#N/A</definedName>
    <definedName name="Slicer_Region2">#N/A</definedName>
    <definedName name="Slicer_Region3">#N/A</definedName>
    <definedName name="Slicer_Supplier_name">#N/A</definedName>
    <definedName name="Slicer_Supplier_name1">#N/A</definedName>
  </definedNames>
  <calcPr calcId="191029"/>
  <pivotCaches>
    <pivotCache cacheId="0" r:id="rId20"/>
    <pivotCache cacheId="1" r:id="rId21"/>
    <pivotCache cacheId="2" r:id="rId22"/>
    <pivotCache cacheId="3" r:id="rId23"/>
    <pivotCache cacheId="4" r:id="rId24"/>
    <pivotCache cacheId="5" r:id="rId25"/>
  </pivotCaches>
  <extLs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4:slicerCache r:id="rId30"/>
        <x14:slicerCache r:id="rId31"/>
        <x14:slicerCache r:id="rId3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3" i="20" l="1"/>
  <c r="AE15" i="20"/>
  <c r="AE16" i="20"/>
  <c r="AE17" i="20"/>
  <c r="AE18" i="20"/>
  <c r="AE19" i="20"/>
  <c r="AE20" i="20"/>
  <c r="AE21" i="20"/>
  <c r="AE22" i="20"/>
  <c r="AE14" i="20"/>
  <c r="AD15" i="20"/>
  <c r="AD16" i="20"/>
  <c r="AD17" i="20"/>
  <c r="AD18" i="20"/>
  <c r="AD19" i="20"/>
  <c r="AD20" i="20"/>
  <c r="AD21" i="20"/>
  <c r="AD22" i="20"/>
  <c r="AD23" i="20"/>
  <c r="AD14" i="20"/>
  <c r="CI196" i="8"/>
  <c r="CI162" i="8"/>
  <c r="CI160" i="8"/>
  <c r="CH162" i="8"/>
  <c r="CH160" i="8"/>
  <c r="BD15" i="8"/>
  <c r="M7" i="28"/>
  <c r="M8" i="28"/>
  <c r="M9" i="28"/>
  <c r="M10" i="28"/>
  <c r="M11" i="28"/>
  <c r="M12" i="28"/>
  <c r="M13" i="28"/>
  <c r="M14" i="28"/>
  <c r="M15" i="28"/>
  <c r="M16" i="28"/>
  <c r="M17" i="28"/>
  <c r="M18" i="28"/>
  <c r="M19" i="28"/>
  <c r="M20" i="28"/>
  <c r="M21" i="28"/>
  <c r="M22" i="28"/>
  <c r="M23" i="28"/>
  <c r="M24" i="28"/>
  <c r="M25" i="28"/>
  <c r="M26" i="28"/>
  <c r="M27" i="28"/>
  <c r="M28" i="28"/>
  <c r="M29" i="28"/>
  <c r="M30" i="28"/>
  <c r="M31" i="28"/>
  <c r="M32" i="28"/>
  <c r="M33" i="28"/>
  <c r="M34" i="28"/>
  <c r="M35" i="28"/>
  <c r="M36" i="28"/>
  <c r="M37" i="28"/>
  <c r="M38" i="28"/>
  <c r="M39" i="28"/>
  <c r="M40" i="28"/>
  <c r="M41" i="28"/>
  <c r="M42" i="28"/>
  <c r="M43" i="28"/>
  <c r="M44" i="28"/>
  <c r="M45" i="28"/>
  <c r="M46" i="28"/>
  <c r="M47" i="28"/>
  <c r="M48" i="28"/>
  <c r="M49" i="28"/>
  <c r="M50" i="28"/>
  <c r="M51" i="28"/>
  <c r="M52" i="28"/>
  <c r="M53" i="28"/>
  <c r="M54" i="28"/>
  <c r="M55" i="28"/>
  <c r="M56" i="28"/>
  <c r="M57" i="28"/>
  <c r="M58" i="28"/>
  <c r="M59" i="28"/>
  <c r="M60" i="28"/>
  <c r="M61" i="28"/>
  <c r="M62" i="28"/>
  <c r="M63" i="28"/>
  <c r="M64" i="28"/>
  <c r="M65" i="28"/>
  <c r="M66" i="28"/>
  <c r="M67" i="28"/>
  <c r="M68" i="28"/>
  <c r="M69" i="28"/>
  <c r="M70" i="28"/>
  <c r="M71" i="28"/>
  <c r="M72" i="28"/>
  <c r="M73" i="28"/>
  <c r="M74" i="28"/>
  <c r="M75" i="28"/>
  <c r="M76" i="28"/>
  <c r="M77" i="28"/>
  <c r="M78" i="28"/>
  <c r="M79" i="28"/>
  <c r="M80" i="28"/>
  <c r="M81" i="28"/>
  <c r="M82" i="28"/>
  <c r="M83" i="28"/>
  <c r="M84" i="28"/>
  <c r="M85" i="28"/>
  <c r="M86" i="28"/>
  <c r="M87" i="28"/>
  <c r="M88" i="28"/>
  <c r="M89" i="28"/>
  <c r="M90" i="28"/>
  <c r="M91" i="28"/>
  <c r="M92" i="28"/>
  <c r="M93" i="28"/>
  <c r="M94" i="28"/>
  <c r="M95" i="28"/>
  <c r="M96" i="28"/>
  <c r="M97" i="28"/>
  <c r="M98" i="28"/>
  <c r="M99" i="28"/>
  <c r="M100" i="28"/>
  <c r="M101" i="28"/>
  <c r="M102" i="28"/>
  <c r="M103" i="28"/>
  <c r="M104" i="28"/>
  <c r="M105" i="28"/>
  <c r="M106" i="28"/>
  <c r="M107" i="28"/>
  <c r="M108" i="28"/>
  <c r="M109" i="28"/>
  <c r="M110" i="28"/>
  <c r="M111" i="28"/>
  <c r="M112" i="28"/>
  <c r="M113" i="28"/>
  <c r="M114" i="28"/>
  <c r="M115" i="28"/>
  <c r="M116" i="28"/>
  <c r="M6" i="28"/>
  <c r="CK9" i="8" l="1"/>
  <c r="CK10" i="8"/>
  <c r="CK23" i="8"/>
  <c r="CK24" i="8"/>
  <c r="CK25" i="8"/>
  <c r="CK26" i="8"/>
  <c r="CK27" i="8"/>
  <c r="CK28" i="8"/>
  <c r="CK29" i="8"/>
  <c r="CK30" i="8"/>
  <c r="CK31" i="8"/>
  <c r="CK32" i="8"/>
  <c r="CK33" i="8"/>
  <c r="CK34" i="8"/>
  <c r="CK35" i="8"/>
  <c r="CK37" i="8"/>
  <c r="CK38" i="8"/>
  <c r="CK39" i="8"/>
  <c r="CK40" i="8"/>
  <c r="CK41" i="8"/>
  <c r="CK42" i="8"/>
  <c r="CK43" i="8"/>
  <c r="CK44" i="8"/>
  <c r="CK45" i="8"/>
  <c r="CK46" i="8"/>
  <c r="CK47" i="8"/>
  <c r="CK48" i="8"/>
  <c r="CK49" i="8"/>
  <c r="CK50" i="8"/>
  <c r="CK53" i="8"/>
  <c r="CK54" i="8"/>
  <c r="CK55" i="8"/>
  <c r="CK56" i="8"/>
  <c r="CK57" i="8"/>
  <c r="CK58" i="8"/>
  <c r="CK60" i="8"/>
  <c r="CK61" i="8"/>
  <c r="CK62" i="8"/>
  <c r="CK63" i="8"/>
  <c r="CK64" i="8"/>
  <c r="CK65" i="8"/>
  <c r="CK66" i="8"/>
  <c r="CK67" i="8"/>
  <c r="CK68" i="8"/>
  <c r="CK69" i="8"/>
  <c r="CK70" i="8"/>
  <c r="CK71" i="8"/>
  <c r="CK72" i="8"/>
  <c r="CK73" i="8"/>
  <c r="CK74" i="8"/>
  <c r="CK75" i="8"/>
  <c r="CK76" i="8"/>
  <c r="CK77" i="8"/>
  <c r="CK78" i="8"/>
  <c r="CK79" i="8"/>
  <c r="CK80" i="8"/>
  <c r="CK81" i="8"/>
  <c r="CK82" i="8"/>
  <c r="CK83" i="8"/>
  <c r="CK84" i="8"/>
  <c r="CK85" i="8"/>
  <c r="CK86" i="8"/>
  <c r="CK87" i="8"/>
  <c r="CK88" i="8"/>
  <c r="CK89" i="8"/>
  <c r="CK90" i="8"/>
  <c r="CK91" i="8"/>
  <c r="CK92" i="8"/>
  <c r="CK93" i="8"/>
  <c r="CK94" i="8"/>
  <c r="CK95" i="8"/>
  <c r="CK96" i="8"/>
  <c r="CK97" i="8"/>
  <c r="CK98" i="8"/>
  <c r="CK99" i="8"/>
  <c r="CK100" i="8"/>
  <c r="CK101" i="8"/>
  <c r="CK102" i="8"/>
  <c r="CK103" i="8"/>
  <c r="CK104" i="8"/>
  <c r="CK107" i="8"/>
  <c r="CK108" i="8"/>
  <c r="CK109" i="8"/>
  <c r="CK110" i="8"/>
  <c r="CK111" i="8"/>
  <c r="CK112" i="8"/>
  <c r="CK113" i="8"/>
  <c r="CK114" i="8"/>
  <c r="CK119" i="8"/>
  <c r="CK120" i="8"/>
  <c r="CK121" i="8"/>
  <c r="CK122" i="8"/>
  <c r="CK123" i="8"/>
  <c r="CK124" i="8"/>
  <c r="CK125" i="8"/>
  <c r="CK126" i="8"/>
  <c r="CK127" i="8"/>
  <c r="CK128" i="8"/>
  <c r="CK129" i="8"/>
  <c r="CK130" i="8"/>
  <c r="CK131" i="8"/>
  <c r="CK132" i="8"/>
  <c r="CK133" i="8"/>
  <c r="CK134" i="8"/>
  <c r="CK135" i="8"/>
  <c r="CK136" i="8"/>
  <c r="CK138" i="8"/>
  <c r="CK139" i="8"/>
  <c r="CK140" i="8"/>
  <c r="CK141" i="8"/>
  <c r="CK142" i="8"/>
  <c r="CK143" i="8"/>
  <c r="CK144" i="8"/>
  <c r="CK145" i="8"/>
  <c r="CK146" i="8"/>
  <c r="CK147" i="8"/>
  <c r="CK148" i="8"/>
  <c r="CK149" i="8"/>
  <c r="CK151" i="8"/>
  <c r="CK152" i="8"/>
  <c r="CK153" i="8"/>
  <c r="CK154" i="8"/>
  <c r="CK155" i="8"/>
  <c r="CK157" i="8"/>
  <c r="CK160" i="8"/>
  <c r="CK161" i="8"/>
  <c r="CK162" i="8"/>
  <c r="CK163" i="8"/>
  <c r="CK164" i="8"/>
  <c r="CK165" i="8"/>
  <c r="CK166" i="8"/>
  <c r="CK167" i="8"/>
  <c r="CK168" i="8"/>
  <c r="CK169" i="8"/>
  <c r="CK176" i="8"/>
  <c r="CK177" i="8"/>
  <c r="CK178" i="8"/>
  <c r="CK179" i="8"/>
  <c r="CK180" i="8"/>
  <c r="CK181" i="8"/>
  <c r="CK182" i="8"/>
  <c r="CK183" i="8"/>
  <c r="CK184" i="8"/>
  <c r="CK185" i="8"/>
  <c r="CK186" i="8"/>
  <c r="CK187" i="8"/>
  <c r="CK190" i="8"/>
  <c r="CK191" i="8"/>
  <c r="CK192" i="8"/>
  <c r="CK193" i="8"/>
  <c r="CK194" i="8"/>
  <c r="CK195" i="8"/>
  <c r="CK196" i="8"/>
  <c r="CK199" i="8"/>
  <c r="CK200" i="8"/>
  <c r="CK202" i="8"/>
  <c r="CK204" i="8"/>
  <c r="CK205" i="8"/>
  <c r="CK206" i="8"/>
  <c r="CK207" i="8"/>
  <c r="CK8" i="8"/>
  <c r="CJ9" i="8"/>
  <c r="CJ10" i="8"/>
  <c r="CJ23" i="8"/>
  <c r="CJ24" i="8"/>
  <c r="CJ25" i="8"/>
  <c r="CJ26" i="8"/>
  <c r="CJ27" i="8"/>
  <c r="CJ28" i="8"/>
  <c r="CJ29" i="8"/>
  <c r="CJ30" i="8"/>
  <c r="CJ31" i="8"/>
  <c r="CJ32" i="8"/>
  <c r="CJ33" i="8"/>
  <c r="CJ34" i="8"/>
  <c r="CJ35" i="8"/>
  <c r="CJ37" i="8"/>
  <c r="CJ38" i="8"/>
  <c r="CJ39" i="8"/>
  <c r="CJ40" i="8"/>
  <c r="CJ41" i="8"/>
  <c r="CJ42" i="8"/>
  <c r="CJ43" i="8"/>
  <c r="CJ44" i="8"/>
  <c r="CJ45" i="8"/>
  <c r="CJ46" i="8"/>
  <c r="CJ47" i="8"/>
  <c r="CJ48" i="8"/>
  <c r="CJ49" i="8"/>
  <c r="CJ50" i="8"/>
  <c r="CJ53" i="8"/>
  <c r="CJ54" i="8"/>
  <c r="CJ55" i="8"/>
  <c r="CJ56" i="8"/>
  <c r="CJ57" i="8"/>
  <c r="CJ58" i="8"/>
  <c r="CJ60" i="8"/>
  <c r="CJ61" i="8"/>
  <c r="CJ62" i="8"/>
  <c r="CJ63" i="8"/>
  <c r="CJ64" i="8"/>
  <c r="CJ65" i="8"/>
  <c r="CJ66" i="8"/>
  <c r="CJ67" i="8"/>
  <c r="CJ68" i="8"/>
  <c r="CJ69" i="8"/>
  <c r="CJ70" i="8"/>
  <c r="CJ71" i="8"/>
  <c r="CJ72" i="8"/>
  <c r="CJ73" i="8"/>
  <c r="CJ74" i="8"/>
  <c r="CJ75" i="8"/>
  <c r="CJ76" i="8"/>
  <c r="CJ77" i="8"/>
  <c r="CJ78" i="8"/>
  <c r="CJ79" i="8"/>
  <c r="CJ80" i="8"/>
  <c r="CJ81" i="8"/>
  <c r="CJ82" i="8"/>
  <c r="CJ83" i="8"/>
  <c r="CJ84" i="8"/>
  <c r="CJ85" i="8"/>
  <c r="CJ86" i="8"/>
  <c r="CJ87" i="8"/>
  <c r="CJ88" i="8"/>
  <c r="CJ89" i="8"/>
  <c r="CJ90" i="8"/>
  <c r="CJ91" i="8"/>
  <c r="CJ92" i="8"/>
  <c r="CJ93" i="8"/>
  <c r="CJ94" i="8"/>
  <c r="CJ95" i="8"/>
  <c r="CJ96" i="8"/>
  <c r="CJ97" i="8"/>
  <c r="CJ98" i="8"/>
  <c r="CJ99" i="8"/>
  <c r="CJ100" i="8"/>
  <c r="CJ101" i="8"/>
  <c r="CJ102" i="8"/>
  <c r="CJ103" i="8"/>
  <c r="CJ104" i="8"/>
  <c r="CJ107" i="8"/>
  <c r="CJ108" i="8"/>
  <c r="CJ109" i="8"/>
  <c r="CJ110" i="8"/>
  <c r="CJ111" i="8"/>
  <c r="CJ112" i="8"/>
  <c r="CJ113" i="8"/>
  <c r="CJ114" i="8"/>
  <c r="CJ119" i="8"/>
  <c r="CJ120" i="8"/>
  <c r="CJ121" i="8"/>
  <c r="CJ122" i="8"/>
  <c r="CJ123" i="8"/>
  <c r="CJ124" i="8"/>
  <c r="CJ125" i="8"/>
  <c r="CJ126" i="8"/>
  <c r="CJ127" i="8"/>
  <c r="CJ128" i="8"/>
  <c r="CJ129" i="8"/>
  <c r="CJ130" i="8"/>
  <c r="CJ131" i="8"/>
  <c r="CJ132" i="8"/>
  <c r="CJ133" i="8"/>
  <c r="CJ134" i="8"/>
  <c r="CJ135" i="8"/>
  <c r="CJ136" i="8"/>
  <c r="CJ138" i="8"/>
  <c r="CJ139" i="8"/>
  <c r="CJ140" i="8"/>
  <c r="CJ141" i="8"/>
  <c r="CJ142" i="8"/>
  <c r="CJ143" i="8"/>
  <c r="CJ144" i="8"/>
  <c r="CJ145" i="8"/>
  <c r="CJ146" i="8"/>
  <c r="CJ147" i="8"/>
  <c r="CJ148" i="8"/>
  <c r="CJ149" i="8"/>
  <c r="CJ151" i="8"/>
  <c r="CJ152" i="8"/>
  <c r="CJ153" i="8"/>
  <c r="CJ154" i="8"/>
  <c r="CJ155" i="8"/>
  <c r="CJ157" i="8"/>
  <c r="CJ160" i="8"/>
  <c r="CJ161" i="8"/>
  <c r="CJ162" i="8"/>
  <c r="CJ163" i="8"/>
  <c r="CJ164" i="8"/>
  <c r="CJ165" i="8"/>
  <c r="CJ166" i="8"/>
  <c r="CJ167" i="8"/>
  <c r="CJ168" i="8"/>
  <c r="CJ169" i="8"/>
  <c r="CJ173" i="8"/>
  <c r="CJ174" i="8"/>
  <c r="CJ175" i="8"/>
  <c r="CJ176" i="8"/>
  <c r="CJ177" i="8"/>
  <c r="CJ178" i="8"/>
  <c r="CJ179" i="8"/>
  <c r="CJ180" i="8"/>
  <c r="CJ181" i="8"/>
  <c r="CJ182" i="8"/>
  <c r="CJ183" i="8"/>
  <c r="CJ184" i="8"/>
  <c r="CJ185" i="8"/>
  <c r="CJ186" i="8"/>
  <c r="CJ187" i="8"/>
  <c r="CJ190" i="8"/>
  <c r="CJ191" i="8"/>
  <c r="CJ192" i="8"/>
  <c r="CJ193" i="8"/>
  <c r="CJ194" i="8"/>
  <c r="CJ195" i="8"/>
  <c r="CJ196" i="8"/>
  <c r="CJ199" i="8"/>
  <c r="CJ200" i="8"/>
  <c r="CJ202" i="8"/>
  <c r="CJ204" i="8"/>
  <c r="CI172" i="8"/>
  <c r="CI171" i="8"/>
  <c r="CI150" i="8" l="1"/>
  <c r="CI116" i="8"/>
  <c r="CI118" i="8" s="1"/>
  <c r="CI36" i="8"/>
  <c r="CI19" i="8"/>
  <c r="CI20" i="8" s="1"/>
  <c r="CI11" i="8"/>
  <c r="CI12" i="8" s="1"/>
  <c r="CI137" i="8"/>
  <c r="CI105" i="8"/>
  <c r="CI15" i="8"/>
  <c r="CI16" i="8" s="1"/>
  <c r="CI17" i="8" s="1"/>
  <c r="CI18" i="8" s="1"/>
  <c r="CI156" i="8"/>
  <c r="CI158" i="8" s="1"/>
  <c r="CI115" i="8"/>
  <c r="CI159" i="8" l="1"/>
  <c r="CJ137" i="8"/>
  <c r="CK137" i="8"/>
  <c r="CJ36" i="8"/>
  <c r="CK36" i="8"/>
  <c r="CJ115" i="8"/>
  <c r="CK115" i="8"/>
  <c r="CI117" i="8"/>
  <c r="CJ117" i="8" s="1"/>
  <c r="CJ150" i="8"/>
  <c r="CK150" i="8"/>
  <c r="CI13" i="8"/>
  <c r="CI21" i="8"/>
  <c r="CH118" i="8"/>
  <c r="CJ118" i="8" s="1"/>
  <c r="CH116" i="8"/>
  <c r="CJ116" i="8" s="1"/>
  <c r="CI198" i="8"/>
  <c r="CI197" i="8"/>
  <c r="CH198" i="8"/>
  <c r="CH197" i="8"/>
  <c r="CM198" i="8"/>
  <c r="CM197" i="8"/>
  <c r="CM59" i="8"/>
  <c r="CI59" i="8"/>
  <c r="CH59" i="8"/>
  <c r="CJ197" i="8" l="1"/>
  <c r="CK197" i="8"/>
  <c r="CJ198" i="8"/>
  <c r="CK198" i="8"/>
  <c r="CK117" i="8"/>
  <c r="CJ59" i="8"/>
  <c r="CK59" i="8"/>
  <c r="CI22" i="8"/>
  <c r="CJ21" i="8"/>
  <c r="CI14" i="8"/>
  <c r="CI170" i="8"/>
  <c r="CI188" i="8" s="1"/>
  <c r="CH170" i="8"/>
  <c r="CH188" i="8" s="1"/>
  <c r="CG170" i="8"/>
  <c r="AB36" i="8"/>
  <c r="Z36" i="8"/>
  <c r="AB206" i="8"/>
  <c r="Z206" i="8"/>
  <c r="CV206" i="8"/>
  <c r="CJ206" i="8"/>
  <c r="CF206" i="8"/>
  <c r="BS206" i="8"/>
  <c r="BG205" i="8"/>
  <c r="B11" i="31"/>
  <c r="M112" i="29"/>
  <c r="N112" i="29" s="1"/>
  <c r="M100" i="29"/>
  <c r="N100" i="29" s="1"/>
  <c r="F116" i="29"/>
  <c r="M115" i="29"/>
  <c r="N115" i="29" s="1"/>
  <c r="M114" i="29"/>
  <c r="N114" i="29" s="1"/>
  <c r="M113" i="29"/>
  <c r="N113" i="29" s="1"/>
  <c r="M111" i="29"/>
  <c r="N111" i="29" s="1"/>
  <c r="M110" i="29"/>
  <c r="N110" i="29" s="1"/>
  <c r="M109" i="29"/>
  <c r="N109" i="29" s="1"/>
  <c r="M108" i="29"/>
  <c r="N108" i="29" s="1"/>
  <c r="M107" i="29"/>
  <c r="N107" i="29" s="1"/>
  <c r="M106" i="29"/>
  <c r="N106" i="29" s="1"/>
  <c r="M105" i="29"/>
  <c r="N105" i="29" s="1"/>
  <c r="M104" i="29"/>
  <c r="N104" i="29" s="1"/>
  <c r="M103" i="29"/>
  <c r="N103" i="29" s="1"/>
  <c r="M102" i="29"/>
  <c r="N102" i="29" s="1"/>
  <c r="M101" i="29"/>
  <c r="N101" i="29" s="1"/>
  <c r="M99" i="29"/>
  <c r="N99" i="29" s="1"/>
  <c r="M98" i="29"/>
  <c r="N98" i="29" s="1"/>
  <c r="M97" i="29"/>
  <c r="N97" i="29" s="1"/>
  <c r="M96" i="29"/>
  <c r="N96" i="29" s="1"/>
  <c r="M95" i="29"/>
  <c r="N95" i="29" s="1"/>
  <c r="M94" i="29"/>
  <c r="N94" i="29" s="1"/>
  <c r="M93" i="29"/>
  <c r="N93" i="29" s="1"/>
  <c r="M92" i="29"/>
  <c r="N92" i="29" s="1"/>
  <c r="M91" i="29"/>
  <c r="N91" i="29" s="1"/>
  <c r="M90" i="29"/>
  <c r="N90" i="29" s="1"/>
  <c r="M89" i="29"/>
  <c r="N89" i="29" s="1"/>
  <c r="M88" i="29"/>
  <c r="N88" i="29" s="1"/>
  <c r="M87" i="29"/>
  <c r="N87" i="29" s="1"/>
  <c r="M86" i="29"/>
  <c r="N86" i="29" s="1"/>
  <c r="M85" i="29"/>
  <c r="N85" i="29" s="1"/>
  <c r="M84" i="29"/>
  <c r="N84" i="29" s="1"/>
  <c r="M83" i="29"/>
  <c r="N83" i="29" s="1"/>
  <c r="M82" i="29"/>
  <c r="N82" i="29" s="1"/>
  <c r="M81" i="29"/>
  <c r="N81" i="29" s="1"/>
  <c r="J5" i="29"/>
  <c r="L5" i="29"/>
  <c r="K5" i="29"/>
  <c r="I5" i="29"/>
  <c r="H5" i="29"/>
  <c r="G5" i="29"/>
  <c r="F5" i="29"/>
  <c r="E5" i="29"/>
  <c r="D5" i="29"/>
  <c r="L4" i="29"/>
  <c r="K4" i="29"/>
  <c r="J4" i="29"/>
  <c r="I4" i="29"/>
  <c r="H4" i="29"/>
  <c r="G4" i="29"/>
  <c r="F4" i="29"/>
  <c r="E4" i="29"/>
  <c r="D4" i="29"/>
  <c r="L3" i="29"/>
  <c r="K3" i="29"/>
  <c r="J3" i="29"/>
  <c r="I3" i="29"/>
  <c r="H3" i="29"/>
  <c r="G3" i="29"/>
  <c r="F3" i="29"/>
  <c r="E3" i="29"/>
  <c r="D3" i="29"/>
  <c r="L2" i="29"/>
  <c r="K2" i="29"/>
  <c r="J2" i="29"/>
  <c r="I2" i="29"/>
  <c r="H2" i="29"/>
  <c r="G2" i="29"/>
  <c r="F2" i="29"/>
  <c r="E2" i="29"/>
  <c r="D2" i="29"/>
  <c r="M80" i="29"/>
  <c r="N80" i="29" s="1"/>
  <c r="M79" i="29"/>
  <c r="N79" i="29" s="1"/>
  <c r="M78" i="29"/>
  <c r="N78" i="29" s="1"/>
  <c r="M77" i="29"/>
  <c r="N77" i="29" s="1"/>
  <c r="M76" i="29"/>
  <c r="N76" i="29" s="1"/>
  <c r="M75" i="29"/>
  <c r="N75" i="29" s="1"/>
  <c r="M74" i="29"/>
  <c r="N74" i="29" s="1"/>
  <c r="M73" i="29"/>
  <c r="M72" i="29"/>
  <c r="N72" i="29" s="1"/>
  <c r="M71" i="29"/>
  <c r="N71" i="29" s="1"/>
  <c r="M70" i="29"/>
  <c r="N70" i="29" s="1"/>
  <c r="M69" i="29"/>
  <c r="N69" i="29" s="1"/>
  <c r="M68" i="29"/>
  <c r="N68" i="29" s="1"/>
  <c r="M67" i="29"/>
  <c r="N67" i="29" s="1"/>
  <c r="M66" i="29"/>
  <c r="N66" i="29" s="1"/>
  <c r="M65" i="29"/>
  <c r="N65" i="29" s="1"/>
  <c r="M64" i="29"/>
  <c r="N64" i="29" s="1"/>
  <c r="M63" i="29"/>
  <c r="N63" i="29" s="1"/>
  <c r="M62" i="29"/>
  <c r="N62" i="29" s="1"/>
  <c r="M61" i="29"/>
  <c r="N61" i="29" s="1"/>
  <c r="M60" i="29"/>
  <c r="N60" i="29" s="1"/>
  <c r="M59" i="29"/>
  <c r="N59" i="29" s="1"/>
  <c r="M58" i="29"/>
  <c r="N58" i="29" s="1"/>
  <c r="M57" i="29"/>
  <c r="N57" i="29" s="1"/>
  <c r="M56" i="29"/>
  <c r="N56" i="29" s="1"/>
  <c r="M55" i="29"/>
  <c r="M54" i="29"/>
  <c r="N54" i="29" s="1"/>
  <c r="M53" i="29"/>
  <c r="N53" i="29" s="1"/>
  <c r="M52" i="29"/>
  <c r="N52" i="29" s="1"/>
  <c r="M51" i="29"/>
  <c r="N51" i="29" s="1"/>
  <c r="M50" i="29"/>
  <c r="N50" i="29" s="1"/>
  <c r="M49" i="29"/>
  <c r="N49" i="29" s="1"/>
  <c r="M48" i="29"/>
  <c r="N48" i="29" s="1"/>
  <c r="M47" i="29"/>
  <c r="N47" i="29" s="1"/>
  <c r="M46" i="29"/>
  <c r="N46" i="29" s="1"/>
  <c r="M45" i="29"/>
  <c r="N45" i="29" s="1"/>
  <c r="M44" i="29"/>
  <c r="N44" i="29" s="1"/>
  <c r="M43" i="29"/>
  <c r="N43" i="29" s="1"/>
  <c r="M42" i="29"/>
  <c r="N42" i="29" s="1"/>
  <c r="M41" i="29"/>
  <c r="N41" i="29" s="1"/>
  <c r="M40" i="29"/>
  <c r="N40" i="29" s="1"/>
  <c r="M39" i="29"/>
  <c r="N39" i="29" s="1"/>
  <c r="M38" i="29"/>
  <c r="N38" i="29" s="1"/>
  <c r="M37" i="29"/>
  <c r="N37" i="29" s="1"/>
  <c r="M36" i="29"/>
  <c r="N36" i="29" s="1"/>
  <c r="M35" i="29"/>
  <c r="N35" i="29" s="1"/>
  <c r="M34" i="29"/>
  <c r="N34" i="29" s="1"/>
  <c r="M33" i="29"/>
  <c r="N33" i="29" s="1"/>
  <c r="M32" i="29"/>
  <c r="N32" i="29" s="1"/>
  <c r="M31" i="29"/>
  <c r="N31" i="29" s="1"/>
  <c r="M30" i="29"/>
  <c r="N30" i="29" s="1"/>
  <c r="M29" i="29"/>
  <c r="N29" i="29" s="1"/>
  <c r="M28" i="29"/>
  <c r="N28" i="29" s="1"/>
  <c r="M27" i="29"/>
  <c r="N27" i="29" s="1"/>
  <c r="M26" i="29"/>
  <c r="N26" i="29" s="1"/>
  <c r="M25" i="29"/>
  <c r="N25" i="29" s="1"/>
  <c r="M24" i="29"/>
  <c r="N24" i="29" s="1"/>
  <c r="M23" i="29"/>
  <c r="N23" i="29" s="1"/>
  <c r="M22" i="29"/>
  <c r="N22" i="29" s="1"/>
  <c r="M21" i="29"/>
  <c r="N21" i="29" s="1"/>
  <c r="M20" i="29"/>
  <c r="N20" i="29" s="1"/>
  <c r="M19" i="29"/>
  <c r="N19" i="29" s="1"/>
  <c r="M18" i="29"/>
  <c r="N18" i="29" s="1"/>
  <c r="M17" i="29"/>
  <c r="N17" i="29" s="1"/>
  <c r="M16" i="29"/>
  <c r="N16" i="29" s="1"/>
  <c r="M15" i="29"/>
  <c r="N15" i="29" s="1"/>
  <c r="M14" i="29"/>
  <c r="N14" i="29" s="1"/>
  <c r="M13" i="29"/>
  <c r="N13" i="29" s="1"/>
  <c r="M12" i="29"/>
  <c r="N12" i="29" s="1"/>
  <c r="M11" i="29"/>
  <c r="N11" i="29" s="1"/>
  <c r="M10" i="29"/>
  <c r="N10" i="29" s="1"/>
  <c r="M9" i="29"/>
  <c r="N9" i="29" s="1"/>
  <c r="S13" i="26"/>
  <c r="S15" i="26"/>
  <c r="AG4" i="20"/>
  <c r="AM14" i="20"/>
  <c r="N24" i="28"/>
  <c r="AG7" i="20"/>
  <c r="AG5" i="20"/>
  <c r="AG6" i="20"/>
  <c r="N25" i="28"/>
  <c r="N26" i="28"/>
  <c r="N27" i="28"/>
  <c r="N28" i="28"/>
  <c r="N29" i="28"/>
  <c r="N30" i="28"/>
  <c r="N31" i="28"/>
  <c r="N32" i="28"/>
  <c r="N33" i="28"/>
  <c r="N34" i="28"/>
  <c r="N35" i="28"/>
  <c r="N36" i="28"/>
  <c r="N37" i="28"/>
  <c r="N38"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7" i="28"/>
  <c r="N8" i="28"/>
  <c r="N9" i="28"/>
  <c r="N10" i="28"/>
  <c r="N11" i="28"/>
  <c r="N12" i="28"/>
  <c r="N13" i="28"/>
  <c r="N14" i="28"/>
  <c r="N15" i="28"/>
  <c r="N16" i="28"/>
  <c r="N17" i="28"/>
  <c r="N18" i="28"/>
  <c r="N19" i="28"/>
  <c r="N20" i="28"/>
  <c r="N21" i="28"/>
  <c r="N22" i="28"/>
  <c r="N23" i="28"/>
  <c r="N6" i="28"/>
  <c r="I23" i="26"/>
  <c r="J23" i="26"/>
  <c r="K23" i="26"/>
  <c r="L23" i="26"/>
  <c r="M23" i="26"/>
  <c r="N23" i="26"/>
  <c r="O23" i="26"/>
  <c r="P23" i="26"/>
  <c r="Q23" i="26"/>
  <c r="R23" i="26"/>
  <c r="T23" i="26"/>
  <c r="U23" i="26"/>
  <c r="H23" i="26"/>
  <c r="P22" i="20"/>
  <c r="R22" i="20" s="1"/>
  <c r="P21" i="20"/>
  <c r="R21" i="20" s="1"/>
  <c r="P20" i="20"/>
  <c r="R20" i="20" s="1"/>
  <c r="P19" i="20"/>
  <c r="R19" i="20" s="1"/>
  <c r="P18" i="20"/>
  <c r="R18" i="20" s="1"/>
  <c r="P17" i="20"/>
  <c r="R17" i="20" s="1"/>
  <c r="P16" i="20"/>
  <c r="R16" i="20" s="1"/>
  <c r="P15" i="20"/>
  <c r="R15" i="20" s="1"/>
  <c r="P14" i="20"/>
  <c r="R14" i="20" s="1"/>
  <c r="AN14" i="20"/>
  <c r="CG188" i="8" l="1"/>
  <c r="CK188" i="8" s="1"/>
  <c r="CJ170" i="8"/>
  <c r="CK170" i="8"/>
  <c r="CM206" i="8"/>
  <c r="CU206" i="8" s="1"/>
  <c r="M116" i="29"/>
  <c r="N116" i="29" s="1"/>
  <c r="M4" i="29"/>
  <c r="N4" i="29" s="1"/>
  <c r="M3" i="29"/>
  <c r="N3" i="29" s="1"/>
  <c r="M2" i="29"/>
  <c r="N2" i="29" s="1"/>
  <c r="N55" i="29"/>
  <c r="M5" i="29"/>
  <c r="N5" i="29" s="1"/>
  <c r="N73" i="29"/>
  <c r="P23" i="20"/>
  <c r="CJ188" i="8" l="1"/>
  <c r="CO206" i="8"/>
  <c r="CQ206" i="8" s="1"/>
  <c r="CS206" i="8" s="1"/>
  <c r="Q23" i="20"/>
  <c r="R23" i="20"/>
  <c r="N31" i="26" l="1"/>
  <c r="N32" i="26" s="1"/>
  <c r="K13" i="27" l="1"/>
  <c r="CH22" i="8" l="1"/>
  <c r="CJ22" i="8" s="1"/>
  <c r="CH20" i="8"/>
  <c r="CJ20" i="8" s="1"/>
  <c r="CH19" i="8"/>
  <c r="CJ19" i="8" s="1"/>
  <c r="CE22" i="8"/>
  <c r="CE20" i="8"/>
  <c r="CE19" i="8"/>
  <c r="CE14" i="8"/>
  <c r="CE13" i="8"/>
  <c r="CE12" i="8"/>
  <c r="CE11" i="8"/>
  <c r="Y1" i="26" l="1"/>
  <c r="CI189" i="8" l="1"/>
  <c r="CI203" i="8" s="1"/>
  <c r="CG189" i="8"/>
  <c r="CI106" i="8"/>
  <c r="CH171" i="8"/>
  <c r="CI51" i="8"/>
  <c r="CI52" i="8" s="1"/>
  <c r="CH156" i="8"/>
  <c r="CH158" i="8" s="1"/>
  <c r="CH159" i="8" s="1"/>
  <c r="CG156" i="8"/>
  <c r="CJ207" i="8"/>
  <c r="CJ8" i="8"/>
  <c r="CJ156" i="8" l="1"/>
  <c r="CK156" i="8"/>
  <c r="CH189" i="8"/>
  <c r="CH203" i="8" s="1"/>
  <c r="CG158" i="8"/>
  <c r="CG203" i="8"/>
  <c r="CJ203" i="8" l="1"/>
  <c r="CK203" i="8"/>
  <c r="CJ158" i="8"/>
  <c r="CK158" i="8"/>
  <c r="CJ189" i="8"/>
  <c r="CK189" i="8"/>
  <c r="CI6" i="8"/>
  <c r="CH172" i="8" l="1"/>
  <c r="CG171" i="8"/>
  <c r="CJ171" i="8" s="1"/>
  <c r="CD171" i="8"/>
  <c r="CK171" i="8" s="1"/>
  <c r="J6" i="27"/>
  <c r="I6" i="27"/>
  <c r="H6" i="27"/>
  <c r="G6" i="27"/>
  <c r="F6" i="27"/>
  <c r="E6" i="27"/>
  <c r="D6" i="27"/>
  <c r="C6" i="27"/>
  <c r="L13" i="27"/>
  <c r="K70" i="27"/>
  <c r="L70" i="27" s="1"/>
  <c r="K69" i="27"/>
  <c r="L69" i="27" s="1"/>
  <c r="K68" i="27"/>
  <c r="L68" i="27" s="1"/>
  <c r="K67" i="27"/>
  <c r="L67" i="27" s="1"/>
  <c r="K66" i="27"/>
  <c r="L66" i="27" s="1"/>
  <c r="K65" i="27"/>
  <c r="L65" i="27" s="1"/>
  <c r="K64" i="27"/>
  <c r="L64" i="27" s="1"/>
  <c r="K63" i="27"/>
  <c r="L63" i="27" s="1"/>
  <c r="K62" i="27"/>
  <c r="L62" i="27" s="1"/>
  <c r="K61" i="27"/>
  <c r="L61" i="27" s="1"/>
  <c r="K60" i="27"/>
  <c r="L60" i="27" s="1"/>
  <c r="K59" i="27"/>
  <c r="L59" i="27" s="1"/>
  <c r="K58" i="27"/>
  <c r="L58" i="27" s="1"/>
  <c r="K57" i="27"/>
  <c r="L57" i="27" s="1"/>
  <c r="K56" i="27"/>
  <c r="L56" i="27" s="1"/>
  <c r="K55" i="27"/>
  <c r="L55" i="27" s="1"/>
  <c r="K54" i="27"/>
  <c r="L54" i="27" s="1"/>
  <c r="K53" i="27"/>
  <c r="L53" i="27" s="1"/>
  <c r="K52" i="27"/>
  <c r="L52" i="27" s="1"/>
  <c r="K51" i="27"/>
  <c r="L51" i="27" s="1"/>
  <c r="K50" i="27"/>
  <c r="L50" i="27" s="1"/>
  <c r="K49" i="27"/>
  <c r="L49" i="27" s="1"/>
  <c r="K48" i="27"/>
  <c r="L48" i="27" s="1"/>
  <c r="K47" i="27"/>
  <c r="L47" i="27" s="1"/>
  <c r="K46" i="27"/>
  <c r="L46" i="27" s="1"/>
  <c r="K45" i="27"/>
  <c r="L45" i="27" s="1"/>
  <c r="K44" i="27"/>
  <c r="K43" i="27"/>
  <c r="L43" i="27" s="1"/>
  <c r="K42" i="27"/>
  <c r="L42" i="27" s="1"/>
  <c r="K41" i="27"/>
  <c r="L41" i="27" s="1"/>
  <c r="K40" i="27"/>
  <c r="L40" i="27" s="1"/>
  <c r="K39" i="27"/>
  <c r="L39" i="27" s="1"/>
  <c r="K38" i="27"/>
  <c r="L38" i="27" s="1"/>
  <c r="K37" i="27"/>
  <c r="L37" i="27" s="1"/>
  <c r="K36" i="27"/>
  <c r="L36" i="27" s="1"/>
  <c r="K35" i="27"/>
  <c r="L35" i="27" s="1"/>
  <c r="K34" i="27"/>
  <c r="L34" i="27" s="1"/>
  <c r="K33" i="27"/>
  <c r="L33" i="27" s="1"/>
  <c r="K32" i="27"/>
  <c r="L32" i="27" s="1"/>
  <c r="K31" i="27"/>
  <c r="L31" i="27" s="1"/>
  <c r="K30" i="27"/>
  <c r="L30" i="27" s="1"/>
  <c r="K29" i="27"/>
  <c r="L29" i="27" s="1"/>
  <c r="K28" i="27"/>
  <c r="L28" i="27" s="1"/>
  <c r="K27" i="27"/>
  <c r="L27" i="27" s="1"/>
  <c r="K26" i="27"/>
  <c r="L26" i="27" s="1"/>
  <c r="K25" i="27"/>
  <c r="L25" i="27" s="1"/>
  <c r="K24" i="27"/>
  <c r="L24" i="27" s="1"/>
  <c r="K23" i="27"/>
  <c r="L23" i="27" s="1"/>
  <c r="K22" i="27"/>
  <c r="L22" i="27" s="1"/>
  <c r="K21" i="27"/>
  <c r="L21" i="27" s="1"/>
  <c r="K20" i="27"/>
  <c r="L20" i="27" s="1"/>
  <c r="K19" i="27"/>
  <c r="L19" i="27" s="1"/>
  <c r="K18" i="27"/>
  <c r="L18" i="27" s="1"/>
  <c r="K17" i="27"/>
  <c r="K16" i="27"/>
  <c r="L16" i="27" s="1"/>
  <c r="K15" i="27"/>
  <c r="L15" i="27" s="1"/>
  <c r="K14" i="27"/>
  <c r="L14" i="27" s="1"/>
  <c r="J8" i="27"/>
  <c r="J7" i="27"/>
  <c r="I8" i="27"/>
  <c r="I7" i="27"/>
  <c r="H8" i="27"/>
  <c r="H7" i="27"/>
  <c r="G8" i="27"/>
  <c r="G7" i="27"/>
  <c r="F8" i="27"/>
  <c r="F7" i="27"/>
  <c r="E8" i="27"/>
  <c r="E7" i="27"/>
  <c r="D8" i="27"/>
  <c r="D7" i="27"/>
  <c r="C8" i="27"/>
  <c r="C7" i="27"/>
  <c r="A8" i="27"/>
  <c r="A7" i="27"/>
  <c r="A6" i="27"/>
  <c r="L44" i="27"/>
  <c r="S21" i="26"/>
  <c r="S20" i="26"/>
  <c r="V20" i="26" s="1"/>
  <c r="S19" i="26"/>
  <c r="V19" i="26" s="1"/>
  <c r="S18" i="26"/>
  <c r="V18" i="26" s="1"/>
  <c r="S17" i="26"/>
  <c r="V17" i="26" s="1"/>
  <c r="S16" i="26"/>
  <c r="V16" i="26" s="1"/>
  <c r="V15" i="26"/>
  <c r="S14" i="26"/>
  <c r="V14" i="26" s="1"/>
  <c r="V13" i="26"/>
  <c r="S12" i="26"/>
  <c r="V12" i="26" s="1"/>
  <c r="S7" i="26"/>
  <c r="V7" i="26" s="1"/>
  <c r="S6" i="26"/>
  <c r="V6" i="26" s="1"/>
  <c r="S5" i="26"/>
  <c r="V5" i="26" s="1"/>
  <c r="S4" i="26"/>
  <c r="V4" i="26" s="1"/>
  <c r="BS207" i="8"/>
  <c r="BS204" i="8"/>
  <c r="BS202" i="8"/>
  <c r="BS201" i="8"/>
  <c r="BS200" i="8"/>
  <c r="BS199" i="8"/>
  <c r="BS198" i="8"/>
  <c r="BS197" i="8"/>
  <c r="BS196" i="8"/>
  <c r="BS195" i="8"/>
  <c r="BS194" i="8"/>
  <c r="BS193" i="8"/>
  <c r="BS192" i="8"/>
  <c r="BS191" i="8"/>
  <c r="BS190" i="8"/>
  <c r="BS189" i="8"/>
  <c r="BS188" i="8"/>
  <c r="BS187" i="8"/>
  <c r="BS186" i="8"/>
  <c r="BS184" i="8"/>
  <c r="BS183" i="8"/>
  <c r="BS182" i="8"/>
  <c r="BS181" i="8"/>
  <c r="BS180" i="8"/>
  <c r="BS179" i="8"/>
  <c r="BS178" i="8"/>
  <c r="BS177" i="8"/>
  <c r="BS176" i="8"/>
  <c r="BS175" i="8"/>
  <c r="BS174" i="8"/>
  <c r="BS173" i="8"/>
  <c r="BS172" i="8"/>
  <c r="BS171" i="8"/>
  <c r="BS170" i="8"/>
  <c r="BS169" i="8"/>
  <c r="BS168" i="8"/>
  <c r="BS167" i="8"/>
  <c r="BS166" i="8"/>
  <c r="BS163" i="8"/>
  <c r="BS162" i="8"/>
  <c r="BS161" i="8"/>
  <c r="BS160" i="8"/>
  <c r="BS159" i="8"/>
  <c r="BS158" i="8"/>
  <c r="BS157" i="8"/>
  <c r="BS156" i="8"/>
  <c r="BS155" i="8"/>
  <c r="BS154" i="8"/>
  <c r="BS153" i="8"/>
  <c r="BS152" i="8"/>
  <c r="BS151" i="8"/>
  <c r="BS150" i="8"/>
  <c r="BS144" i="8"/>
  <c r="BS143" i="8"/>
  <c r="BS142" i="8"/>
  <c r="BS141" i="8"/>
  <c r="BS138" i="8"/>
  <c r="BS137" i="8"/>
  <c r="BS136" i="8"/>
  <c r="BS135" i="8"/>
  <c r="BS134" i="8"/>
  <c r="BS133" i="8"/>
  <c r="BS132" i="8"/>
  <c r="BS131" i="8"/>
  <c r="BS130" i="8"/>
  <c r="BS129" i="8"/>
  <c r="BS128" i="8"/>
  <c r="BS127" i="8"/>
  <c r="BS126" i="8"/>
  <c r="BS125" i="8"/>
  <c r="BS124" i="8"/>
  <c r="BS123" i="8"/>
  <c r="BS122" i="8"/>
  <c r="BS121" i="8"/>
  <c r="BS120" i="8"/>
  <c r="BS119" i="8"/>
  <c r="BS117" i="8"/>
  <c r="BS115" i="8"/>
  <c r="BS114" i="8"/>
  <c r="BS113" i="8"/>
  <c r="BS112" i="8"/>
  <c r="BS111" i="8"/>
  <c r="BS110" i="8"/>
  <c r="BS109" i="8"/>
  <c r="BS108" i="8"/>
  <c r="BS107" i="8"/>
  <c r="BS106" i="8"/>
  <c r="BS105" i="8"/>
  <c r="BS104" i="8"/>
  <c r="BS103" i="8"/>
  <c r="BS102" i="8"/>
  <c r="BS101" i="8"/>
  <c r="BS100" i="8"/>
  <c r="BS99" i="8"/>
  <c r="BS98" i="8"/>
  <c r="BS97" i="8"/>
  <c r="BS96" i="8"/>
  <c r="BS95" i="8"/>
  <c r="BS94" i="8"/>
  <c r="BS93" i="8"/>
  <c r="BS92" i="8"/>
  <c r="BS91" i="8"/>
  <c r="BS90" i="8"/>
  <c r="BS89" i="8"/>
  <c r="BS88" i="8"/>
  <c r="BS87" i="8"/>
  <c r="BS86" i="8"/>
  <c r="BS85" i="8"/>
  <c r="BS84" i="8"/>
  <c r="BS83" i="8"/>
  <c r="BS82" i="8"/>
  <c r="BS81" i="8"/>
  <c r="BS80" i="8"/>
  <c r="BS79" i="8"/>
  <c r="BS78" i="8"/>
  <c r="BS77" i="8"/>
  <c r="BS76" i="8"/>
  <c r="BS75" i="8"/>
  <c r="BS74" i="8"/>
  <c r="BS73" i="8"/>
  <c r="BS72" i="8"/>
  <c r="BS71" i="8"/>
  <c r="BS69" i="8"/>
  <c r="BS68" i="8"/>
  <c r="BS67" i="8"/>
  <c r="BS66" i="8"/>
  <c r="BS65" i="8"/>
  <c r="BS64" i="8"/>
  <c r="BS63" i="8"/>
  <c r="BS62" i="8"/>
  <c r="BS61" i="8"/>
  <c r="BS60" i="8"/>
  <c r="BS59" i="8"/>
  <c r="BS57" i="8"/>
  <c r="BS55" i="8"/>
  <c r="BS54" i="8"/>
  <c r="BS53" i="8"/>
  <c r="BS48" i="8"/>
  <c r="BS47" i="8"/>
  <c r="BS46" i="8"/>
  <c r="BS45" i="8"/>
  <c r="BS44" i="8"/>
  <c r="BS43" i="8"/>
  <c r="BS42" i="8"/>
  <c r="BS41" i="8"/>
  <c r="BS40" i="8"/>
  <c r="BS39" i="8"/>
  <c r="BS38" i="8"/>
  <c r="BS37" i="8"/>
  <c r="BS36" i="8"/>
  <c r="BS35" i="8"/>
  <c r="BS34" i="8"/>
  <c r="BS33" i="8"/>
  <c r="BS27" i="8"/>
  <c r="BS26" i="8"/>
  <c r="BS25" i="8"/>
  <c r="BS24" i="8"/>
  <c r="BS22" i="8"/>
  <c r="BS21" i="8"/>
  <c r="BS20" i="8"/>
  <c r="BS19" i="8"/>
  <c r="BS18" i="8"/>
  <c r="BS17" i="8"/>
  <c r="BS16" i="8"/>
  <c r="BS15" i="8"/>
  <c r="BS13" i="8"/>
  <c r="BS12" i="8"/>
  <c r="BS11" i="8"/>
  <c r="BS10" i="8"/>
  <c r="BS9" i="8"/>
  <c r="BS8" i="8"/>
  <c r="CF207" i="8"/>
  <c r="CF204" i="8"/>
  <c r="CF203" i="8"/>
  <c r="CF202" i="8"/>
  <c r="CF201" i="8"/>
  <c r="CF200" i="8"/>
  <c r="CF199" i="8"/>
  <c r="CF198" i="8"/>
  <c r="CF197" i="8"/>
  <c r="CF196" i="8"/>
  <c r="CF195" i="8"/>
  <c r="CF194" i="8"/>
  <c r="CF193" i="8"/>
  <c r="CF192" i="8"/>
  <c r="CF191" i="8"/>
  <c r="CF190" i="8"/>
  <c r="CF189" i="8"/>
  <c r="CF188" i="8"/>
  <c r="CF187" i="8"/>
  <c r="CF186" i="8"/>
  <c r="CF185" i="8"/>
  <c r="CF184" i="8"/>
  <c r="CF183" i="8"/>
  <c r="CF182" i="8"/>
  <c r="CF181" i="8"/>
  <c r="CF180" i="8"/>
  <c r="CF179" i="8"/>
  <c r="CF178" i="8"/>
  <c r="CF177" i="8"/>
  <c r="CF176" i="8"/>
  <c r="CF170" i="8"/>
  <c r="CF169" i="8"/>
  <c r="CF168" i="8"/>
  <c r="CF167" i="8"/>
  <c r="CF166" i="8"/>
  <c r="CF165" i="8"/>
  <c r="CF164" i="8"/>
  <c r="CF163" i="8"/>
  <c r="CF162" i="8"/>
  <c r="CF161" i="8"/>
  <c r="CF160" i="8"/>
  <c r="CF159" i="8"/>
  <c r="CF158" i="8"/>
  <c r="CF157" i="8"/>
  <c r="CF156" i="8"/>
  <c r="CF155" i="8"/>
  <c r="CF154" i="8"/>
  <c r="CF153" i="8"/>
  <c r="CF152" i="8"/>
  <c r="CF151" i="8"/>
  <c r="CF150" i="8"/>
  <c r="CF149" i="8"/>
  <c r="CF148" i="8"/>
  <c r="CF147" i="8"/>
  <c r="CF146" i="8"/>
  <c r="CF145" i="8"/>
  <c r="CF144" i="8"/>
  <c r="CF143" i="8"/>
  <c r="CF142" i="8"/>
  <c r="CF141" i="8"/>
  <c r="CF140" i="8"/>
  <c r="CF139" i="8"/>
  <c r="CF138" i="8"/>
  <c r="CF137" i="8"/>
  <c r="CF136" i="8"/>
  <c r="CF135" i="8"/>
  <c r="CF134" i="8"/>
  <c r="CF133" i="8"/>
  <c r="CF132" i="8"/>
  <c r="CF131" i="8"/>
  <c r="CF130" i="8"/>
  <c r="CF129" i="8"/>
  <c r="CF128" i="8"/>
  <c r="CF127" i="8"/>
  <c r="CF126" i="8"/>
  <c r="CF125" i="8"/>
  <c r="CF124" i="8"/>
  <c r="CF123" i="8"/>
  <c r="CF122" i="8"/>
  <c r="CF121" i="8"/>
  <c r="CF120" i="8"/>
  <c r="CF119" i="8"/>
  <c r="CF117" i="8"/>
  <c r="CF115" i="8"/>
  <c r="CF114" i="8"/>
  <c r="CF113" i="8"/>
  <c r="CF112" i="8"/>
  <c r="CF111" i="8"/>
  <c r="CF110" i="8"/>
  <c r="CF109" i="8"/>
  <c r="CF108" i="8"/>
  <c r="CF107" i="8"/>
  <c r="CF106" i="8"/>
  <c r="CF105" i="8"/>
  <c r="CF104" i="8"/>
  <c r="CF103" i="8"/>
  <c r="CF102" i="8"/>
  <c r="CF101" i="8"/>
  <c r="CF100" i="8"/>
  <c r="CF99" i="8"/>
  <c r="CF98" i="8"/>
  <c r="CF97" i="8"/>
  <c r="CF96" i="8"/>
  <c r="CF95" i="8"/>
  <c r="CF94" i="8"/>
  <c r="CF93" i="8"/>
  <c r="CF92" i="8"/>
  <c r="CF91" i="8"/>
  <c r="CF90" i="8"/>
  <c r="CF89" i="8"/>
  <c r="CF88" i="8"/>
  <c r="CF87" i="8"/>
  <c r="CF86" i="8"/>
  <c r="CF85" i="8"/>
  <c r="CF84" i="8"/>
  <c r="CF83" i="8"/>
  <c r="CF82" i="8"/>
  <c r="CF81" i="8"/>
  <c r="CF80" i="8"/>
  <c r="CF79" i="8"/>
  <c r="CF78" i="8"/>
  <c r="CF77" i="8"/>
  <c r="CF76" i="8"/>
  <c r="CF75" i="8"/>
  <c r="CF74" i="8"/>
  <c r="CF73" i="8"/>
  <c r="CF72" i="8"/>
  <c r="CF71" i="8"/>
  <c r="CF70" i="8"/>
  <c r="CF69" i="8"/>
  <c r="CF68" i="8"/>
  <c r="CF67" i="8"/>
  <c r="CF66" i="8"/>
  <c r="CF65" i="8"/>
  <c r="CF64" i="8"/>
  <c r="CF63" i="8"/>
  <c r="CF60" i="8"/>
  <c r="CF59" i="8"/>
  <c r="CF58" i="8"/>
  <c r="CF57" i="8"/>
  <c r="CF56" i="8"/>
  <c r="CF55" i="8"/>
  <c r="CF54" i="8"/>
  <c r="CF53" i="8"/>
  <c r="CF50" i="8"/>
  <c r="CF49" i="8"/>
  <c r="CF48" i="8"/>
  <c r="CF47" i="8"/>
  <c r="CF46" i="8"/>
  <c r="CF45" i="8"/>
  <c r="CF44" i="8"/>
  <c r="CF43" i="8"/>
  <c r="CF42" i="8"/>
  <c r="CF41" i="8"/>
  <c r="CF40" i="8"/>
  <c r="CF39" i="8"/>
  <c r="CF38" i="8"/>
  <c r="CF37" i="8"/>
  <c r="CF36" i="8"/>
  <c r="CF35" i="8"/>
  <c r="CF34" i="8"/>
  <c r="CF33" i="8"/>
  <c r="CF27" i="8"/>
  <c r="CF26" i="8"/>
  <c r="CF25" i="8"/>
  <c r="CF24" i="8"/>
  <c r="CF23" i="8"/>
  <c r="CF10" i="8"/>
  <c r="CF9" i="8"/>
  <c r="CF8" i="8"/>
  <c r="J10" i="27" l="1"/>
  <c r="H10" i="27"/>
  <c r="V21" i="26"/>
  <c r="S23" i="26"/>
  <c r="V23" i="26" s="1"/>
  <c r="I10" i="27"/>
  <c r="K6" i="27"/>
  <c r="CG172" i="8"/>
  <c r="CJ172" i="8" s="1"/>
  <c r="CF171" i="8"/>
  <c r="CD172" i="8"/>
  <c r="CK172" i="8" s="1"/>
  <c r="D10" i="27"/>
  <c r="C10" i="27"/>
  <c r="E10" i="27"/>
  <c r="F10" i="27"/>
  <c r="G10" i="27"/>
  <c r="K7" i="27"/>
  <c r="L7" i="27" s="1"/>
  <c r="K8" i="27"/>
  <c r="L8" i="27" s="1"/>
  <c r="L17" i="27"/>
  <c r="CF172" i="8" l="1"/>
  <c r="L6" i="27"/>
  <c r="K10" i="27"/>
  <c r="L10" i="27" s="1"/>
  <c r="CH14" i="8" l="1"/>
  <c r="CJ14" i="8" s="1"/>
  <c r="CH13" i="8"/>
  <c r="CJ13" i="8" s="1"/>
  <c r="CH12" i="8"/>
  <c r="CJ12" i="8" s="1"/>
  <c r="CH11" i="8"/>
  <c r="CJ11" i="8" s="1"/>
  <c r="CH18" i="8"/>
  <c r="CH17" i="8"/>
  <c r="CH16" i="8"/>
  <c r="CH15" i="8"/>
  <c r="CE18" i="8"/>
  <c r="CE17" i="8"/>
  <c r="CE16" i="8"/>
  <c r="CE15" i="8"/>
  <c r="CD18" i="8"/>
  <c r="CD17" i="8"/>
  <c r="CD16" i="8"/>
  <c r="CD15" i="8"/>
  <c r="CC18" i="8"/>
  <c r="CC17" i="8"/>
  <c r="CC16" i="8"/>
  <c r="CC15" i="8"/>
  <c r="CB15" i="8"/>
  <c r="CA15" i="8"/>
  <c r="BZ18" i="8"/>
  <c r="BZ17" i="8"/>
  <c r="BZ16" i="8"/>
  <c r="BZ15" i="8"/>
  <c r="BY15" i="8"/>
  <c r="CH105" i="8"/>
  <c r="CH201" i="8"/>
  <c r="CJ201" i="8" l="1"/>
  <c r="CK201" i="8"/>
  <c r="CE6" i="8"/>
  <c r="CH6" i="8"/>
  <c r="AJ7" i="20" l="1"/>
  <c r="AJ6" i="20"/>
  <c r="AJ5" i="20"/>
  <c r="AJ4" i="20" l="1"/>
  <c r="CM47" i="8" l="1"/>
  <c r="CM46" i="8"/>
  <c r="CM141" i="8" l="1"/>
  <c r="CM142" i="8" l="1"/>
  <c r="CM54" i="8"/>
  <c r="CM53" i="8"/>
  <c r="CM114" i="8"/>
  <c r="CG15" i="8" l="1"/>
  <c r="CG105" i="8"/>
  <c r="CJ15" i="8" l="1"/>
  <c r="CK15" i="8"/>
  <c r="CJ105" i="8"/>
  <c r="CK105" i="8"/>
  <c r="CG16" i="8"/>
  <c r="CG106" i="8"/>
  <c r="CG51" i="8"/>
  <c r="CJ51" i="8" l="1"/>
  <c r="CK51" i="8"/>
  <c r="CJ106" i="8"/>
  <c r="CK106" i="8"/>
  <c r="CJ16" i="8"/>
  <c r="CK16" i="8"/>
  <c r="CG52" i="8"/>
  <c r="CG159" i="8"/>
  <c r="CG17" i="8"/>
  <c r="B82" i="25"/>
  <c r="CV207" i="8"/>
  <c r="CV204" i="8"/>
  <c r="BK203" i="8"/>
  <c r="BS203" i="8" s="1"/>
  <c r="CV203" i="8"/>
  <c r="CM202" i="8"/>
  <c r="CO202" i="8" s="1"/>
  <c r="CQ202" i="8" s="1"/>
  <c r="CS202" i="8" s="1"/>
  <c r="CV202" i="8"/>
  <c r="CV201" i="8"/>
  <c r="CM200" i="8"/>
  <c r="CO200" i="8" s="1"/>
  <c r="CQ200" i="8" s="1"/>
  <c r="CS200" i="8" s="1"/>
  <c r="CV200" i="8"/>
  <c r="CV199" i="8"/>
  <c r="CM57" i="8"/>
  <c r="CO57" i="8" s="1"/>
  <c r="CQ57" i="8" s="1"/>
  <c r="CS57" i="8" s="1"/>
  <c r="CV57" i="8"/>
  <c r="CO198" i="8"/>
  <c r="CQ198" i="8" s="1"/>
  <c r="CS198" i="8" s="1"/>
  <c r="CV198" i="8"/>
  <c r="CV197" i="8"/>
  <c r="CD14" i="8"/>
  <c r="CK14" i="8" s="1"/>
  <c r="CD13" i="8"/>
  <c r="CD12" i="8"/>
  <c r="CM150" i="8"/>
  <c r="CM119" i="8"/>
  <c r="CM69" i="8"/>
  <c r="CM172" i="8"/>
  <c r="CM171" i="8"/>
  <c r="CM68" i="8"/>
  <c r="CM40" i="8"/>
  <c r="CM155" i="8"/>
  <c r="CM162" i="8"/>
  <c r="CO162" i="8" s="1"/>
  <c r="CQ162" i="8" s="1"/>
  <c r="CS162" i="8" s="1"/>
  <c r="CM111" i="8"/>
  <c r="CM105" i="8"/>
  <c r="CM79" i="8"/>
  <c r="CM44" i="8"/>
  <c r="CM45" i="8"/>
  <c r="CM157" i="8"/>
  <c r="CM85" i="8"/>
  <c r="CM83" i="8"/>
  <c r="CM152" i="8"/>
  <c r="CM132" i="8"/>
  <c r="CV163" i="8"/>
  <c r="CM39" i="8"/>
  <c r="CO39" i="8" s="1"/>
  <c r="CQ39" i="8" s="1"/>
  <c r="CS39" i="8" s="1"/>
  <c r="CV39" i="8"/>
  <c r="CM108" i="8"/>
  <c r="CO108" i="8" s="1"/>
  <c r="CQ108" i="8" s="1"/>
  <c r="CS108" i="8" s="1"/>
  <c r="CV108" i="8"/>
  <c r="CV162" i="8"/>
  <c r="CM195" i="8"/>
  <c r="CO195" i="8" s="1"/>
  <c r="CQ195" i="8" s="1"/>
  <c r="CS195" i="8" s="1"/>
  <c r="CV195" i="8"/>
  <c r="BK23" i="8"/>
  <c r="CV23" i="8"/>
  <c r="CM24" i="8"/>
  <c r="CO24" i="8" s="1"/>
  <c r="CQ24" i="8" s="1"/>
  <c r="CS24" i="8" s="1"/>
  <c r="CV24" i="8"/>
  <c r="CM122" i="8"/>
  <c r="CO122" i="8" s="1"/>
  <c r="CQ122" i="8" s="1"/>
  <c r="CS122" i="8" s="1"/>
  <c r="CV122" i="8"/>
  <c r="CM123" i="8"/>
  <c r="CU123" i="8" s="1"/>
  <c r="CV123" i="8"/>
  <c r="CM67" i="8"/>
  <c r="CO67" i="8" s="1"/>
  <c r="CQ67" i="8" s="1"/>
  <c r="CS67" i="8" s="1"/>
  <c r="CV67" i="8"/>
  <c r="CO59" i="8"/>
  <c r="CQ59" i="8" s="1"/>
  <c r="CS59" i="8" s="1"/>
  <c r="CV59" i="8"/>
  <c r="BK56" i="8"/>
  <c r="CV56" i="8"/>
  <c r="BK58" i="8"/>
  <c r="CV58" i="8"/>
  <c r="CM72" i="8"/>
  <c r="CO72" i="8" s="1"/>
  <c r="CQ72" i="8" s="1"/>
  <c r="CS72" i="8" s="1"/>
  <c r="CV72" i="8"/>
  <c r="AD46" i="22"/>
  <c r="CM189" i="8"/>
  <c r="CO189" i="8" s="1"/>
  <c r="CQ189" i="8" s="1"/>
  <c r="CS189" i="8" s="1"/>
  <c r="CV189" i="8"/>
  <c r="CM188" i="8"/>
  <c r="CU188" i="8" s="1"/>
  <c r="CV188" i="8"/>
  <c r="CJ17" i="8" l="1"/>
  <c r="CK17" i="8"/>
  <c r="CK159" i="8"/>
  <c r="CJ159" i="8"/>
  <c r="CK52" i="8"/>
  <c r="CJ52" i="8"/>
  <c r="CF14" i="8"/>
  <c r="BS56" i="8"/>
  <c r="CM56" i="8" s="1"/>
  <c r="BS58" i="8"/>
  <c r="CM58" i="8" s="1"/>
  <c r="CO58" i="8" s="1"/>
  <c r="CQ58" i="8" s="1"/>
  <c r="CS58" i="8" s="1"/>
  <c r="BS23" i="8"/>
  <c r="CM23" i="8" s="1"/>
  <c r="CO188" i="8"/>
  <c r="CQ188" i="8" s="1"/>
  <c r="CS188" i="8" s="1"/>
  <c r="CU200" i="8"/>
  <c r="CU122" i="8"/>
  <c r="CO123" i="8"/>
  <c r="CQ123" i="8" s="1"/>
  <c r="CS123" i="8" s="1"/>
  <c r="CU59" i="8"/>
  <c r="CU195" i="8"/>
  <c r="CU198" i="8"/>
  <c r="CU189" i="8"/>
  <c r="CU108" i="8"/>
  <c r="CU39" i="8"/>
  <c r="CU72" i="8"/>
  <c r="CU57" i="8"/>
  <c r="CM203" i="8"/>
  <c r="CM207" i="8"/>
  <c r="CM201" i="8"/>
  <c r="CM199" i="8"/>
  <c r="CO199" i="8" s="1"/>
  <c r="CQ199" i="8" s="1"/>
  <c r="CS199" i="8" s="1"/>
  <c r="CU67" i="8"/>
  <c r="CU24" i="8"/>
  <c r="CU162" i="8"/>
  <c r="CP162" i="8" s="1"/>
  <c r="CM163" i="8"/>
  <c r="CM204" i="8"/>
  <c r="CG18" i="8"/>
  <c r="CU202" i="8"/>
  <c r="CM196" i="8"/>
  <c r="CO196" i="8" s="1"/>
  <c r="CQ196" i="8" s="1"/>
  <c r="CS196" i="8" s="1"/>
  <c r="CV196" i="8"/>
  <c r="CD11" i="8"/>
  <c r="CD175" i="8"/>
  <c r="CD174" i="8"/>
  <c r="CD173" i="8"/>
  <c r="CJ18" i="8" l="1"/>
  <c r="CJ6" i="8" s="1"/>
  <c r="CK18" i="8"/>
  <c r="CO23" i="8"/>
  <c r="CQ23" i="8" s="1"/>
  <c r="CS23" i="8" s="1"/>
  <c r="CU23" i="8"/>
  <c r="CU56" i="8"/>
  <c r="CO56" i="8"/>
  <c r="CQ56" i="8" s="1"/>
  <c r="CS56" i="8" s="1"/>
  <c r="CG6" i="8"/>
  <c r="CU196" i="8"/>
  <c r="CP196" i="8" s="1"/>
  <c r="CU163" i="8"/>
  <c r="CO163" i="8"/>
  <c r="CQ163" i="8" s="1"/>
  <c r="CS163" i="8" s="1"/>
  <c r="CO204" i="8"/>
  <c r="CQ204" i="8" s="1"/>
  <c r="CS204" i="8" s="1"/>
  <c r="CU204" i="8"/>
  <c r="CO197" i="8"/>
  <c r="CQ197" i="8" s="1"/>
  <c r="CS197" i="8" s="1"/>
  <c r="CU197" i="8"/>
  <c r="CO201" i="8"/>
  <c r="CQ201" i="8" s="1"/>
  <c r="CS201" i="8" s="1"/>
  <c r="CU201" i="8"/>
  <c r="CO207" i="8"/>
  <c r="CQ207" i="8" s="1"/>
  <c r="CS207" i="8" s="1"/>
  <c r="CU207" i="8"/>
  <c r="CU199" i="8"/>
  <c r="CU203" i="8"/>
  <c r="CO203" i="8"/>
  <c r="CQ203" i="8" s="1"/>
  <c r="CS203" i="8" s="1"/>
  <c r="CU58" i="8"/>
  <c r="CD22" i="8" l="1"/>
  <c r="CD21" i="8"/>
  <c r="CD20" i="8"/>
  <c r="CD19" i="8"/>
  <c r="CD116" i="8"/>
  <c r="CK116" i="8" s="1"/>
  <c r="CD118" i="8"/>
  <c r="CK118" i="8" s="1"/>
  <c r="CM27" i="8"/>
  <c r="CU27" i="8" s="1"/>
  <c r="CM194" i="8"/>
  <c r="CU194" i="8" s="1"/>
  <c r="CM125" i="8"/>
  <c r="CU125" i="8" s="1"/>
  <c r="CV194" i="8"/>
  <c r="CV125" i="8"/>
  <c r="CV27" i="8"/>
  <c r="BK14" i="8"/>
  <c r="CV14" i="8"/>
  <c r="CC22" i="8"/>
  <c r="CK22" i="8" s="1"/>
  <c r="CB22" i="8"/>
  <c r="CA22" i="8"/>
  <c r="BZ22" i="8"/>
  <c r="BY22" i="8"/>
  <c r="CC21" i="8"/>
  <c r="CK21" i="8" s="1"/>
  <c r="CB21" i="8"/>
  <c r="CA21" i="8"/>
  <c r="BZ21" i="8"/>
  <c r="BY21" i="8"/>
  <c r="CC20" i="8"/>
  <c r="CK20" i="8" s="1"/>
  <c r="CB20" i="8"/>
  <c r="CA20" i="8"/>
  <c r="BZ20" i="8"/>
  <c r="BY20" i="8"/>
  <c r="CC19" i="8"/>
  <c r="CB19" i="8"/>
  <c r="CA19" i="8"/>
  <c r="BZ19" i="8"/>
  <c r="BY19" i="8"/>
  <c r="BX22" i="8"/>
  <c r="BX21" i="8"/>
  <c r="BX20" i="8"/>
  <c r="BX19" i="8"/>
  <c r="CK19" i="8" l="1"/>
  <c r="CF19" i="8"/>
  <c r="CF20" i="8"/>
  <c r="BS14" i="8"/>
  <c r="CM14" i="8" s="1"/>
  <c r="CF21" i="8"/>
  <c r="CF22" i="8"/>
  <c r="CO27" i="8"/>
  <c r="CQ27" i="8" s="1"/>
  <c r="CS27" i="8" s="1"/>
  <c r="CO194" i="8"/>
  <c r="CQ194" i="8" s="1"/>
  <c r="CS194" i="8" s="1"/>
  <c r="CO125" i="8"/>
  <c r="CQ125" i="8" s="1"/>
  <c r="CS125" i="8" s="1"/>
  <c r="CD6" i="8"/>
  <c r="CC175" i="8"/>
  <c r="CK175" i="8" s="1"/>
  <c r="CC174" i="8"/>
  <c r="CK174" i="8" s="1"/>
  <c r="CC173" i="8"/>
  <c r="CK173" i="8" s="1"/>
  <c r="CC13" i="8"/>
  <c r="CK13" i="8" s="1"/>
  <c r="CC12" i="8"/>
  <c r="CK12" i="8" s="1"/>
  <c r="CC11" i="8"/>
  <c r="CK11" i="8" s="1"/>
  <c r="CB13" i="8"/>
  <c r="CB12" i="8"/>
  <c r="CB11" i="8"/>
  <c r="CB32" i="8"/>
  <c r="CB31" i="8"/>
  <c r="CB30" i="8"/>
  <c r="CB29" i="8"/>
  <c r="CB28" i="8"/>
  <c r="CB118" i="8"/>
  <c r="CB116" i="8"/>
  <c r="CB52" i="8"/>
  <c r="CB51" i="8"/>
  <c r="CM134" i="8"/>
  <c r="CO134" i="8" s="1"/>
  <c r="CQ134" i="8" s="1"/>
  <c r="CS134" i="8" s="1"/>
  <c r="CV134" i="8"/>
  <c r="O15" i="20"/>
  <c r="O16" i="20"/>
  <c r="O17" i="20"/>
  <c r="O18" i="20"/>
  <c r="O19" i="20"/>
  <c r="O20" i="20"/>
  <c r="O21" i="20"/>
  <c r="O22" i="20"/>
  <c r="O23" i="20"/>
  <c r="O14" i="20"/>
  <c r="CM124" i="8"/>
  <c r="CO124" i="8" s="1"/>
  <c r="CQ124" i="8" s="1"/>
  <c r="CS124" i="8" s="1"/>
  <c r="CV124" i="8"/>
  <c r="AD26" i="22"/>
  <c r="AD27" i="22"/>
  <c r="AD28" i="22"/>
  <c r="AD29" i="22"/>
  <c r="AD30" i="22"/>
  <c r="AD31" i="22"/>
  <c r="AD32" i="22"/>
  <c r="AD33" i="22"/>
  <c r="AD34" i="22"/>
  <c r="AD35" i="22"/>
  <c r="AD36" i="22"/>
  <c r="AD37" i="22"/>
  <c r="AD38" i="22"/>
  <c r="AD39" i="22"/>
  <c r="AD40" i="22"/>
  <c r="AD41" i="22"/>
  <c r="AD42" i="22"/>
  <c r="AD43" i="22"/>
  <c r="AD44" i="22"/>
  <c r="AD45" i="22"/>
  <c r="AD47" i="22"/>
  <c r="AD48" i="22"/>
  <c r="AD49" i="22"/>
  <c r="AD50" i="22"/>
  <c r="AD51" i="22"/>
  <c r="AD52" i="22"/>
  <c r="AD53" i="22"/>
  <c r="AD54" i="22"/>
  <c r="AD55" i="22"/>
  <c r="AD56" i="22"/>
  <c r="AD57" i="22"/>
  <c r="AD58" i="22"/>
  <c r="AD59" i="22"/>
  <c r="AD60" i="22"/>
  <c r="AD61" i="22"/>
  <c r="AD62" i="22"/>
  <c r="AD63" i="22"/>
  <c r="AD64" i="22"/>
  <c r="AD65" i="22"/>
  <c r="AD66" i="22"/>
  <c r="AD67" i="22"/>
  <c r="AD68" i="22"/>
  <c r="AD69" i="22"/>
  <c r="AD70" i="22"/>
  <c r="AD71" i="22"/>
  <c r="AD72" i="22"/>
  <c r="AD73" i="22"/>
  <c r="AD74" i="22"/>
  <c r="AD75" i="22"/>
  <c r="AD76" i="22"/>
  <c r="AD77" i="22"/>
  <c r="AD78" i="22"/>
  <c r="AD79" i="22"/>
  <c r="AD80" i="22"/>
  <c r="AD81" i="22"/>
  <c r="AD82" i="22"/>
  <c r="AD83" i="22"/>
  <c r="AD84" i="22"/>
  <c r="AD85" i="22"/>
  <c r="AD86" i="22"/>
  <c r="AD87" i="22"/>
  <c r="AD88" i="22"/>
  <c r="AD89" i="22"/>
  <c r="AD90" i="22"/>
  <c r="AD91" i="22"/>
  <c r="AD92" i="22"/>
  <c r="AD93" i="22"/>
  <c r="AD94" i="22"/>
  <c r="AD95" i="22"/>
  <c r="AD96" i="22"/>
  <c r="AD97" i="22"/>
  <c r="AD98" i="22"/>
  <c r="AD99" i="22"/>
  <c r="AD100" i="22"/>
  <c r="AD101" i="22"/>
  <c r="AD102" i="22"/>
  <c r="AD103" i="22"/>
  <c r="AD104" i="22"/>
  <c r="AD105" i="22"/>
  <c r="AD106" i="22"/>
  <c r="AD107" i="22"/>
  <c r="AD108" i="22"/>
  <c r="AD109" i="22"/>
  <c r="M26" i="22"/>
  <c r="N26" i="22"/>
  <c r="O26" i="22"/>
  <c r="M27" i="22"/>
  <c r="N27" i="22"/>
  <c r="O27" i="22"/>
  <c r="M28" i="22"/>
  <c r="N28" i="22"/>
  <c r="O28" i="22"/>
  <c r="M29" i="22"/>
  <c r="N29" i="22"/>
  <c r="O29" i="22"/>
  <c r="M30" i="22"/>
  <c r="N30" i="22"/>
  <c r="O30" i="22"/>
  <c r="M31" i="22"/>
  <c r="N31" i="22"/>
  <c r="O31" i="22"/>
  <c r="M32" i="22"/>
  <c r="N32" i="22"/>
  <c r="O32" i="22"/>
  <c r="M33" i="22"/>
  <c r="N33" i="22"/>
  <c r="O33" i="22"/>
  <c r="O34" i="22"/>
  <c r="O35" i="22"/>
  <c r="M12" i="22"/>
  <c r="N12" i="22"/>
  <c r="O12" i="22"/>
  <c r="AD12" i="22"/>
  <c r="M13" i="22"/>
  <c r="N13" i="22"/>
  <c r="O13" i="22"/>
  <c r="AD13" i="22"/>
  <c r="M14" i="22"/>
  <c r="N14" i="22"/>
  <c r="O14" i="22"/>
  <c r="AD14" i="22"/>
  <c r="M15" i="22"/>
  <c r="N15" i="22"/>
  <c r="O15" i="22"/>
  <c r="AD15" i="22"/>
  <c r="M16" i="22"/>
  <c r="N16" i="22"/>
  <c r="O16" i="22"/>
  <c r="AD16" i="22"/>
  <c r="M17" i="22"/>
  <c r="N17" i="22"/>
  <c r="O17" i="22"/>
  <c r="AD17" i="22"/>
  <c r="M18" i="22"/>
  <c r="N18" i="22"/>
  <c r="O18" i="22"/>
  <c r="AD18" i="22"/>
  <c r="M19" i="22"/>
  <c r="N19" i="22"/>
  <c r="O19" i="22"/>
  <c r="AD19" i="22"/>
  <c r="O20" i="22"/>
  <c r="AD20" i="22"/>
  <c r="O21" i="22"/>
  <c r="AD21" i="22"/>
  <c r="M4" i="22"/>
  <c r="N4" i="22"/>
  <c r="O4" i="22"/>
  <c r="AD4" i="22"/>
  <c r="M5" i="22"/>
  <c r="N5" i="22"/>
  <c r="O5" i="22"/>
  <c r="AD5" i="22"/>
  <c r="M6" i="22"/>
  <c r="N6" i="22"/>
  <c r="O6" i="22"/>
  <c r="AD6" i="22"/>
  <c r="M7" i="22"/>
  <c r="N7" i="22"/>
  <c r="O7" i="22"/>
  <c r="AD7" i="22"/>
  <c r="CO14" i="8" l="1"/>
  <c r="CQ14" i="8" s="1"/>
  <c r="CS14" i="8" s="1"/>
  <c r="CU14" i="8"/>
  <c r="CU134" i="8"/>
  <c r="CC6" i="8"/>
  <c r="CU124" i="8"/>
  <c r="CV106" i="8" l="1"/>
  <c r="CM81" i="8"/>
  <c r="CO81" i="8" s="1"/>
  <c r="CQ81" i="8" s="1"/>
  <c r="CS81" i="8" s="1"/>
  <c r="CV81" i="8"/>
  <c r="CM192" i="8"/>
  <c r="CO192" i="8" s="1"/>
  <c r="CQ192" i="8" s="1"/>
  <c r="CS192" i="8" s="1"/>
  <c r="CV192" i="8"/>
  <c r="CM126" i="8"/>
  <c r="CU126" i="8" s="1"/>
  <c r="CV126" i="8"/>
  <c r="Z88" i="8"/>
  <c r="Z87" i="8"/>
  <c r="Z89" i="8"/>
  <c r="CM88" i="8"/>
  <c r="CO88" i="8" s="1"/>
  <c r="CQ88" i="8" s="1"/>
  <c r="CS88" i="8" s="1"/>
  <c r="CV88" i="8"/>
  <c r="CM87" i="8"/>
  <c r="CO87" i="8" s="1"/>
  <c r="CQ87" i="8" s="1"/>
  <c r="CS87" i="8" s="1"/>
  <c r="CV87" i="8"/>
  <c r="CM89" i="8"/>
  <c r="CO89" i="8" s="1"/>
  <c r="CQ89" i="8" s="1"/>
  <c r="CS89" i="8" s="1"/>
  <c r="CV89" i="8"/>
  <c r="CM128" i="8"/>
  <c r="CU128" i="8" s="1"/>
  <c r="CV128" i="8"/>
  <c r="CO40" i="8"/>
  <c r="CQ40" i="8" s="1"/>
  <c r="CS40" i="8" s="1"/>
  <c r="CU40" i="8"/>
  <c r="CV40" i="8"/>
  <c r="CM193" i="8"/>
  <c r="CO193" i="8" s="1"/>
  <c r="CQ193" i="8" s="1"/>
  <c r="CS193" i="8" s="1"/>
  <c r="CV193" i="8"/>
  <c r="CU81" i="8" l="1"/>
  <c r="CU193" i="8"/>
  <c r="CM106" i="8"/>
  <c r="CO106" i="8" s="1"/>
  <c r="CQ106" i="8" s="1"/>
  <c r="CS106" i="8" s="1"/>
  <c r="CU192" i="8"/>
  <c r="CO126" i="8"/>
  <c r="CQ126" i="8" s="1"/>
  <c r="CS126" i="8" s="1"/>
  <c r="CO128" i="8"/>
  <c r="CQ128" i="8" s="1"/>
  <c r="CS128" i="8" s="1"/>
  <c r="CU87" i="8"/>
  <c r="CU88" i="8"/>
  <c r="CU89" i="8"/>
  <c r="CA13" i="8"/>
  <c r="CA12" i="8"/>
  <c r="CA11" i="8"/>
  <c r="CK6" i="8" l="1"/>
  <c r="CU106" i="8"/>
  <c r="CB6" i="8"/>
  <c r="CM121" i="8" l="1"/>
  <c r="CO121" i="8" s="1"/>
  <c r="CQ121" i="8" s="1"/>
  <c r="CS121" i="8" s="1"/>
  <c r="CV121" i="8"/>
  <c r="CO142" i="8"/>
  <c r="CQ142" i="8" s="1"/>
  <c r="CS142" i="8" s="1"/>
  <c r="CU142" i="8"/>
  <c r="CV142" i="8"/>
  <c r="CV36" i="8"/>
  <c r="CU121" i="8" l="1"/>
  <c r="CP121" i="8" s="1"/>
  <c r="CM36" i="8"/>
  <c r="CO36" i="8" s="1"/>
  <c r="CQ36" i="8" s="1"/>
  <c r="CS36" i="8" s="1"/>
  <c r="CM38" i="8"/>
  <c r="CU38" i="8" s="1"/>
  <c r="CV38" i="8"/>
  <c r="CM187" i="8"/>
  <c r="CU187" i="8" s="1"/>
  <c r="CV187" i="8"/>
  <c r="CM143" i="8"/>
  <c r="CO143" i="8" s="1"/>
  <c r="CQ143" i="8" s="1"/>
  <c r="CS143" i="8" s="1"/>
  <c r="CV143" i="8"/>
  <c r="CO38" i="8" l="1"/>
  <c r="CQ38" i="8" s="1"/>
  <c r="CS38" i="8" s="1"/>
  <c r="CO187" i="8"/>
  <c r="CQ187" i="8" s="1"/>
  <c r="CS187" i="8" s="1"/>
  <c r="CU36" i="8"/>
  <c r="CU143" i="8"/>
  <c r="CV25" i="8"/>
  <c r="CM25" i="8" l="1"/>
  <c r="CO25" i="8" s="1"/>
  <c r="CQ25" i="8" s="1"/>
  <c r="CS25" i="8" s="1"/>
  <c r="CA6" i="8"/>
  <c r="BZ6" i="8"/>
  <c r="CM135" i="8"/>
  <c r="CU135" i="8" s="1"/>
  <c r="CP135" i="8" s="1"/>
  <c r="CV135" i="8"/>
  <c r="CM190" i="8"/>
  <c r="CU190" i="8" s="1"/>
  <c r="CV190" i="8"/>
  <c r="CM191" i="8"/>
  <c r="CO191" i="8" s="1"/>
  <c r="CQ191" i="8" s="1"/>
  <c r="CS191" i="8" s="1"/>
  <c r="CV191" i="8"/>
  <c r="CM186" i="8"/>
  <c r="CO186" i="8" s="1"/>
  <c r="CQ186" i="8" s="1"/>
  <c r="CS186" i="8" s="1"/>
  <c r="CV186" i="8"/>
  <c r="CM71" i="8"/>
  <c r="CU71" i="8" s="1"/>
  <c r="CP71" i="8" s="1"/>
  <c r="CV71" i="8"/>
  <c r="CO135" i="8" l="1"/>
  <c r="CQ135" i="8" s="1"/>
  <c r="CS135" i="8" s="1"/>
  <c r="CU186" i="8"/>
  <c r="CP186" i="8" s="1"/>
  <c r="CO190" i="8"/>
  <c r="CQ190" i="8" s="1"/>
  <c r="CS190" i="8" s="1"/>
  <c r="CO71" i="8"/>
  <c r="CQ71" i="8" s="1"/>
  <c r="CS71" i="8" s="1"/>
  <c r="CU25" i="8"/>
  <c r="CU191" i="8"/>
  <c r="CP191" i="8" s="1"/>
  <c r="CS130" i="8"/>
  <c r="CS54" i="8"/>
  <c r="CS111" i="8"/>
  <c r="CS83" i="8"/>
  <c r="CS45" i="8"/>
  <c r="CS155" i="8"/>
  <c r="CS85" i="8"/>
  <c r="CS157" i="8"/>
  <c r="CS150" i="8"/>
  <c r="CS166" i="8"/>
  <c r="CS167" i="8"/>
  <c r="CS119" i="8"/>
  <c r="CS185" i="8"/>
  <c r="CS68" i="8"/>
  <c r="CS70" i="8"/>
  <c r="CS152" i="8"/>
  <c r="CS132" i="8"/>
  <c r="CR6" i="8" l="1"/>
  <c r="CU53" i="8"/>
  <c r="CU46" i="8"/>
  <c r="CU47" i="8"/>
  <c r="CP47" i="8" s="1"/>
  <c r="CU69" i="8"/>
  <c r="CP69" i="8" s="1"/>
  <c r="CU54" i="8"/>
  <c r="CP54" i="8" s="1"/>
  <c r="CU111" i="8"/>
  <c r="CP111" i="8" s="1"/>
  <c r="CU83" i="8"/>
  <c r="CP83" i="8" s="1"/>
  <c r="CU45" i="8"/>
  <c r="CP45" i="8" s="1"/>
  <c r="CU155" i="8"/>
  <c r="CP155" i="8" s="1"/>
  <c r="CU85" i="8"/>
  <c r="CP85" i="8" s="1"/>
  <c r="CU44" i="8"/>
  <c r="CP44" i="8" s="1"/>
  <c r="CU157" i="8"/>
  <c r="CP157" i="8" s="1"/>
  <c r="CU150" i="8"/>
  <c r="CP150" i="8" s="1"/>
  <c r="CU119" i="8"/>
  <c r="CP119" i="8" s="1"/>
  <c r="CU79" i="8"/>
  <c r="CP79" i="8" s="1"/>
  <c r="CU68" i="8"/>
  <c r="CP68" i="8" s="1"/>
  <c r="CU105" i="8"/>
  <c r="CP105" i="8" s="1"/>
  <c r="CU172" i="8"/>
  <c r="CP172" i="8" s="1"/>
  <c r="CU152" i="8"/>
  <c r="CP152" i="8" s="1"/>
  <c r="CU132" i="8"/>
  <c r="CP132" i="8" s="1"/>
  <c r="CU141" i="8"/>
  <c r="CP141" i="8" s="1"/>
  <c r="CO54" i="8"/>
  <c r="CO111" i="8"/>
  <c r="CO83" i="8"/>
  <c r="CO45" i="8"/>
  <c r="CO155" i="8"/>
  <c r="CO85" i="8"/>
  <c r="CO44" i="8"/>
  <c r="CO157" i="8"/>
  <c r="CO150" i="8"/>
  <c r="CO119" i="8"/>
  <c r="CO79" i="8"/>
  <c r="CO68" i="8"/>
  <c r="CO105" i="8"/>
  <c r="CO172" i="8"/>
  <c r="CO152" i="8"/>
  <c r="CO132" i="8"/>
  <c r="CO141" i="8"/>
  <c r="CM182" i="8" l="1"/>
  <c r="CV185" i="8"/>
  <c r="BK185" i="8"/>
  <c r="BS185" i="8" s="1"/>
  <c r="CM185" i="8" s="1"/>
  <c r="CV70" i="8"/>
  <c r="BK70" i="8"/>
  <c r="BS70" i="8" s="1"/>
  <c r="CM70" i="8" s="1"/>
  <c r="CV155" i="8"/>
  <c r="CV68" i="8"/>
  <c r="CV69" i="8"/>
  <c r="CO69" i="8"/>
  <c r="CQ69" i="8" s="1"/>
  <c r="CS69" i="8" s="1"/>
  <c r="CV152" i="8"/>
  <c r="CV45" i="8"/>
  <c r="CV150" i="8"/>
  <c r="CV111" i="8"/>
  <c r="CV119" i="8"/>
  <c r="CV54" i="8"/>
  <c r="CV85" i="8"/>
  <c r="CV132" i="8"/>
  <c r="CV157" i="8"/>
  <c r="CV83" i="8"/>
  <c r="CV184" i="8"/>
  <c r="CM184" i="8"/>
  <c r="CU70" i="8" l="1"/>
  <c r="CP70" i="8" s="1"/>
  <c r="CO70" i="8"/>
  <c r="CU185" i="8"/>
  <c r="CP185" i="8" s="1"/>
  <c r="CO185" i="8"/>
  <c r="CU184" i="8"/>
  <c r="CP184" i="8" s="1"/>
  <c r="CO184" i="8"/>
  <c r="CQ184" i="8" s="1"/>
  <c r="CS184" i="8" s="1"/>
  <c r="CO182" i="8"/>
  <c r="CU182" i="8"/>
  <c r="CP182" i="8" s="1"/>
  <c r="CO47" i="8"/>
  <c r="BX13" i="8"/>
  <c r="CF13" i="8" s="1"/>
  <c r="BX12" i="8"/>
  <c r="CF12" i="8" s="1"/>
  <c r="BX11" i="8"/>
  <c r="CF11" i="8" s="1"/>
  <c r="BX16" i="8"/>
  <c r="BX18" i="8"/>
  <c r="BX17" i="8"/>
  <c r="BX15" i="8"/>
  <c r="BX52" i="8"/>
  <c r="BX51" i="8"/>
  <c r="BY6" i="8" l="1"/>
  <c r="BW52" i="8"/>
  <c r="CO171" i="8" l="1"/>
  <c r="CU171" i="8"/>
  <c r="CP171" i="8" s="1"/>
  <c r="BT174" i="8"/>
  <c r="CF174" i="8" s="1"/>
  <c r="BT175" i="8"/>
  <c r="CF175" i="8" s="1"/>
  <c r="BT173" i="8"/>
  <c r="BU173" i="8"/>
  <c r="CM91" i="8"/>
  <c r="CV91" i="8"/>
  <c r="CM151" i="8"/>
  <c r="CV151" i="8"/>
  <c r="CM109" i="8"/>
  <c r="CV109" i="8"/>
  <c r="CM65" i="8"/>
  <c r="CV65" i="8"/>
  <c r="CM33" i="8"/>
  <c r="CV33" i="8"/>
  <c r="CV95" i="8"/>
  <c r="CM144" i="8"/>
  <c r="CV144" i="8"/>
  <c r="CM63" i="8"/>
  <c r="CV63" i="8"/>
  <c r="BW16" i="8"/>
  <c r="BW18" i="8"/>
  <c r="BW17" i="8"/>
  <c r="BW15" i="8"/>
  <c r="BU16" i="8"/>
  <c r="BU18" i="8"/>
  <c r="BU17" i="8"/>
  <c r="BU15" i="8"/>
  <c r="BV16" i="8"/>
  <c r="BV18" i="8"/>
  <c r="BV17" i="8"/>
  <c r="BV15" i="8"/>
  <c r="BT16" i="8"/>
  <c r="BT18" i="8"/>
  <c r="BT17" i="8"/>
  <c r="BT15" i="8"/>
  <c r="CM12" i="8"/>
  <c r="CO12" i="8" s="1"/>
  <c r="CQ12" i="8" s="1"/>
  <c r="CS12" i="8" s="1"/>
  <c r="CV12" i="8"/>
  <c r="CM13" i="8"/>
  <c r="CU13" i="8" s="1"/>
  <c r="CP13" i="8" s="1"/>
  <c r="CV13" i="8"/>
  <c r="CM11" i="8"/>
  <c r="CU11" i="8" s="1"/>
  <c r="CP11" i="8" s="1"/>
  <c r="CV11" i="8"/>
  <c r="CV16" i="8"/>
  <c r="CV18" i="8"/>
  <c r="CV17" i="8"/>
  <c r="BW61" i="8"/>
  <c r="BW62" i="8"/>
  <c r="BW51" i="8"/>
  <c r="CM101" i="8"/>
  <c r="CV101" i="8"/>
  <c r="CQ47" i="8"/>
  <c r="CS47" i="8" s="1"/>
  <c r="CV47" i="8"/>
  <c r="CQ105" i="8"/>
  <c r="CS105" i="8" s="1"/>
  <c r="CV105" i="8"/>
  <c r="CM136" i="8"/>
  <c r="CV136" i="8"/>
  <c r="CM41" i="8"/>
  <c r="CV41" i="8"/>
  <c r="CM82" i="8"/>
  <c r="CV82" i="8"/>
  <c r="CM64" i="8"/>
  <c r="CV64" i="8"/>
  <c r="CF17" i="8" l="1"/>
  <c r="CM17" i="8" s="1"/>
  <c r="CF18" i="8"/>
  <c r="CM18" i="8" s="1"/>
  <c r="CO18" i="8" s="1"/>
  <c r="CF15" i="8"/>
  <c r="CF173" i="8"/>
  <c r="CF16" i="8"/>
  <c r="CM16" i="8" s="1"/>
  <c r="CU64" i="8"/>
  <c r="CP64" i="8" s="1"/>
  <c r="CO64" i="8"/>
  <c r="CQ64" i="8" s="1"/>
  <c r="CS64" i="8" s="1"/>
  <c r="CO63" i="8"/>
  <c r="CQ63" i="8" s="1"/>
  <c r="CS63" i="8" s="1"/>
  <c r="CU63" i="8"/>
  <c r="CP63" i="8" s="1"/>
  <c r="CO82" i="8"/>
  <c r="CQ82" i="8" s="1"/>
  <c r="CS82" i="8" s="1"/>
  <c r="CU82" i="8"/>
  <c r="CP82" i="8" s="1"/>
  <c r="CO109" i="8"/>
  <c r="CQ109" i="8" s="1"/>
  <c r="CS109" i="8" s="1"/>
  <c r="CU109" i="8"/>
  <c r="CP109" i="8" s="1"/>
  <c r="CO144" i="8"/>
  <c r="CQ144" i="8" s="1"/>
  <c r="CS144" i="8" s="1"/>
  <c r="CU144" i="8"/>
  <c r="CP144" i="8" s="1"/>
  <c r="CO65" i="8"/>
  <c r="CQ65" i="8" s="1"/>
  <c r="CS65" i="8" s="1"/>
  <c r="CU65" i="8"/>
  <c r="CP65" i="8" s="1"/>
  <c r="CO13" i="8"/>
  <c r="CQ13" i="8" s="1"/>
  <c r="CS13" i="8" s="1"/>
  <c r="CU151" i="8"/>
  <c r="CP151" i="8" s="1"/>
  <c r="CO151" i="8"/>
  <c r="CQ151" i="8" s="1"/>
  <c r="CS151" i="8" s="1"/>
  <c r="CO101" i="8"/>
  <c r="CQ101" i="8" s="1"/>
  <c r="CS101" i="8" s="1"/>
  <c r="CU101" i="8"/>
  <c r="CP101" i="8" s="1"/>
  <c r="CO41" i="8"/>
  <c r="CQ41" i="8" s="1"/>
  <c r="CS41" i="8" s="1"/>
  <c r="CU41" i="8"/>
  <c r="CP41" i="8" s="1"/>
  <c r="CO11" i="8"/>
  <c r="CQ11" i="8" s="1"/>
  <c r="CS11" i="8" s="1"/>
  <c r="CM95" i="8"/>
  <c r="CO95" i="8" s="1"/>
  <c r="CQ95" i="8" s="1"/>
  <c r="CS95" i="8" s="1"/>
  <c r="CU136" i="8"/>
  <c r="CP136" i="8" s="1"/>
  <c r="CO136" i="8"/>
  <c r="CQ136" i="8" s="1"/>
  <c r="CS136" i="8" s="1"/>
  <c r="CO33" i="8"/>
  <c r="CQ33" i="8" s="1"/>
  <c r="CS33" i="8" s="1"/>
  <c r="CU33" i="8"/>
  <c r="CP33" i="8" s="1"/>
  <c r="CU91" i="8"/>
  <c r="CP91" i="8" s="1"/>
  <c r="CO91" i="8"/>
  <c r="CQ91" i="8" s="1"/>
  <c r="CS91" i="8" s="1"/>
  <c r="CU12" i="8"/>
  <c r="CP12" i="8" s="1"/>
  <c r="BX6" i="8"/>
  <c r="BV52" i="8"/>
  <c r="BV51" i="8"/>
  <c r="BV118" i="8"/>
  <c r="BV116" i="8"/>
  <c r="CU95" i="8" l="1"/>
  <c r="CP95" i="8" s="1"/>
  <c r="CU18" i="8"/>
  <c r="CP18" i="8" s="1"/>
  <c r="CO17" i="8"/>
  <c r="CQ17" i="8" s="1"/>
  <c r="CS17" i="8" s="1"/>
  <c r="CU17" i="8"/>
  <c r="CP17" i="8" s="1"/>
  <c r="CO16" i="8"/>
  <c r="CQ16" i="8" s="1"/>
  <c r="CS16" i="8" s="1"/>
  <c r="CU16" i="8"/>
  <c r="CP16" i="8" s="1"/>
  <c r="CQ18" i="8"/>
  <c r="CS18" i="8" s="1"/>
  <c r="BV29" i="8"/>
  <c r="BV30" i="8"/>
  <c r="BV31" i="8"/>
  <c r="BV32" i="8"/>
  <c r="BV28" i="8"/>
  <c r="BU61" i="8"/>
  <c r="CF61" i="8" s="1"/>
  <c r="BU62" i="8"/>
  <c r="CF62" i="8" s="1"/>
  <c r="BU29" i="8"/>
  <c r="BU30" i="8"/>
  <c r="BU31" i="8"/>
  <c r="BU32" i="8"/>
  <c r="BU28" i="8"/>
  <c r="BU52" i="8"/>
  <c r="BU51" i="8"/>
  <c r="CF52" i="8" l="1"/>
  <c r="CF28" i="8"/>
  <c r="CF31" i="8"/>
  <c r="CF51" i="8"/>
  <c r="CF32" i="8"/>
  <c r="CF30" i="8"/>
  <c r="CF29" i="8"/>
  <c r="BW6" i="8"/>
  <c r="BV6" i="8"/>
  <c r="N21" i="20"/>
  <c r="M17" i="20"/>
  <c r="M4" i="20"/>
  <c r="BM116" i="8" l="1"/>
  <c r="CV104" i="8" l="1"/>
  <c r="CV117" i="8"/>
  <c r="CV115" i="8"/>
  <c r="AB32" i="8"/>
  <c r="AB31" i="8"/>
  <c r="AB30" i="8"/>
  <c r="AB29" i="8"/>
  <c r="AB28" i="8"/>
  <c r="CM183" i="8" l="1"/>
  <c r="CQ182" i="8"/>
  <c r="CS182" i="8" s="1"/>
  <c r="CY112" i="8"/>
  <c r="CW112" i="8"/>
  <c r="CM181" i="8"/>
  <c r="CY111" i="8"/>
  <c r="CW111" i="8"/>
  <c r="CM180" i="8"/>
  <c r="M19" i="20"/>
  <c r="M20" i="20"/>
  <c r="M21" i="20"/>
  <c r="N19" i="20"/>
  <c r="N20" i="20"/>
  <c r="CU180" i="8" l="1"/>
  <c r="CP180" i="8" s="1"/>
  <c r="CO180" i="8"/>
  <c r="CQ180" i="8" s="1"/>
  <c r="CS180" i="8" s="1"/>
  <c r="CO181" i="8"/>
  <c r="CQ181" i="8" s="1"/>
  <c r="CS181" i="8" s="1"/>
  <c r="CU181" i="8"/>
  <c r="CP181" i="8" s="1"/>
  <c r="CO183" i="8"/>
  <c r="CQ183" i="8" s="1"/>
  <c r="CS183" i="8" s="1"/>
  <c r="CU183" i="8"/>
  <c r="CP183" i="8" s="1"/>
  <c r="CM102" i="8"/>
  <c r="CU102" i="8" l="1"/>
  <c r="CP102" i="8" s="1"/>
  <c r="CO102" i="8"/>
  <c r="BN118" i="8"/>
  <c r="BM118" i="8"/>
  <c r="BK118" i="8"/>
  <c r="BI118" i="8"/>
  <c r="BT118" i="8"/>
  <c r="CF118" i="8" s="1"/>
  <c r="BR118" i="8"/>
  <c r="BP118" i="8"/>
  <c r="BT116" i="8"/>
  <c r="CF116" i="8" s="1"/>
  <c r="CF6" i="8" l="1"/>
  <c r="BS118" i="8"/>
  <c r="BU6" i="8"/>
  <c r="CM154" i="8"/>
  <c r="CM104" i="8"/>
  <c r="CV154" i="8"/>
  <c r="CM80" i="8"/>
  <c r="CM26" i="8"/>
  <c r="CQ102" i="8"/>
  <c r="CS102" i="8" s="1"/>
  <c r="CQ79" i="8"/>
  <c r="CS79" i="8" s="1"/>
  <c r="CQ172" i="8"/>
  <c r="CS172" i="8" s="1"/>
  <c r="CQ171" i="8"/>
  <c r="CS171" i="8" s="1"/>
  <c r="CV79" i="8"/>
  <c r="CV80" i="8"/>
  <c r="CV26" i="8"/>
  <c r="CM170" i="8"/>
  <c r="CV170" i="8"/>
  <c r="CU154" i="8" l="1"/>
  <c r="CP154" i="8" s="1"/>
  <c r="CO154" i="8"/>
  <c r="CQ154" i="8" s="1"/>
  <c r="CS154" i="8" s="1"/>
  <c r="CO80" i="8"/>
  <c r="CQ80" i="8" s="1"/>
  <c r="CS80" i="8" s="1"/>
  <c r="CU80" i="8"/>
  <c r="CP80" i="8" s="1"/>
  <c r="CU170" i="8"/>
  <c r="CP170" i="8" s="1"/>
  <c r="CO170" i="8"/>
  <c r="CQ170" i="8" s="1"/>
  <c r="CS170" i="8" s="1"/>
  <c r="CU104" i="8"/>
  <c r="CP104" i="8" s="1"/>
  <c r="CO104" i="8"/>
  <c r="CQ104" i="8" s="1"/>
  <c r="CS104" i="8" s="1"/>
  <c r="CU26" i="8"/>
  <c r="CP26" i="8" s="1"/>
  <c r="CO26" i="8"/>
  <c r="CQ26" i="8" s="1"/>
  <c r="CS26" i="8" s="1"/>
  <c r="CQ44" i="8"/>
  <c r="CS44" i="8" s="1"/>
  <c r="CV44" i="8"/>
  <c r="CM115" i="8"/>
  <c r="CM175" i="8"/>
  <c r="CV175" i="8"/>
  <c r="CM117" i="8"/>
  <c r="CM174" i="8"/>
  <c r="CV174" i="8"/>
  <c r="CX111" i="8" s="1"/>
  <c r="CM43" i="8"/>
  <c r="CV43" i="8"/>
  <c r="CM173" i="8"/>
  <c r="CV173" i="8"/>
  <c r="BR116" i="8"/>
  <c r="CV141" i="8"/>
  <c r="CQ141" i="8"/>
  <c r="CS141" i="8" s="1"/>
  <c r="CM90" i="8"/>
  <c r="CM60" i="8"/>
  <c r="BR52" i="8"/>
  <c r="BR51" i="8"/>
  <c r="CM118" i="8"/>
  <c r="CV118" i="8"/>
  <c r="CM75" i="8"/>
  <c r="CM66" i="8"/>
  <c r="CU173" i="8" l="1"/>
  <c r="CP173" i="8" s="1"/>
  <c r="CO173" i="8"/>
  <c r="CQ173" i="8" s="1"/>
  <c r="CS173" i="8" s="1"/>
  <c r="CO118" i="8"/>
  <c r="CQ118" i="8" s="1"/>
  <c r="CS118" i="8" s="1"/>
  <c r="CU118" i="8"/>
  <c r="CP118" i="8" s="1"/>
  <c r="CO66" i="8"/>
  <c r="CU66" i="8"/>
  <c r="CP66" i="8" s="1"/>
  <c r="CO60" i="8"/>
  <c r="CU60" i="8"/>
  <c r="CP60" i="8" s="1"/>
  <c r="CO75" i="8"/>
  <c r="CU75" i="8"/>
  <c r="CP75" i="8" s="1"/>
  <c r="CU43" i="8"/>
  <c r="CP43" i="8" s="1"/>
  <c r="CO43" i="8"/>
  <c r="CQ43" i="8" s="1"/>
  <c r="CS43" i="8" s="1"/>
  <c r="CU174" i="8"/>
  <c r="CP174" i="8" s="1"/>
  <c r="CO174" i="8"/>
  <c r="CQ174" i="8" s="1"/>
  <c r="CS174" i="8" s="1"/>
  <c r="CO90" i="8"/>
  <c r="CU90" i="8"/>
  <c r="CP90" i="8" s="1"/>
  <c r="CO175" i="8"/>
  <c r="CQ175" i="8" s="1"/>
  <c r="CS175" i="8" s="1"/>
  <c r="CU175" i="8"/>
  <c r="CP175" i="8" s="1"/>
  <c r="CZ111" i="8"/>
  <c r="DA111" i="8"/>
  <c r="CO117" i="8"/>
  <c r="CQ117" i="8" s="1"/>
  <c r="CS117" i="8" s="1"/>
  <c r="CU117" i="8"/>
  <c r="CP117" i="8" s="1"/>
  <c r="CO115" i="8"/>
  <c r="CQ115" i="8" s="1"/>
  <c r="CS115" i="8" s="1"/>
  <c r="CU115" i="8"/>
  <c r="CP115" i="8" s="1"/>
  <c r="CM100" i="8" l="1"/>
  <c r="CM78" i="8"/>
  <c r="CU78" i="8" l="1"/>
  <c r="CP78" i="8" s="1"/>
  <c r="CO78" i="8"/>
  <c r="CO100" i="8"/>
  <c r="CU100" i="8"/>
  <c r="CP100" i="8" s="1"/>
  <c r="CM94" i="8"/>
  <c r="CM92" i="8"/>
  <c r="CM112" i="8"/>
  <c r="CU112" i="8" s="1"/>
  <c r="CM21" i="8"/>
  <c r="CM19" i="8"/>
  <c r="CM107" i="8"/>
  <c r="CM22" i="8"/>
  <c r="CM20" i="8"/>
  <c r="CM133" i="8"/>
  <c r="CM179" i="8"/>
  <c r="CM129" i="8"/>
  <c r="CM160" i="8"/>
  <c r="CM158" i="8"/>
  <c r="CM159" i="8"/>
  <c r="CM156" i="8"/>
  <c r="CM161" i="8"/>
  <c r="CM34" i="8"/>
  <c r="CU34" i="8" s="1"/>
  <c r="CP34" i="8" s="1"/>
  <c r="CM153" i="8"/>
  <c r="CM137" i="8"/>
  <c r="CM178" i="8"/>
  <c r="CM120" i="8"/>
  <c r="CM127" i="8"/>
  <c r="CM61" i="8"/>
  <c r="CM113" i="8"/>
  <c r="CM42" i="8"/>
  <c r="CM37" i="8"/>
  <c r="CM177" i="8"/>
  <c r="CM168" i="8"/>
  <c r="CM86" i="8"/>
  <c r="CM35" i="8"/>
  <c r="CU35" i="8" s="1"/>
  <c r="CP35" i="8" s="1"/>
  <c r="CM167" i="8"/>
  <c r="CM166" i="8"/>
  <c r="CM103" i="8"/>
  <c r="CM138" i="8"/>
  <c r="CM76" i="8"/>
  <c r="CM84" i="8"/>
  <c r="CM77" i="8"/>
  <c r="CM176" i="8"/>
  <c r="CM9" i="8"/>
  <c r="CM8" i="8"/>
  <c r="CM97" i="8"/>
  <c r="CM130" i="8"/>
  <c r="CM15" i="8"/>
  <c r="CM99" i="8"/>
  <c r="CM10" i="8"/>
  <c r="CM98" i="8"/>
  <c r="CM62" i="8"/>
  <c r="CM96" i="8"/>
  <c r="CM73" i="8"/>
  <c r="CM74" i="8"/>
  <c r="CM48" i="8"/>
  <c r="CM169" i="8"/>
  <c r="CM131" i="8"/>
  <c r="CM93" i="8"/>
  <c r="CM55" i="8"/>
  <c r="CM110" i="8"/>
  <c r="CV21" i="8"/>
  <c r="CV19" i="8"/>
  <c r="CV107" i="8"/>
  <c r="CV22" i="8"/>
  <c r="CV20" i="8"/>
  <c r="CV133" i="8"/>
  <c r="CO166" i="8" l="1"/>
  <c r="CU166" i="8"/>
  <c r="CP166" i="8" s="1"/>
  <c r="CO130" i="8"/>
  <c r="CU130" i="8"/>
  <c r="CP130" i="8" s="1"/>
  <c r="CO153" i="8"/>
  <c r="CU153" i="8"/>
  <c r="CP153" i="8" s="1"/>
  <c r="CO107" i="8"/>
  <c r="CQ107" i="8" s="1"/>
  <c r="CS107" i="8" s="1"/>
  <c r="CU107" i="8"/>
  <c r="CP107" i="8" s="1"/>
  <c r="CU110" i="8"/>
  <c r="CP110" i="8" s="1"/>
  <c r="CO110" i="8"/>
  <c r="CU92" i="8"/>
  <c r="CP92" i="8" s="1"/>
  <c r="CO92" i="8"/>
  <c r="CU178" i="8"/>
  <c r="CP178" i="8" s="1"/>
  <c r="CO178" i="8"/>
  <c r="CU94" i="8"/>
  <c r="CO94" i="8"/>
  <c r="CU131" i="8"/>
  <c r="CP131" i="8" s="1"/>
  <c r="CO131" i="8"/>
  <c r="CU168" i="8"/>
  <c r="CP168" i="8" s="1"/>
  <c r="CO168" i="8"/>
  <c r="CO55" i="8"/>
  <c r="CU55" i="8"/>
  <c r="CO97" i="8"/>
  <c r="CU97" i="8"/>
  <c r="CP97" i="8" s="1"/>
  <c r="CO169" i="8"/>
  <c r="CU169" i="8"/>
  <c r="CP169" i="8" s="1"/>
  <c r="CU9" i="8"/>
  <c r="CP9" i="8" s="1"/>
  <c r="CO9" i="8"/>
  <c r="CU37" i="8"/>
  <c r="CP37" i="8" s="1"/>
  <c r="CO37" i="8"/>
  <c r="CO42" i="8"/>
  <c r="CU42" i="8"/>
  <c r="CP42" i="8" s="1"/>
  <c r="CU129" i="8"/>
  <c r="CP129" i="8" s="1"/>
  <c r="CO129" i="8"/>
  <c r="CU48" i="8"/>
  <c r="CP48" i="8" s="1"/>
  <c r="CO48" i="8"/>
  <c r="CO176" i="8"/>
  <c r="CU176" i="8"/>
  <c r="CP176" i="8" s="1"/>
  <c r="CU138" i="8"/>
  <c r="CP138" i="8" s="1"/>
  <c r="CO138" i="8"/>
  <c r="CO99" i="8"/>
  <c r="CU99" i="8"/>
  <c r="CP99" i="8" s="1"/>
  <c r="CO167" i="8"/>
  <c r="CU167" i="8"/>
  <c r="CP167" i="8" s="1"/>
  <c r="CO86" i="8"/>
  <c r="CU86" i="8"/>
  <c r="CP86" i="8" s="1"/>
  <c r="CO161" i="8"/>
  <c r="CU161" i="8"/>
  <c r="CP161" i="8" s="1"/>
  <c r="CO177" i="8"/>
  <c r="CU177" i="8"/>
  <c r="CP177" i="8" s="1"/>
  <c r="CO74" i="8"/>
  <c r="CQ74" i="8" s="1"/>
  <c r="CS74" i="8" s="1"/>
  <c r="CU74" i="8"/>
  <c r="CP74" i="8" s="1"/>
  <c r="CU96" i="8"/>
  <c r="CP96" i="8" s="1"/>
  <c r="CO96" i="8"/>
  <c r="CO84" i="8"/>
  <c r="CU84" i="8"/>
  <c r="CP84" i="8" s="1"/>
  <c r="CO113" i="8"/>
  <c r="CU113" i="8"/>
  <c r="CP113" i="8" s="1"/>
  <c r="CO76" i="8"/>
  <c r="CU76" i="8"/>
  <c r="CP76" i="8" s="1"/>
  <c r="CO98" i="8"/>
  <c r="CU98" i="8"/>
  <c r="CP98" i="8" s="1"/>
  <c r="CO127" i="8"/>
  <c r="CU127" i="8"/>
  <c r="CP127" i="8" s="1"/>
  <c r="CU179" i="8"/>
  <c r="CP179" i="8" s="1"/>
  <c r="CO179" i="8"/>
  <c r="CU10" i="8"/>
  <c r="CP10" i="8" s="1"/>
  <c r="CO10" i="8"/>
  <c r="CU103" i="8"/>
  <c r="CP103" i="8" s="1"/>
  <c r="CO103" i="8"/>
  <c r="CO120" i="8"/>
  <c r="CU120" i="8"/>
  <c r="CP120" i="8" s="1"/>
  <c r="CO133" i="8"/>
  <c r="CQ133" i="8" s="1"/>
  <c r="CS133" i="8" s="1"/>
  <c r="CU133" i="8"/>
  <c r="CP133" i="8" s="1"/>
  <c r="CU8" i="8"/>
  <c r="CP8" i="8" s="1"/>
  <c r="CO8" i="8"/>
  <c r="CU160" i="8"/>
  <c r="CP160" i="8" s="1"/>
  <c r="CO160" i="8"/>
  <c r="CO93" i="8"/>
  <c r="CU93" i="8"/>
  <c r="CP93" i="8" s="1"/>
  <c r="CO159" i="8"/>
  <c r="CU159" i="8"/>
  <c r="CP159" i="8" s="1"/>
  <c r="CO158" i="8"/>
  <c r="CU158" i="8"/>
  <c r="CP158" i="8" s="1"/>
  <c r="CO156" i="8"/>
  <c r="CU156" i="8"/>
  <c r="CP156" i="8" s="1"/>
  <c r="CU73" i="8"/>
  <c r="CP73" i="8" s="1"/>
  <c r="CO73" i="8"/>
  <c r="CO77" i="8"/>
  <c r="CU77" i="8"/>
  <c r="CP77" i="8" s="1"/>
  <c r="CO20" i="8"/>
  <c r="CQ20" i="8" s="1"/>
  <c r="CS20" i="8" s="1"/>
  <c r="CU20" i="8"/>
  <c r="CP20" i="8" s="1"/>
  <c r="CO22" i="8"/>
  <c r="CQ22" i="8" s="1"/>
  <c r="CS22" i="8" s="1"/>
  <c r="CU22" i="8"/>
  <c r="CP22" i="8" s="1"/>
  <c r="CU21" i="8"/>
  <c r="CP21" i="8" s="1"/>
  <c r="CO21" i="8"/>
  <c r="CQ21" i="8" s="1"/>
  <c r="CS21" i="8" s="1"/>
  <c r="CU15" i="8"/>
  <c r="CP15" i="8" s="1"/>
  <c r="CO15" i="8"/>
  <c r="CO114" i="8"/>
  <c r="CU114" i="8"/>
  <c r="CP114" i="8" s="1"/>
  <c r="CU137" i="8"/>
  <c r="CP137" i="8" s="1"/>
  <c r="CO137" i="8"/>
  <c r="CO61" i="8"/>
  <c r="CU61" i="8"/>
  <c r="CP61" i="8" s="1"/>
  <c r="CU62" i="8"/>
  <c r="CP62" i="8" s="1"/>
  <c r="CO62" i="8"/>
  <c r="CO19" i="8"/>
  <c r="CQ19" i="8" s="1"/>
  <c r="CS19" i="8" s="1"/>
  <c r="CU19" i="8"/>
  <c r="CP19" i="8" s="1"/>
  <c r="BQ52" i="8"/>
  <c r="BQ51" i="8"/>
  <c r="BQ32" i="8"/>
  <c r="BQ31" i="8"/>
  <c r="BQ30" i="8"/>
  <c r="BQ29" i="8"/>
  <c r="BQ28" i="8"/>
  <c r="Z28" i="8"/>
  <c r="BR6" i="8" l="1"/>
  <c r="N15" i="20"/>
  <c r="N16" i="20"/>
  <c r="N17" i="20"/>
  <c r="N18" i="20"/>
  <c r="M18" i="20"/>
  <c r="M16" i="20"/>
  <c r="M15" i="20"/>
  <c r="N14" i="20"/>
  <c r="M14" i="20"/>
  <c r="AB165" i="8"/>
  <c r="AB164" i="8"/>
  <c r="BP52" i="8" l="1"/>
  <c r="BP51" i="8"/>
  <c r="BQ6" i="8" s="1"/>
  <c r="BP116" i="8"/>
  <c r="BP32" i="8"/>
  <c r="BP31" i="8"/>
  <c r="BP30" i="8"/>
  <c r="BP29" i="8"/>
  <c r="BP28" i="8"/>
  <c r="CV42" i="8" l="1"/>
  <c r="CV129" i="8"/>
  <c r="CQ160" i="8"/>
  <c r="CS160" i="8" s="1"/>
  <c r="CV160" i="8"/>
  <c r="CQ158" i="8"/>
  <c r="CS158" i="8" s="1"/>
  <c r="CV158" i="8"/>
  <c r="CQ159" i="8"/>
  <c r="CS159" i="8" s="1"/>
  <c r="CV159" i="8"/>
  <c r="CQ156" i="8"/>
  <c r="CS156" i="8" s="1"/>
  <c r="CV156" i="8"/>
  <c r="CQ161" i="8"/>
  <c r="CS161" i="8" s="1"/>
  <c r="CV161" i="8"/>
  <c r="CQ129" i="8" l="1"/>
  <c r="CS129" i="8" s="1"/>
  <c r="CQ42" i="8"/>
  <c r="CS42" i="8" s="1"/>
  <c r="BO52" i="8" l="1"/>
  <c r="BO51" i="8"/>
  <c r="BP6" i="8" s="1"/>
  <c r="CQ92" i="8" l="1"/>
  <c r="CS92" i="8" s="1"/>
  <c r="CV92" i="8"/>
  <c r="CP112" i="8" l="1"/>
  <c r="CV112" i="8"/>
  <c r="CX112" i="8" s="1"/>
  <c r="CV34" i="8"/>
  <c r="DA112" i="8" l="1"/>
  <c r="CZ112" i="8"/>
  <c r="CO112" i="8"/>
  <c r="CQ112" i="8" s="1"/>
  <c r="CS112" i="8" s="1"/>
  <c r="CO34" i="8"/>
  <c r="CQ34" i="8" s="1"/>
  <c r="CS34" i="8" s="1"/>
  <c r="CV130" i="8" l="1"/>
  <c r="CQ94" i="8"/>
  <c r="CS94" i="8" s="1"/>
  <c r="CQ62" i="8"/>
  <c r="CS62" i="8" s="1"/>
  <c r="CQ169" i="8"/>
  <c r="CS169" i="8" s="1"/>
  <c r="CP94" i="8" l="1"/>
  <c r="CV94" i="8"/>
  <c r="CV62" i="8"/>
  <c r="BK146" i="8" l="1"/>
  <c r="BN116" i="8"/>
  <c r="BN52" i="8" l="1"/>
  <c r="BN51" i="8"/>
  <c r="BO6" i="8" s="1"/>
  <c r="BJ139" i="8"/>
  <c r="BN6" i="8" l="1"/>
  <c r="N5" i="20"/>
  <c r="CQ15" i="8" l="1"/>
  <c r="CS15" i="8" s="1"/>
  <c r="CQ77" i="8" l="1"/>
  <c r="CS77" i="8" s="1"/>
  <c r="CQ86" i="8"/>
  <c r="CS86" i="8" s="1"/>
  <c r="BK116" i="8" l="1"/>
  <c r="CV93" i="8" l="1"/>
  <c r="CQ93" i="8" l="1"/>
  <c r="CS93" i="8" s="1"/>
  <c r="CQ110" i="8" l="1"/>
  <c r="CS110" i="8" s="1"/>
  <c r="BL52" i="8"/>
  <c r="BL51" i="8"/>
  <c r="BM6" i="8" s="1"/>
  <c r="BK147" i="8"/>
  <c r="CV148" i="8" l="1"/>
  <c r="CV147" i="8"/>
  <c r="CV140" i="8"/>
  <c r="CV86" i="8"/>
  <c r="CV98" i="8"/>
  <c r="CV153" i="8"/>
  <c r="CV78" i="8"/>
  <c r="CV96" i="8"/>
  <c r="CV73" i="8"/>
  <c r="CV139" i="8"/>
  <c r="CV120" i="8"/>
  <c r="CV90" i="8"/>
  <c r="CV103" i="8"/>
  <c r="CV48" i="8"/>
  <c r="CV60" i="8"/>
  <c r="CV35" i="8"/>
  <c r="CV8" i="8"/>
  <c r="CV76" i="8"/>
  <c r="CV137" i="8"/>
  <c r="CV66" i="8"/>
  <c r="CV116" i="8"/>
  <c r="CV169" i="8"/>
  <c r="CV127" i="8"/>
  <c r="CV113" i="8"/>
  <c r="CV74" i="8"/>
  <c r="CV145" i="8"/>
  <c r="CV146" i="8"/>
  <c r="CV149" i="8"/>
  <c r="CV55" i="8"/>
  <c r="CV28" i="8"/>
  <c r="CV29" i="8"/>
  <c r="CV30" i="8"/>
  <c r="CV31" i="8"/>
  <c r="CV32" i="8"/>
  <c r="CV110" i="8"/>
  <c r="CV53" i="8"/>
  <c r="CV131" i="8"/>
  <c r="CV75" i="8"/>
  <c r="CV114" i="8"/>
  <c r="CV77" i="8"/>
  <c r="CV165" i="8"/>
  <c r="CV164" i="8"/>
  <c r="CV37" i="8"/>
  <c r="CV168" i="8"/>
  <c r="BI116" i="8"/>
  <c r="BS116" i="8" s="1"/>
  <c r="CM116" i="8" l="1"/>
  <c r="BK51" i="8"/>
  <c r="BK52" i="8"/>
  <c r="BS52" i="8" s="1"/>
  <c r="BH140" i="8"/>
  <c r="BI32" i="8"/>
  <c r="BI31" i="8"/>
  <c r="BI30" i="8"/>
  <c r="BI29" i="8"/>
  <c r="BI28" i="8"/>
  <c r="BG32" i="8"/>
  <c r="BG31" i="8"/>
  <c r="BG30" i="8"/>
  <c r="BG29" i="8"/>
  <c r="BG28" i="8"/>
  <c r="BK148" i="8"/>
  <c r="BK145" i="8"/>
  <c r="BK149" i="8"/>
  <c r="BS30" i="8" l="1"/>
  <c r="CM30" i="8" s="1"/>
  <c r="BS31" i="8"/>
  <c r="CM31" i="8" s="1"/>
  <c r="BS32" i="8"/>
  <c r="CM32" i="8" s="1"/>
  <c r="BS29" i="8"/>
  <c r="CM29" i="8" s="1"/>
  <c r="BS28" i="8"/>
  <c r="CM28" i="8" s="1"/>
  <c r="BL6" i="8"/>
  <c r="BS51" i="8"/>
  <c r="CM51" i="8" s="1"/>
  <c r="CU51" i="8" s="1"/>
  <c r="CO116" i="8"/>
  <c r="CU116" i="8"/>
  <c r="CP116" i="8" s="1"/>
  <c r="CM52" i="8"/>
  <c r="CU52" i="8" s="1"/>
  <c r="CQ168" i="8"/>
  <c r="CS168" i="8" s="1"/>
  <c r="CQ37" i="8"/>
  <c r="CS37" i="8" s="1"/>
  <c r="CY9" i="8"/>
  <c r="CY10" i="8"/>
  <c r="CY12" i="8"/>
  <c r="CY14" i="8"/>
  <c r="CY17" i="8"/>
  <c r="CY18" i="8"/>
  <c r="CY20" i="8"/>
  <c r="CY21" i="8"/>
  <c r="CY22" i="8"/>
  <c r="CY23" i="8"/>
  <c r="CY24" i="8"/>
  <c r="CY25" i="8"/>
  <c r="CY26" i="8"/>
  <c r="CY28" i="8"/>
  <c r="CY30" i="8"/>
  <c r="CY31" i="8"/>
  <c r="CY32" i="8"/>
  <c r="CY33" i="8"/>
  <c r="CY34" i="8"/>
  <c r="CY35" i="8"/>
  <c r="CY36" i="8"/>
  <c r="CY37" i="8"/>
  <c r="CY38" i="8"/>
  <c r="CY39" i="8"/>
  <c r="CY40" i="8"/>
  <c r="CY41" i="8"/>
  <c r="CY42" i="8"/>
  <c r="CY43" i="8"/>
  <c r="CY44" i="8"/>
  <c r="CY45" i="8"/>
  <c r="CY47" i="8"/>
  <c r="CY48" i="8"/>
  <c r="CY49" i="8"/>
  <c r="CY50" i="8"/>
  <c r="CY51" i="8"/>
  <c r="CY56" i="8"/>
  <c r="CY59" i="8"/>
  <c r="CY60" i="8"/>
  <c r="CY61" i="8"/>
  <c r="CY62" i="8"/>
  <c r="CY64" i="8"/>
  <c r="CY65" i="8"/>
  <c r="CY8" i="8"/>
  <c r="O5" i="20"/>
  <c r="O6" i="20"/>
  <c r="O7" i="20"/>
  <c r="O4" i="20"/>
  <c r="N7" i="20"/>
  <c r="CU32" i="8" l="1"/>
  <c r="CP32" i="8" s="1"/>
  <c r="CO32" i="8"/>
  <c r="CQ32" i="8" s="1"/>
  <c r="CS32" i="8" s="1"/>
  <c r="CU31" i="8"/>
  <c r="CP31" i="8" s="1"/>
  <c r="CO31" i="8"/>
  <c r="CQ31" i="8" s="1"/>
  <c r="CS31" i="8" s="1"/>
  <c r="CU30" i="8"/>
  <c r="CP30" i="8" s="1"/>
  <c r="CO30" i="8"/>
  <c r="CQ30" i="8" s="1"/>
  <c r="CS30" i="8" s="1"/>
  <c r="CU29" i="8"/>
  <c r="CP29" i="8" s="1"/>
  <c r="CO29" i="8"/>
  <c r="CQ29" i="8" s="1"/>
  <c r="CS29" i="8" s="1"/>
  <c r="CO28" i="8"/>
  <c r="CU28" i="8"/>
  <c r="CP28" i="8" s="1"/>
  <c r="M7" i="20"/>
  <c r="N6" i="20"/>
  <c r="M6" i="20"/>
  <c r="M5" i="20"/>
  <c r="N4" i="20"/>
  <c r="BH148" i="8" l="1"/>
  <c r="BS148" i="8" s="1"/>
  <c r="BH147" i="8"/>
  <c r="BS147" i="8" s="1"/>
  <c r="BJ140" i="8"/>
  <c r="BS140" i="8" s="1"/>
  <c r="BH139" i="8"/>
  <c r="BS139" i="8" s="1"/>
  <c r="BH145" i="8"/>
  <c r="BS145" i="8" s="1"/>
  <c r="BH146" i="8"/>
  <c r="BS146" i="8" s="1"/>
  <c r="BH149" i="8"/>
  <c r="BS149" i="8" s="1"/>
  <c r="BG49" i="8"/>
  <c r="BH49" i="8"/>
  <c r="BI49" i="8"/>
  <c r="BJ49" i="8"/>
  <c r="BG50" i="8"/>
  <c r="BH50" i="8"/>
  <c r="BI50" i="8"/>
  <c r="BJ50" i="8"/>
  <c r="BH165" i="8"/>
  <c r="BS165" i="8" s="1"/>
  <c r="BH164" i="8"/>
  <c r="BS164" i="8" s="1"/>
  <c r="CQ113" i="8"/>
  <c r="CS113" i="8" s="1"/>
  <c r="CQ75" i="8"/>
  <c r="CS75" i="8" s="1"/>
  <c r="CQ114" i="8"/>
  <c r="CS114" i="8" s="1"/>
  <c r="CO51" i="8"/>
  <c r="CO52" i="8"/>
  <c r="CO35" i="8"/>
  <c r="CO46" i="8"/>
  <c r="H34" i="16"/>
  <c r="G34" i="16"/>
  <c r="F34" i="16"/>
  <c r="H33" i="16"/>
  <c r="G33" i="16"/>
  <c r="F33" i="16"/>
  <c r="H32" i="16"/>
  <c r="G32" i="16"/>
  <c r="F32" i="16"/>
  <c r="H31" i="16"/>
  <c r="G31" i="16"/>
  <c r="F31" i="16"/>
  <c r="H30" i="16"/>
  <c r="G30" i="16"/>
  <c r="F30" i="16"/>
  <c r="H29" i="16"/>
  <c r="G29" i="16"/>
  <c r="F29" i="16"/>
  <c r="H28" i="16"/>
  <c r="G28" i="16"/>
  <c r="F28" i="16"/>
  <c r="H27" i="16"/>
  <c r="G27" i="16"/>
  <c r="F27" i="16"/>
  <c r="H26" i="16"/>
  <c r="G26" i="16"/>
  <c r="F26" i="16"/>
  <c r="H25" i="16"/>
  <c r="G25" i="16"/>
  <c r="F25" i="16"/>
  <c r="H24" i="16"/>
  <c r="G24" i="16"/>
  <c r="F24" i="16"/>
  <c r="H23" i="16"/>
  <c r="G23" i="16"/>
  <c r="F23" i="16"/>
  <c r="N17" i="16"/>
  <c r="H17" i="16"/>
  <c r="G17" i="16"/>
  <c r="F17" i="16"/>
  <c r="N16" i="16"/>
  <c r="H16" i="16"/>
  <c r="G16" i="16"/>
  <c r="F16" i="16"/>
  <c r="N15" i="16"/>
  <c r="H15" i="16"/>
  <c r="G15" i="16"/>
  <c r="F15" i="16"/>
  <c r="N14" i="16"/>
  <c r="H14" i="16"/>
  <c r="G14" i="16"/>
  <c r="F14" i="16"/>
  <c r="N13" i="16"/>
  <c r="H13" i="16"/>
  <c r="G13" i="16"/>
  <c r="F13" i="16"/>
  <c r="N12" i="16"/>
  <c r="H12" i="16"/>
  <c r="G12" i="16"/>
  <c r="F12" i="16"/>
  <c r="N7" i="16"/>
  <c r="H7" i="16"/>
  <c r="G7" i="16"/>
  <c r="F7" i="16"/>
  <c r="N6" i="16"/>
  <c r="H6" i="16"/>
  <c r="G6" i="16"/>
  <c r="F6" i="16"/>
  <c r="N5" i="16"/>
  <c r="H5" i="16"/>
  <c r="G5" i="16"/>
  <c r="F5" i="16"/>
  <c r="N4" i="16"/>
  <c r="H4" i="16"/>
  <c r="G4" i="16"/>
  <c r="F4" i="16"/>
  <c r="J147" i="8"/>
  <c r="J145" i="8"/>
  <c r="J146" i="8"/>
  <c r="J149" i="8"/>
  <c r="E34" i="13"/>
  <c r="D34" i="13"/>
  <c r="C34" i="13"/>
  <c r="AB149" i="8"/>
  <c r="AB146" i="8"/>
  <c r="AB145" i="8"/>
  <c r="AB147" i="8"/>
  <c r="AB148" i="8"/>
  <c r="J9" i="10"/>
  <c r="J10" i="10"/>
  <c r="J11" i="10"/>
  <c r="J12" i="10"/>
  <c r="J13" i="10"/>
  <c r="J8" i="10"/>
  <c r="C15" i="10"/>
  <c r="E13" i="10" s="1"/>
  <c r="L15" i="10"/>
  <c r="F15" i="10"/>
  <c r="G15" i="10"/>
  <c r="M15" i="10"/>
  <c r="H15" i="10"/>
  <c r="D15" i="10"/>
  <c r="Z55" i="8"/>
  <c r="CP55" i="8" s="1"/>
  <c r="AH37" i="4"/>
  <c r="AH36" i="4"/>
  <c r="AH33" i="4"/>
  <c r="AH32" i="4"/>
  <c r="AH31" i="4"/>
  <c r="AH30" i="4"/>
  <c r="AG27" i="4"/>
  <c r="AF27" i="4"/>
  <c r="AH27" i="4" s="1"/>
  <c r="AG26" i="4"/>
  <c r="AF26" i="4"/>
  <c r="AH26" i="4" s="1"/>
  <c r="AH25" i="4"/>
  <c r="AH24" i="4"/>
  <c r="AD23" i="4"/>
  <c r="AF23" i="4" s="1"/>
  <c r="AH23" i="4" s="1"/>
  <c r="AG22" i="4"/>
  <c r="AF22" i="4"/>
  <c r="AH22" i="4" s="1"/>
  <c r="AD21" i="4"/>
  <c r="AG21" i="4" s="1"/>
  <c r="AD20" i="4"/>
  <c r="AG20" i="4" s="1"/>
  <c r="AG19" i="4"/>
  <c r="AF19" i="4"/>
  <c r="AH19" i="4" s="1"/>
  <c r="AG18" i="4"/>
  <c r="AF18" i="4"/>
  <c r="AH18" i="4" s="1"/>
  <c r="AG17" i="4"/>
  <c r="AF17" i="4"/>
  <c r="AH17" i="4" s="1"/>
  <c r="AG16" i="4"/>
  <c r="AF16" i="4"/>
  <c r="AH16" i="4" s="1"/>
  <c r="AG15" i="4"/>
  <c r="AF15" i="4"/>
  <c r="AH15" i="4" s="1"/>
  <c r="AG14" i="4"/>
  <c r="AF14" i="4"/>
  <c r="AH14" i="4" s="1"/>
  <c r="AH13" i="4"/>
  <c r="AG12" i="4"/>
  <c r="AF12" i="4"/>
  <c r="AH12" i="4" s="1"/>
  <c r="T12" i="4"/>
  <c r="AG11" i="4"/>
  <c r="AF11" i="4"/>
  <c r="AH11" i="4" s="1"/>
  <c r="AG10" i="4"/>
  <c r="AF10" i="4"/>
  <c r="AH10" i="4" s="1"/>
  <c r="AH9" i="4"/>
  <c r="W9" i="4"/>
  <c r="W4" i="4" s="1"/>
  <c r="AG8" i="4"/>
  <c r="AF8" i="4"/>
  <c r="AH8" i="4" s="1"/>
  <c r="AG7" i="4"/>
  <c r="AF7" i="4"/>
  <c r="AH7" i="4" s="1"/>
  <c r="AG6" i="4"/>
  <c r="AF6" i="4"/>
  <c r="AH6" i="4" s="1"/>
  <c r="X4" i="4"/>
  <c r="A3" i="13" a="1"/>
  <c r="BS50" i="8" l="1"/>
  <c r="CM50" i="8" s="1"/>
  <c r="CU50" i="8" s="1"/>
  <c r="CP50" i="8" s="1"/>
  <c r="BS49" i="8"/>
  <c r="CM49" i="8" s="1"/>
  <c r="CQ51" i="8"/>
  <c r="CS51" i="8" s="1"/>
  <c r="BK6" i="8"/>
  <c r="CY29" i="8"/>
  <c r="A3" i="13"/>
  <c r="B3" i="13" s="1"/>
  <c r="AB6" i="8"/>
  <c r="BG6" i="8"/>
  <c r="BJ6" i="8"/>
  <c r="BI6" i="8"/>
  <c r="BH6" i="8"/>
  <c r="CP53" i="8"/>
  <c r="CM165" i="8"/>
  <c r="CM149" i="8"/>
  <c r="CM146" i="8"/>
  <c r="CM145" i="8"/>
  <c r="CM139" i="8"/>
  <c r="CM140" i="8"/>
  <c r="CM147" i="8"/>
  <c r="CM164" i="8"/>
  <c r="CM148" i="8"/>
  <c r="CW56" i="8"/>
  <c r="CX56" i="8" s="1"/>
  <c r="CY19" i="8"/>
  <c r="CY13" i="8"/>
  <c r="CW24" i="8"/>
  <c r="CX24" i="8" s="1"/>
  <c r="CW20" i="8"/>
  <c r="CX20" i="8" s="1"/>
  <c r="CW26" i="8"/>
  <c r="CX26" i="8" s="1"/>
  <c r="CW22" i="8"/>
  <c r="CX22" i="8" s="1"/>
  <c r="CY15" i="8"/>
  <c r="CY16" i="8"/>
  <c r="CY63" i="8"/>
  <c r="CW39" i="8"/>
  <c r="CX39" i="8" s="1"/>
  <c r="CW38" i="8"/>
  <c r="CX38" i="8" s="1"/>
  <c r="CY58" i="8"/>
  <c r="E9" i="10"/>
  <c r="AF20" i="4"/>
  <c r="AH20" i="4" s="1"/>
  <c r="E11" i="10"/>
  <c r="E10" i="10"/>
  <c r="CQ55" i="8"/>
  <c r="CS55" i="8" s="1"/>
  <c r="AG23" i="4"/>
  <c r="CY27" i="8"/>
  <c r="E15" i="10"/>
  <c r="E12" i="10"/>
  <c r="E8" i="10"/>
  <c r="CY11" i="8"/>
  <c r="J15" i="10"/>
  <c r="CW62" i="8"/>
  <c r="CX62" i="8" s="1"/>
  <c r="CW65" i="8"/>
  <c r="CX65" i="8" s="1"/>
  <c r="CW63" i="8"/>
  <c r="CX63" i="8" s="1"/>
  <c r="CQ28" i="8"/>
  <c r="CS28" i="8" s="1"/>
  <c r="CW59" i="8"/>
  <c r="CX59" i="8" s="1"/>
  <c r="CW37" i="8"/>
  <c r="CX37" i="8" s="1"/>
  <c r="CW34" i="8"/>
  <c r="CX34" i="8" s="1"/>
  <c r="CW29" i="8"/>
  <c r="CX29" i="8" s="1"/>
  <c r="CW28" i="8"/>
  <c r="CX28" i="8" s="1"/>
  <c r="CW41" i="8"/>
  <c r="CX41" i="8" s="1"/>
  <c r="CZ41" i="8" s="1"/>
  <c r="CW33" i="8"/>
  <c r="CX33" i="8" s="1"/>
  <c r="CW32" i="8"/>
  <c r="CX32" i="8" s="1"/>
  <c r="CW31" i="8"/>
  <c r="CX31" i="8" s="1"/>
  <c r="CW27" i="8"/>
  <c r="CX27" i="8" s="1"/>
  <c r="CW30" i="8"/>
  <c r="CX30" i="8" s="1"/>
  <c r="CW19" i="8"/>
  <c r="CX19" i="8" s="1"/>
  <c r="CW17" i="8"/>
  <c r="CX17" i="8" s="1"/>
  <c r="CW15" i="8"/>
  <c r="CX15" i="8" s="1"/>
  <c r="CW11" i="8"/>
  <c r="CX11" i="8" s="1"/>
  <c r="AD4" i="4"/>
  <c r="I15" i="10"/>
  <c r="AG9" i="4"/>
  <c r="AF21" i="4"/>
  <c r="AH21" i="4" s="1"/>
  <c r="CY46" i="8"/>
  <c r="CQ52" i="8"/>
  <c r="CS52" i="8" s="1"/>
  <c r="CQ131" i="8"/>
  <c r="CS131" i="8" s="1"/>
  <c r="CQ96" i="8"/>
  <c r="CS96" i="8" s="1"/>
  <c r="CQ177" i="8"/>
  <c r="CS177" i="8" s="1"/>
  <c r="CQ84" i="8"/>
  <c r="CS84" i="8" s="1"/>
  <c r="CQ127" i="8"/>
  <c r="CS127" i="8" s="1"/>
  <c r="CQ73" i="8"/>
  <c r="CS73" i="8" s="1"/>
  <c r="CQ9" i="8"/>
  <c r="CS9" i="8" s="1"/>
  <c r="CQ8" i="8"/>
  <c r="CS8" i="8" s="1"/>
  <c r="CQ78" i="8"/>
  <c r="CS78" i="8" s="1"/>
  <c r="CQ178" i="8"/>
  <c r="CS178" i="8" s="1"/>
  <c r="CQ35" i="8"/>
  <c r="CS35" i="8" s="1"/>
  <c r="CQ116" i="8"/>
  <c r="CS116" i="8" s="1"/>
  <c r="CQ60" i="8"/>
  <c r="CS60" i="8" s="1"/>
  <c r="CQ138" i="8"/>
  <c r="CS138" i="8" s="1"/>
  <c r="CQ137" i="8"/>
  <c r="CS137" i="8" s="1"/>
  <c r="CQ48" i="8"/>
  <c r="CS48" i="8" s="1"/>
  <c r="CQ100" i="8"/>
  <c r="CS100" i="8" s="1"/>
  <c r="CQ10" i="8"/>
  <c r="CS10" i="8" s="1"/>
  <c r="CQ153" i="8"/>
  <c r="CS153" i="8" s="1"/>
  <c r="CQ97" i="8"/>
  <c r="CS97" i="8" s="1"/>
  <c r="CQ46" i="8"/>
  <c r="CS46" i="8" s="1"/>
  <c r="CQ120" i="8"/>
  <c r="CS120" i="8" s="1"/>
  <c r="CQ99" i="8"/>
  <c r="CS99" i="8" s="1"/>
  <c r="CQ179" i="8"/>
  <c r="CS179" i="8" s="1"/>
  <c r="CQ66" i="8"/>
  <c r="CS66" i="8" s="1"/>
  <c r="CQ61" i="8"/>
  <c r="CS61" i="8" s="1"/>
  <c r="CQ76" i="8"/>
  <c r="CS76" i="8" s="1"/>
  <c r="CQ103" i="8"/>
  <c r="CS103" i="8" s="1"/>
  <c r="CQ90" i="8"/>
  <c r="CS90" i="8" s="1"/>
  <c r="CP46" i="8"/>
  <c r="CP52" i="8"/>
  <c r="CO53" i="8"/>
  <c r="CM6" i="8" l="1"/>
  <c r="CO50" i="8"/>
  <c r="CQ50" i="8" s="1"/>
  <c r="CS50" i="8" s="1"/>
  <c r="CU49" i="8"/>
  <c r="CP49" i="8" s="1"/>
  <c r="CO165" i="8"/>
  <c r="CQ165" i="8" s="1"/>
  <c r="CS165" i="8" s="1"/>
  <c r="CU165" i="8"/>
  <c r="CP165" i="8" s="1"/>
  <c r="CO148" i="8"/>
  <c r="CQ148" i="8" s="1"/>
  <c r="CS148" i="8" s="1"/>
  <c r="CU148" i="8"/>
  <c r="CP148" i="8" s="1"/>
  <c r="CO164" i="8"/>
  <c r="CQ164" i="8" s="1"/>
  <c r="CS164" i="8" s="1"/>
  <c r="CU164" i="8"/>
  <c r="CP164" i="8" s="1"/>
  <c r="CO147" i="8"/>
  <c r="CQ147" i="8" s="1"/>
  <c r="CS147" i="8" s="1"/>
  <c r="CU147" i="8"/>
  <c r="CP147" i="8" s="1"/>
  <c r="CO140" i="8"/>
  <c r="CQ140" i="8" s="1"/>
  <c r="CS140" i="8" s="1"/>
  <c r="CU140" i="8"/>
  <c r="CP140" i="8" s="1"/>
  <c r="CO149" i="8"/>
  <c r="CQ149" i="8" s="1"/>
  <c r="CS149" i="8" s="1"/>
  <c r="CU149" i="8"/>
  <c r="CP149" i="8" s="1"/>
  <c r="CO139" i="8"/>
  <c r="CQ139" i="8" s="1"/>
  <c r="CS139" i="8" s="1"/>
  <c r="CU139" i="8"/>
  <c r="CP139" i="8" s="1"/>
  <c r="CO145" i="8"/>
  <c r="CQ145" i="8" s="1"/>
  <c r="CS145" i="8" s="1"/>
  <c r="CU145" i="8"/>
  <c r="CP145" i="8" s="1"/>
  <c r="CO49" i="8"/>
  <c r="CO146" i="8"/>
  <c r="CQ146" i="8" s="1"/>
  <c r="CS146" i="8" s="1"/>
  <c r="CU146" i="8"/>
  <c r="CP146" i="8" s="1"/>
  <c r="BT6" i="8"/>
  <c r="BS6" i="8"/>
  <c r="CU6" i="8"/>
  <c r="CW13" i="8"/>
  <c r="CX13" i="8" s="1"/>
  <c r="CW58" i="8"/>
  <c r="CX58" i="8" s="1"/>
  <c r="CP51" i="8"/>
  <c r="CW43" i="8"/>
  <c r="CX43" i="8" s="1"/>
  <c r="CZ43" i="8" s="1"/>
  <c r="CQ98" i="8"/>
  <c r="CS98" i="8" s="1"/>
  <c r="CW12" i="8"/>
  <c r="CX12" i="8" s="1"/>
  <c r="CZ12" i="8" s="1"/>
  <c r="CW25" i="8"/>
  <c r="CX25" i="8" s="1"/>
  <c r="CZ25" i="8" s="1"/>
  <c r="CQ176" i="8"/>
  <c r="CS176" i="8" s="1"/>
  <c r="CW46" i="8"/>
  <c r="CX46" i="8" s="1"/>
  <c r="DA46" i="8" s="1"/>
  <c r="CW45" i="8"/>
  <c r="CX45" i="8" s="1"/>
  <c r="CZ45" i="8" s="1"/>
  <c r="CW40" i="8"/>
  <c r="CX40" i="8" s="1"/>
  <c r="CZ40" i="8" s="1"/>
  <c r="CW36" i="8"/>
  <c r="CX36" i="8" s="1"/>
  <c r="CZ36" i="8" s="1"/>
  <c r="CW35" i="8"/>
  <c r="CX35" i="8" s="1"/>
  <c r="DA35" i="8" s="1"/>
  <c r="CW60" i="8"/>
  <c r="CX60" i="8" s="1"/>
  <c r="DA60" i="8" s="1"/>
  <c r="CW61" i="8"/>
  <c r="CX61" i="8" s="1"/>
  <c r="CZ61" i="8" s="1"/>
  <c r="AG4" i="4"/>
  <c r="AF4" i="4"/>
  <c r="CW64" i="8"/>
  <c r="CX64" i="8" s="1"/>
  <c r="CZ64" i="8" s="1"/>
  <c r="CW14" i="8"/>
  <c r="CX14" i="8" s="1"/>
  <c r="DA14" i="8" s="1"/>
  <c r="CW16" i="8"/>
  <c r="CX16" i="8" s="1"/>
  <c r="DA16" i="8" s="1"/>
  <c r="CW21" i="8"/>
  <c r="CX21" i="8" s="1"/>
  <c r="CZ21" i="8" s="1"/>
  <c r="CW50" i="8"/>
  <c r="CX50" i="8" s="1"/>
  <c r="DA50" i="8" s="1"/>
  <c r="CW51" i="8"/>
  <c r="CX51" i="8" s="1"/>
  <c r="CZ51" i="8" s="1"/>
  <c r="CY66" i="8"/>
  <c r="DA11" i="8"/>
  <c r="CW47" i="8"/>
  <c r="CX47" i="8" s="1"/>
  <c r="DA47" i="8" s="1"/>
  <c r="CW9" i="8"/>
  <c r="CX9" i="8" s="1"/>
  <c r="DA39" i="8"/>
  <c r="CZ39" i="8"/>
  <c r="DA56" i="8"/>
  <c r="CZ56" i="8"/>
  <c r="DA41" i="8"/>
  <c r="CW48" i="8"/>
  <c r="CX48" i="8" s="1"/>
  <c r="CW49" i="8"/>
  <c r="CX49" i="8" s="1"/>
  <c r="CW18" i="8"/>
  <c r="CX18" i="8" s="1"/>
  <c r="CZ18" i="8" s="1"/>
  <c r="CW10" i="8"/>
  <c r="CX10" i="8" s="1"/>
  <c r="CW8" i="8"/>
  <c r="CZ11" i="8"/>
  <c r="CZ63" i="8"/>
  <c r="DA63" i="8"/>
  <c r="CZ27" i="8"/>
  <c r="DA27" i="8"/>
  <c r="CZ59" i="8"/>
  <c r="DA59" i="8"/>
  <c r="CZ19" i="8"/>
  <c r="DA19" i="8"/>
  <c r="CZ15" i="8"/>
  <c r="DA15" i="8"/>
  <c r="CZ20" i="8"/>
  <c r="DA20" i="8"/>
  <c r="CZ29" i="8"/>
  <c r="DA29" i="8"/>
  <c r="CZ62" i="8"/>
  <c r="DA62" i="8"/>
  <c r="CZ26" i="8"/>
  <c r="DA26" i="8"/>
  <c r="CZ22" i="8"/>
  <c r="DA22" i="8"/>
  <c r="CZ24" i="8"/>
  <c r="DA24" i="8"/>
  <c r="CZ28" i="8"/>
  <c r="DA28" i="8"/>
  <c r="CZ17" i="8"/>
  <c r="DA17" i="8"/>
  <c r="CZ30" i="8"/>
  <c r="DA30" i="8"/>
  <c r="CZ31" i="8"/>
  <c r="DA31" i="8"/>
  <c r="CZ32" i="8"/>
  <c r="DA32" i="8"/>
  <c r="CZ38" i="8"/>
  <c r="DA38" i="8"/>
  <c r="CZ37" i="8"/>
  <c r="DA37" i="8"/>
  <c r="CZ34" i="8"/>
  <c r="DA34" i="8"/>
  <c r="CZ33" i="8"/>
  <c r="DA33" i="8"/>
  <c r="CQ53" i="8"/>
  <c r="CS53" i="8" s="1"/>
  <c r="CQ49" i="8" l="1"/>
  <c r="CS49" i="8" s="1"/>
  <c r="CO6" i="8"/>
  <c r="CP6" i="8"/>
  <c r="CZ13" i="8"/>
  <c r="DA13" i="8"/>
  <c r="CW44" i="8"/>
  <c r="CX44" i="8" s="1"/>
  <c r="CW42" i="8"/>
  <c r="CX42" i="8" s="1"/>
  <c r="CZ42" i="8" s="1"/>
  <c r="DA43" i="8"/>
  <c r="DA12" i="8"/>
  <c r="DA25" i="8"/>
  <c r="CW23" i="8"/>
  <c r="CX23" i="8" s="1"/>
  <c r="CZ23" i="8" s="1"/>
  <c r="CZ46" i="8"/>
  <c r="CZ35" i="8"/>
  <c r="DA40" i="8"/>
  <c r="CZ60" i="8"/>
  <c r="DA36" i="8"/>
  <c r="DA61" i="8"/>
  <c r="DA45" i="8"/>
  <c r="CZ14" i="8"/>
  <c r="DA64" i="8"/>
  <c r="DA21" i="8"/>
  <c r="CZ16" i="8"/>
  <c r="CZ50" i="8"/>
  <c r="DA51" i="8"/>
  <c r="CZ47" i="8"/>
  <c r="CZ9" i="8"/>
  <c r="DA9" i="8"/>
  <c r="CZ48" i="8"/>
  <c r="DA48" i="8"/>
  <c r="CZ49" i="8"/>
  <c r="DA49" i="8"/>
  <c r="DA18" i="8"/>
  <c r="CX8" i="8"/>
  <c r="CZ8" i="8" s="1"/>
  <c r="CZ10" i="8"/>
  <c r="DA10" i="8"/>
  <c r="CZ58" i="8"/>
  <c r="DA58" i="8"/>
  <c r="CZ65" i="8"/>
  <c r="DA65" i="8"/>
  <c r="CS6" i="8"/>
  <c r="DA44" i="8" l="1"/>
  <c r="CZ44" i="8"/>
  <c r="CZ66" i="8" s="1"/>
  <c r="DA42" i="8"/>
  <c r="DA23" i="8"/>
  <c r="CW66" i="8"/>
  <c r="DA8" i="8"/>
  <c r="CX66" i="8"/>
  <c r="DA66" i="8" s="1"/>
  <c r="B33" i="13" s="1"/>
  <c r="B32" i="13" s="1"/>
  <c r="B31" i="13" s="1"/>
  <c r="B30" i="13" s="1"/>
  <c r="B29" i="13" s="1"/>
  <c r="B28" i="13" s="1"/>
  <c r="B26" i="13" s="1"/>
  <c r="B25" i="13" s="1"/>
  <c r="B23" i="13" s="1"/>
  <c r="B22" i="13" s="1"/>
  <c r="B21" i="13" s="1"/>
  <c r="B20" i="13" s="1"/>
  <c r="B19" i="13" s="1"/>
  <c r="B18" i="13" s="1"/>
  <c r="B17" i="13" s="1"/>
  <c r="B16" i="13" s="1"/>
  <c r="B15" i="13" s="1"/>
  <c r="B14" i="13" s="1"/>
  <c r="B13" i="13" s="1"/>
  <c r="B12" i="13" s="1"/>
  <c r="B11" i="13" s="1"/>
  <c r="B10" i="13" s="1"/>
  <c r="B9" i="13" s="1"/>
  <c r="B8" i="13" s="1"/>
  <c r="B7" i="13" s="1"/>
  <c r="B6" i="13" s="1"/>
  <c r="B5" i="13" s="1"/>
  <c r="B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tc={A6C131D2-1D59-4F0E-8B98-2E22444B3582}</author>
    <author>tc={E00BC084-4279-4703-83EA-FFE1A675EBA6}</author>
    <author>tc={49ADB690-70BC-4016-BFC7-DC6D9FA8D189}</author>
  </authors>
  <commentList>
    <comment ref="I17" authorId="0" shapeId="0" xr:uid="{A6C131D2-1D59-4F0E-8B98-2E22444B3582}">
      <text>
        <t>[Threaded comment]
Your version of Excel allows you to read this threaded comment; however, any edits to it will get removed if the file is opened in a newer version of Excel. Learn more: https://go.microsoft.com/fwlink/?linkid=870924
Comment:
    Previously 4077</t>
      </text>
    </comment>
    <comment ref="CN61" authorId="1"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Revised to 2months, start from January 2024</t>
      </text>
    </comment>
    <comment ref="BZ186" authorId="2" shapeId="0" xr:uid="{49ADB690-70BC-4016-BFC7-DC6D9FA8D189}">
      <text>
        <t>[Threaded comment]
Your version of Excel allows you to read this threaded comment; however, any edits to it will get removed if the file is opened in a newer version of Excel. Learn more: https://go.microsoft.com/fwlink/?linkid=870924
Comment:
    Sales in IQ and C&amp;M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tc={533E1067-4A8A-461C-9CFD-70A111E05B3C}</author>
  </authors>
  <commentList>
    <comment ref="E81" authorId="0" shapeId="0" xr:uid="{533E1067-4A8A-461C-9CFD-70A111E05B3C}">
      <text>
        <t>[Threaded comment]
Your version of Excel allows you to read this threaded comment; however, any edits to it will get removed if the file is opened in a newer version of Excel. Learn more: https://go.microsoft.com/fwlink/?linkid=870924
Comment:
    Previously 4077</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<sst xmlns="http://schemas.openxmlformats.org/spreadsheetml/2006/main" count="8026" uniqueCount="1708">
  <si>
    <t>Status</t>
  </si>
  <si>
    <t>(Multiple Items)</t>
  </si>
  <si>
    <t>Reagent Rental Report</t>
  </si>
  <si>
    <t>Region</t>
  </si>
  <si>
    <t>Number of Machines</t>
  </si>
  <si>
    <t>Investment</t>
  </si>
  <si>
    <t xml:space="preserve">Total Reagent Sales till date Actual </t>
  </si>
  <si>
    <t xml:space="preserve">Margin on Reagent sale </t>
  </si>
  <si>
    <t>Payback in months</t>
  </si>
  <si>
    <t>Cost recovered</t>
  </si>
  <si>
    <t xml:space="preserve">Investment % Share </t>
  </si>
  <si>
    <t>Count of Machine Name</t>
  </si>
  <si>
    <t>Commitment reagent sales Per month</t>
  </si>
  <si>
    <t>Avg reagent Sales per month</t>
  </si>
  <si>
    <t>Deficit %</t>
  </si>
  <si>
    <t>South</t>
  </si>
  <si>
    <t>Center</t>
  </si>
  <si>
    <t>North</t>
  </si>
  <si>
    <t>Grand Total</t>
  </si>
  <si>
    <t>Supplier Name</t>
  </si>
  <si>
    <t xml:space="preserve">Total Reagent Sales till date Actual  </t>
  </si>
  <si>
    <t>OCD</t>
  </si>
  <si>
    <t>Boule</t>
  </si>
  <si>
    <t>Elitech</t>
  </si>
  <si>
    <t>YHLO</t>
  </si>
  <si>
    <t>Erba</t>
  </si>
  <si>
    <t>6</t>
  </si>
  <si>
    <t>Machines</t>
  </si>
  <si>
    <t>Vitros ECiQ Immunodiagnostic System</t>
  </si>
  <si>
    <t>Vitros 3600</t>
  </si>
  <si>
    <t>Selectra Mach 5</t>
  </si>
  <si>
    <t>iFlash 1800</t>
  </si>
  <si>
    <t xml:space="preserve">IFlash 1800 </t>
  </si>
  <si>
    <t>Swelab Alfa Plus Standard</t>
  </si>
  <si>
    <t>laura XL</t>
  </si>
  <si>
    <t>iFlash 1200</t>
  </si>
  <si>
    <t>Selectra PRO M Lite</t>
  </si>
  <si>
    <t>ECL760 Refurb</t>
  </si>
  <si>
    <t>EC90</t>
  </si>
  <si>
    <t>Total Investment</t>
  </si>
  <si>
    <t>No.of Machine Name</t>
  </si>
  <si>
    <t>Per Month Commitment</t>
  </si>
  <si>
    <t>'May-25</t>
  </si>
  <si>
    <t>'Jun-25</t>
  </si>
  <si>
    <t>Jul'-25</t>
  </si>
  <si>
    <t>Aug'-25</t>
  </si>
  <si>
    <t>Sep'-25</t>
  </si>
  <si>
    <t>% Achievement</t>
  </si>
  <si>
    <t>Total</t>
  </si>
  <si>
    <t>Vital Scientific</t>
  </si>
  <si>
    <t>Dymind</t>
  </si>
  <si>
    <t>Stago</t>
  </si>
  <si>
    <t>Nova</t>
  </si>
  <si>
    <t>Zybio</t>
  </si>
  <si>
    <t>Row Labels</t>
  </si>
  <si>
    <t>Sum of Per Month Reagent Commitment</t>
  </si>
  <si>
    <t>(SICHN) Sindh Institute of Child Health and Neonatology</t>
  </si>
  <si>
    <t>Advance Diagnostic Centre</t>
  </si>
  <si>
    <t>Aga Khan Hospital</t>
  </si>
  <si>
    <t>Akbar Niazi Teaching Hospital</t>
  </si>
  <si>
    <t>AL Khidmat Diagnostic Center</t>
  </si>
  <si>
    <t>Al Khidmat Foundation</t>
  </si>
  <si>
    <t>Al Khidmat Razi Hospital</t>
  </si>
  <si>
    <t xml:space="preserve">Al Maisarah Dialysis &amp; Diabetes trust </t>
  </si>
  <si>
    <t>Alamgir Welfare Trust Int.</t>
  </si>
  <si>
    <t>Ali Medical Center Islamabad</t>
  </si>
  <si>
    <t>Al-Khidmat Diagnostic Center</t>
  </si>
  <si>
    <t>Al-Khidmat Hospital</t>
  </si>
  <si>
    <t>Allied Hospital / DHQ Hospital</t>
  </si>
  <si>
    <t>Arif Memorial Hospital</t>
  </si>
  <si>
    <t>Aziz Bhatti Shaheed Teaching Hospital</t>
  </si>
  <si>
    <t>BioPath Lab &amp;  Diagnostic Centre</t>
  </si>
  <si>
    <t>Burhani Hospital Trust</t>
  </si>
  <si>
    <t>Children's Hospital Faisalabad</t>
  </si>
  <si>
    <t>Creek General Hospital (Patients Welfare Foundation)</t>
  </si>
  <si>
    <t>D&amp;R Lab (Dadu) /Liaquat University Of Medical &amp; Hea</t>
  </si>
  <si>
    <t>Dar ul Sehat Hospital</t>
  </si>
  <si>
    <t>DHO Nawabshah Through HS Medical Nawab Shah</t>
  </si>
  <si>
    <t>Dr. Essa Laboratory</t>
  </si>
  <si>
    <t>Fatima Jinnah Institute of Chest Disease (Jamal brothers)</t>
  </si>
  <si>
    <t>Fayyaz Lab (Through Jamal brothers)</t>
  </si>
  <si>
    <t>Fazle Umar Hospital</t>
  </si>
  <si>
    <t>GAMCA (Peshawar Medical Check-up Center) Through Jan Marketing</t>
  </si>
  <si>
    <t xml:space="preserve">GAMCA (Venus Diagnostic Center) </t>
  </si>
  <si>
    <t>Ghurki Trust Teaching Hospital</t>
  </si>
  <si>
    <t>Gillani Hospital Quetta(Through Jamal Brothers)</t>
  </si>
  <si>
    <t>Gulab Devi Chest Hospital</t>
  </si>
  <si>
    <t>Healthway Laboratories</t>
  </si>
  <si>
    <t>Hopes Diagnostics</t>
  </si>
  <si>
    <t>Hussaini Blood Bank</t>
  </si>
  <si>
    <t>Imperial Lab</t>
  </si>
  <si>
    <t xml:space="preserve">Indus Hospital </t>
  </si>
  <si>
    <t>Indus Hospital &amp; Health Network</t>
  </si>
  <si>
    <t>Ishtiaq Tarrar Medical Complex</t>
  </si>
  <si>
    <t>Karachi Instituite of Heart Diseases (KIHD)</t>
  </si>
  <si>
    <t>Lady  Aitchison Hospital</t>
  </si>
  <si>
    <t>M khan Lab Quetta (Through Jamal brothers)</t>
  </si>
  <si>
    <t>Magma International/CDA</t>
  </si>
  <si>
    <t>Makhdoom Diagnostic Center MDC</t>
  </si>
  <si>
    <t xml:space="preserve">Masood Hospital </t>
  </si>
  <si>
    <t>Med Care Hospital</t>
  </si>
  <si>
    <t>Medcare International Hospital Gujranwala</t>
  </si>
  <si>
    <t>Memon Medical Institute Hospital</t>
  </si>
  <si>
    <t>Metlab-Shahmir Enterprises</t>
  </si>
  <si>
    <t>Mughal Diagnostics &amp; Research Labs/Cancer Care Hospital</t>
  </si>
  <si>
    <t>National institue of Child Health</t>
  </si>
  <si>
    <t>NHS</t>
  </si>
  <si>
    <t>NICVD</t>
  </si>
  <si>
    <t>North Mehran Diagnostic Centre</t>
  </si>
  <si>
    <t>Peshawar Fertility &amp; IVF center</t>
  </si>
  <si>
    <t>PNS Shifa Hospital (V-Med Inter Trade)</t>
  </si>
  <si>
    <t>Punjab Inst.Of Cardiology</t>
  </si>
  <si>
    <t>QAMC</t>
  </si>
  <si>
    <t>Rafiq Anwar Memorial Trust Hospital</t>
  </si>
  <si>
    <t>Rahat Hospital Quetta(Through Jamal brothers)</t>
  </si>
  <si>
    <t>Regional Blood Centre Through Jamal Brothers</t>
  </si>
  <si>
    <t>Rehan Hospital Through Jamal Brothers</t>
  </si>
  <si>
    <t>Rehman Medical Institute, Peshawar</t>
  </si>
  <si>
    <t>Sardar Fateh M. Khan Buzdar Institute of Cardiology</t>
  </si>
  <si>
    <t>Shaikh Zayed Hospital</t>
  </si>
  <si>
    <t>SICVD (Sindh Institute of Cardiovascular) Baldia-Karachi</t>
  </si>
  <si>
    <t>SICVD (Sindh Institute of Cardiovascular) Hyderabad</t>
  </si>
  <si>
    <t>SICVD (Sindh Institute of Cardiovascular) Larkana</t>
  </si>
  <si>
    <t>SICVD (Sindh Institute of Cardiovascular) Sukkur</t>
  </si>
  <si>
    <t>SICVD (Sindh Institute of Cardiovascular) TMK</t>
  </si>
  <si>
    <t>SICVD, Larkana</t>
  </si>
  <si>
    <t>Siddique Sadiq Memorial trust</t>
  </si>
  <si>
    <t>Sky Blue Lab Karachi</t>
  </si>
  <si>
    <t>SOMH-FFH (shaukat umar memorial Hospital- fauji Foundation hospital)</t>
  </si>
  <si>
    <t xml:space="preserve">Suhail Daignostic </t>
  </si>
  <si>
    <t>Test Zone</t>
  </si>
  <si>
    <t>The Children Hospital &amp; The Institute Multan</t>
  </si>
  <si>
    <t>University of Lahore Hospital</t>
  </si>
  <si>
    <t>Yaseen Hospital(Through Jamal brothers)</t>
  </si>
  <si>
    <t>Advance International Hospital</t>
  </si>
  <si>
    <t>Al Khidmat Hospital Karachi</t>
  </si>
  <si>
    <t>Anklesaria Hospital</t>
  </si>
  <si>
    <t>Army Cardiac Hospital-Taurus International</t>
  </si>
  <si>
    <t>Children's Hospital Multan</t>
  </si>
  <si>
    <t xml:space="preserve">Citilab </t>
  </si>
  <si>
    <t>City International Hospital Quetta(Through Jamal Brothers)</t>
  </si>
  <si>
    <t>D&amp;R Lab</t>
  </si>
  <si>
    <t>Dawood Lab(Through Jamal Brothers)</t>
  </si>
  <si>
    <t>DHQ Hospital (Allied Hospital-II )</t>
  </si>
  <si>
    <t>Dr.Najma Ghaffar Hospital(Through Jamal Brothers)</t>
  </si>
  <si>
    <t>FIC(Faisalabad Institute of Cardialogy)</t>
  </si>
  <si>
    <t>GAMCA (Express Medical Center)</t>
  </si>
  <si>
    <t>Gulab devi Hosp. Lahore</t>
  </si>
  <si>
    <t>Haemophilia Treatment Center( molicular concern)</t>
  </si>
  <si>
    <t>Harmon Lab Quetta (through Jamal Brothers)</t>
  </si>
  <si>
    <t>Hashmani Hospital</t>
  </si>
  <si>
    <t xml:space="preserve">Hormone lab </t>
  </si>
  <si>
    <t>Imran Idress Hospital /Test Zone</t>
  </si>
  <si>
    <t>Indus Clinical Laboratories</t>
  </si>
  <si>
    <t>Indus Hospital Health Network (SUI Campus)</t>
  </si>
  <si>
    <t>JDC Diagnostic Center</t>
  </si>
  <si>
    <t>Jinnah Post Graduate Medical Center (JPMC) through MHK Enterprises</t>
  </si>
  <si>
    <t>JPMC through MHK Enterprises</t>
  </si>
  <si>
    <t>KKF</t>
  </si>
  <si>
    <t xml:space="preserve">KKF </t>
  </si>
  <si>
    <t>KRL (through Professional Healthcare Services)</t>
  </si>
  <si>
    <t>Liaquat Univerty Hospital through Ojhal Enterprises</t>
  </si>
  <si>
    <t>Minhaj Lab lahore</t>
  </si>
  <si>
    <t>Mughal Diagnostics</t>
  </si>
  <si>
    <t>Mughal Lab Lahore</t>
  </si>
  <si>
    <t>National Institue of Blood Diseases</t>
  </si>
  <si>
    <t>National Medical Center</t>
  </si>
  <si>
    <t xml:space="preserve">Noor lab quetta </t>
  </si>
  <si>
    <t>Pakistan International Airlines Co-operation Limited</t>
  </si>
  <si>
    <t>PNS Rahat Hospital (V-Med Inter Trade)</t>
  </si>
  <si>
    <t>Public Welfare Sheikh Zayed (The Indus Hospital)</t>
  </si>
  <si>
    <t>Punjab Institute of Cardiology Lahore</t>
  </si>
  <si>
    <t>QAMC Bahawalpur</t>
  </si>
  <si>
    <t>Rehman Medical Institute (Pvt) Ltd</t>
  </si>
  <si>
    <t>Sahiwal Teaching Hospital</t>
  </si>
  <si>
    <t>Saifee Hospital, Karachi</t>
  </si>
  <si>
    <t>SASIM Sehwan through Mehran Trader</t>
  </si>
  <si>
    <t>Sharif Trust Medical City Hospital</t>
  </si>
  <si>
    <t>SICVD, Nawabshah</t>
  </si>
  <si>
    <t>Sultan Tareen Hospital Quetta(Through Jamal Brothers)</t>
  </si>
  <si>
    <t>Taj Hematology and healthcare Center</t>
  </si>
  <si>
    <t>Test Zone Multan</t>
  </si>
  <si>
    <t>Test Zone Peshawar</t>
  </si>
  <si>
    <t>The Medical Lab Lahore</t>
  </si>
  <si>
    <t>Tmmergara Clinical Labs-Through JMS</t>
  </si>
  <si>
    <t xml:space="preserve">Valley Health Care Laborotary </t>
  </si>
  <si>
    <t>Welfare Hospital Sui (the indus hospital)</t>
  </si>
  <si>
    <t>Faisalabad Medical University</t>
  </si>
  <si>
    <t>Ibn-E-Sina</t>
  </si>
  <si>
    <t>Al-Khidmat Mashal Medical</t>
  </si>
  <si>
    <t>M. Khan Lab (Through Jamal Brothers)</t>
  </si>
  <si>
    <t>Laeq Rafiq Hospital</t>
  </si>
  <si>
    <t>Attock Hospital (Through Humanity Care Diagnostic)</t>
  </si>
  <si>
    <t>NHS Sharah-e Qaideen</t>
  </si>
  <si>
    <t>Customer</t>
  </si>
  <si>
    <t xml:space="preserve"> </t>
  </si>
  <si>
    <t xml:space="preserve">                                                                                                                                                                                                                                                                                                                                                                                                                                                                                                                                                                                                                                                                                                                                                                                                                                                                                                                                                                                                                                                                                                                                                                                                                                                                                                                                                                                                                                                                                                                                                                                                                                                                                                                                                                                                                                                    </t>
  </si>
  <si>
    <t>Monthly Sale</t>
  </si>
  <si>
    <t>Total sales</t>
  </si>
  <si>
    <t xml:space="preserve">1 Month increase </t>
  </si>
  <si>
    <t>Sales Manager</t>
  </si>
  <si>
    <t>Businesst Managers</t>
  </si>
  <si>
    <t>Supplier name</t>
  </si>
  <si>
    <t>Machine Name</t>
  </si>
  <si>
    <t>SAP Material No</t>
  </si>
  <si>
    <t>Machine type</t>
  </si>
  <si>
    <t xml:space="preserve">Asset Number </t>
  </si>
  <si>
    <t>Transfer</t>
  </si>
  <si>
    <t>MachineSerial No.</t>
  </si>
  <si>
    <t>Machine Issue Date</t>
  </si>
  <si>
    <t>Agreement Date</t>
  </si>
  <si>
    <t>Approval Date</t>
  </si>
  <si>
    <t>Agreement  availability status</t>
  </si>
  <si>
    <t>Remarks</t>
  </si>
  <si>
    <t>City</t>
  </si>
  <si>
    <t>Customer No.</t>
  </si>
  <si>
    <t>Customer Name</t>
  </si>
  <si>
    <t>Owner</t>
  </si>
  <si>
    <t>Adresss</t>
  </si>
  <si>
    <t>Phone</t>
  </si>
  <si>
    <t>Email</t>
  </si>
  <si>
    <t>NTN / STN</t>
  </si>
  <si>
    <t>CNIC</t>
  </si>
  <si>
    <t>Unit Cost</t>
  </si>
  <si>
    <t>Payback Period Approved in months</t>
  </si>
  <si>
    <t>Per Month Reagent Commitment</t>
  </si>
  <si>
    <t>Comments by Business (Aug22)</t>
  </si>
  <si>
    <t>Comments by Business (Sep22)</t>
  </si>
  <si>
    <t>Comments by Business (Feb23)</t>
  </si>
  <si>
    <t>Comments by Business (Mar23)</t>
  </si>
  <si>
    <t>Comments by Business (Jun23)</t>
  </si>
  <si>
    <t>Action Plan (Jun23)</t>
  </si>
  <si>
    <t>Comments by Business (July2023)</t>
  </si>
  <si>
    <t>Action Plan (July23)</t>
  </si>
  <si>
    <t>Comments by Business (Aug2023)</t>
  </si>
  <si>
    <t>Action Plan (Aug23)</t>
  </si>
  <si>
    <t>Comments by Business (Sep2023)</t>
  </si>
  <si>
    <t>Action Plan (Sep23)</t>
  </si>
  <si>
    <t>Comments by Business (Oct 2023)</t>
  </si>
  <si>
    <t>Action Plan (Oct 23)</t>
  </si>
  <si>
    <t>Comments by Business (Nov 2023)</t>
  </si>
  <si>
    <t>Action Plan (Nov 23)</t>
  </si>
  <si>
    <t>Comments by Business (Dec 2023)</t>
  </si>
  <si>
    <t>Action Plan (Dec 23)</t>
  </si>
  <si>
    <t>Comments by Business (Feb 2024)</t>
  </si>
  <si>
    <t>Action Plan (Feb 24)</t>
  </si>
  <si>
    <t>Comments by Business (Mar 2024)</t>
  </si>
  <si>
    <t>Comments by Business (April 2024)</t>
  </si>
  <si>
    <t>Comments by Business (May 2024)</t>
  </si>
  <si>
    <t>Finance Comments July</t>
  </si>
  <si>
    <t>Comments by Business (Jun 2024)</t>
  </si>
  <si>
    <t>Comments by Business (Jan 2025)</t>
  </si>
  <si>
    <t>Column2</t>
  </si>
  <si>
    <t>Jan-24</t>
  </si>
  <si>
    <t>Feb-24</t>
  </si>
  <si>
    <t>Mar-24</t>
  </si>
  <si>
    <t>Apr-24</t>
  </si>
  <si>
    <t>May-24</t>
  </si>
  <si>
    <t>Jun-24</t>
  </si>
  <si>
    <t>Jul-24</t>
  </si>
  <si>
    <t>Aug-24</t>
  </si>
  <si>
    <t>Sep-24</t>
  </si>
  <si>
    <t>Oct-24</t>
  </si>
  <si>
    <t>Nov-24</t>
  </si>
  <si>
    <t>Dec-24</t>
  </si>
  <si>
    <t>YTD 2024</t>
  </si>
  <si>
    <t>Jan-25</t>
  </si>
  <si>
    <t>Feb-25</t>
  </si>
  <si>
    <t>Mar-25</t>
  </si>
  <si>
    <t>Apr-25</t>
  </si>
  <si>
    <t>May-25</t>
  </si>
  <si>
    <t>Jun-25</t>
  </si>
  <si>
    <t>Jul-25</t>
  </si>
  <si>
    <t>Aug-25</t>
  </si>
  <si>
    <t>Sep-25</t>
  </si>
  <si>
    <t>Oct-25</t>
  </si>
  <si>
    <t>Nov-25</t>
  </si>
  <si>
    <t>Dec-25</t>
  </si>
  <si>
    <t>YTD 2025</t>
  </si>
  <si>
    <t>Finance Comments for YTD</t>
  </si>
  <si>
    <t>Total Reagent Sales till date Actual</t>
  </si>
  <si>
    <t>Months</t>
  </si>
  <si>
    <t>Avg reagent Sales per month Actual</t>
  </si>
  <si>
    <t>Payback remaining estimate</t>
  </si>
  <si>
    <t>On Track / (behind) (avg per month)</t>
  </si>
  <si>
    <t>Finance Comments</t>
  </si>
  <si>
    <t>Deficit/Cost covered</t>
  </si>
  <si>
    <t>Margin %</t>
  </si>
  <si>
    <t>Margin on Reagent sale</t>
  </si>
  <si>
    <t>Column1</t>
  </si>
  <si>
    <t>Avr sales X36</t>
  </si>
  <si>
    <t>Margin of 36months sales</t>
  </si>
  <si>
    <t>Gain after payback / (loss)</t>
  </si>
  <si>
    <t>Payback</t>
  </si>
  <si>
    <t>Internal Order</t>
  </si>
  <si>
    <t xml:space="preserve">Appropriate request </t>
  </si>
  <si>
    <t>Hammad Hafeez</t>
  </si>
  <si>
    <t>Hammad Noor</t>
  </si>
  <si>
    <t>Immunoassay</t>
  </si>
  <si>
    <t>N/A</t>
  </si>
  <si>
    <t>IA00093222</t>
  </si>
  <si>
    <t>26.09.2023</t>
  </si>
  <si>
    <t>11.09.2023</t>
  </si>
  <si>
    <t>Available</t>
  </si>
  <si>
    <t>Active</t>
  </si>
  <si>
    <t>Karachi</t>
  </si>
  <si>
    <t>St-19, KDA Scheme, Abul Asar Hafeez,</t>
  </si>
  <si>
    <t>021-111-300-999, 0311-3060540</t>
  </si>
  <si>
    <t> rubina.sabir@lcmddsh.com.pk</t>
  </si>
  <si>
    <t>2517101-1</t>
  </si>
  <si>
    <t>equipment installed &amp; Validation Done</t>
  </si>
  <si>
    <t>We'll receive their first PO within this week</t>
  </si>
  <si>
    <t>Sales are on track</t>
  </si>
  <si>
    <t>Sales will be on track in next two months</t>
  </si>
  <si>
    <t>No sales in june</t>
  </si>
  <si>
    <t>Placed</t>
  </si>
  <si>
    <t>Sales on track</t>
  </si>
  <si>
    <t>Clinical Chemistry</t>
  </si>
  <si>
    <t>21-4087</t>
  </si>
  <si>
    <t>26.10.2021</t>
  </si>
  <si>
    <t>22.04.2022</t>
  </si>
  <si>
    <t>Farhan Essa</t>
  </si>
  <si>
    <t>B-122, Block H North Nazimabad Town, Karachi, Karachi City, Sindh</t>
  </si>
  <si>
    <t>0333-2220711</t>
  </si>
  <si>
    <t>ltcdrasgharali@gmail.com</t>
  </si>
  <si>
    <t>0982474-0</t>
  </si>
  <si>
    <t>42501-8253375-1</t>
  </si>
  <si>
    <t>As per Commtment</t>
  </si>
  <si>
    <t>Receiving orders as per commitment</t>
  </si>
  <si>
    <t>They've some payment and price revision issues which has been solved. New order has been received and invoiced in March 2023</t>
  </si>
  <si>
    <t>Will receive order of April 2023</t>
  </si>
  <si>
    <t>the gap will be covered in next order as innoline was not available.</t>
  </si>
  <si>
    <t>Work load decreased, it is advisable to revist the case</t>
  </si>
  <si>
    <t>Customer promised to shift workload on our equipment from other branches to cover the gap.</t>
  </si>
  <si>
    <t xml:space="preserve">We've received order of 122,000 in August 2023 </t>
  </si>
  <si>
    <t>We've got the order of 400,000 in September 2023 to cover the deficit of August 2023. Furthermore, we've covered 94% of ROI in this case.</t>
  </si>
  <si>
    <t xml:space="preserve">We've received order of 400,000 in Sep 2023 </t>
  </si>
  <si>
    <t>Working with customer to get the desired orders as per comittment</t>
  </si>
  <si>
    <t>Due to shifting of Lab, wordload is down.</t>
  </si>
  <si>
    <t xml:space="preserve">From on wards will receive commited value PO </t>
  </si>
  <si>
    <t>Improvement in sales expected</t>
  </si>
  <si>
    <t>Under discussion with Essa lab for price revision or replacement of machine with Mach 5</t>
  </si>
  <si>
    <t>New Quoation has been submitted, under discussion with management of Essa Lab</t>
  </si>
  <si>
    <t>Sales behind track</t>
  </si>
  <si>
    <t>Abdul Moeed</t>
  </si>
  <si>
    <t>Jahangir Jalil</t>
  </si>
  <si>
    <t>20.07.2023</t>
  </si>
  <si>
    <t>11.08.2023</t>
  </si>
  <si>
    <t>Closed</t>
  </si>
  <si>
    <t>Lahore</t>
  </si>
  <si>
    <t>561-A, Edhi Street, Faisal Town, Opposite Jinnah Hospital Emergency Gate, Lahore</t>
  </si>
  <si>
    <t>0331-9699586</t>
  </si>
  <si>
    <t xml:space="preserve"> kjabran87@gmail.com</t>
  </si>
  <si>
    <t>0224883-2</t>
  </si>
  <si>
    <t xml:space="preserve">Waiting for Inventory &amp; then invoice execution </t>
  </si>
  <si>
    <t xml:space="preserve">New PO has been Recieved Amount Subject to Invoice </t>
  </si>
  <si>
    <t xml:space="preserve">Parameter Woking Planning to shift from Roche </t>
  </si>
  <si>
    <t>One PO is proceeded and waiting for another PO</t>
  </si>
  <si>
    <t xml:space="preserve">Follow up </t>
  </si>
  <si>
    <t>Consumables and electricity cost issue.</t>
  </si>
  <si>
    <t>in process to terminate the contract. Instrument will be placed at Ghulab devi.</t>
  </si>
  <si>
    <t>Will be returned by end April</t>
  </si>
  <si>
    <t xml:space="preserve">Machine pull back and place at ridhan ( machine will be on demo) </t>
  </si>
  <si>
    <t>Machine move to Ridhan. It will pull back from ridhan as well because theres no business case.</t>
  </si>
  <si>
    <t>IA00146846</t>
  </si>
  <si>
    <t>28.04.2025</t>
  </si>
  <si>
    <t>10.04.2025</t>
  </si>
  <si>
    <t>Rafique (HJ), Shaheed road,Saddar Town,Karachi</t>
  </si>
  <si>
    <t>0300-2607223</t>
  </si>
  <si>
    <t>mursaleen.khan@nicvd.org</t>
  </si>
  <si>
    <t>4867225-3</t>
  </si>
  <si>
    <t>iFlash 3000</t>
  </si>
  <si>
    <t>FC10330839</t>
  </si>
  <si>
    <t>06.05.2025</t>
  </si>
  <si>
    <t>Hyderabad</t>
  </si>
  <si>
    <t>FC10330939</t>
  </si>
  <si>
    <t>TMK (Tando Muhammad Khan)</t>
  </si>
  <si>
    <t>iflash1800</t>
  </si>
  <si>
    <t>10.11.2025</t>
  </si>
  <si>
    <t>Sukkur</t>
  </si>
  <si>
    <t>24-4068</t>
  </si>
  <si>
    <t>08.12.2024</t>
  </si>
  <si>
    <t>Overdue issues have been resolved, price increase 10%, will revisit Q1</t>
  </si>
  <si>
    <t>24-4078</t>
  </si>
  <si>
    <t>11.02.2025</t>
  </si>
  <si>
    <t>20.12.2024</t>
  </si>
  <si>
    <t>24-4069</t>
  </si>
  <si>
    <t>25.03.2025</t>
  </si>
  <si>
    <t>larkana</t>
  </si>
  <si>
    <t> 3002000113</t>
  </si>
  <si>
    <t>23-4166</t>
  </si>
  <si>
    <t>Suleman sb</t>
  </si>
  <si>
    <t xml:space="preserve">Hematology </t>
  </si>
  <si>
    <t>AR # 300223</t>
  </si>
  <si>
    <t>27.12.2024</t>
  </si>
  <si>
    <t xml:space="preserve">New business case by January 2025 </t>
  </si>
  <si>
    <t> 3002000111</t>
  </si>
  <si>
    <t>Hematology</t>
  </si>
  <si>
    <t>15.12.2025</t>
  </si>
  <si>
    <t>Larkana</t>
  </si>
  <si>
    <t>New</t>
  </si>
  <si>
    <t>Nawabshah</t>
  </si>
  <si>
    <t>STA SATELLITE MAX</t>
  </si>
  <si>
    <t>Coagulation Analyzer</t>
  </si>
  <si>
    <t>15.01.2024</t>
  </si>
  <si>
    <t>ST 2/A, Block 17, KDA Scheme 24, Gulshan-e-Iqbal</t>
  </si>
  <si>
    <t>0346-2819961/021-111-120-140</t>
  </si>
  <si>
    <t>fawad_sad@hotmail.com</t>
  </si>
  <si>
    <t>4572246-8</t>
  </si>
  <si>
    <t>DYMIND DH-76</t>
  </si>
  <si>
    <t>AR # 300377</t>
  </si>
  <si>
    <t>DM11052437004</t>
  </si>
  <si>
    <t>12.20.2024</t>
  </si>
  <si>
    <t>House no 11b- 1208, mohallah issarpura sindh Nawabshah</t>
  </si>
  <si>
    <t>0333-7025190</t>
  </si>
  <si>
    <t>hsmedicalsolution@gmail.com</t>
  </si>
  <si>
    <t>45402-2509337-9</t>
  </si>
  <si>
    <t>Humayun patel</t>
  </si>
  <si>
    <t>Imran Fazal</t>
  </si>
  <si>
    <t>06.10.2025</t>
  </si>
  <si>
    <t>wakeel ahmed</t>
  </si>
  <si>
    <t>Basement shabnam center opposite shyalimar hospital, link road</t>
  </si>
  <si>
    <t>35201-4676413-5</t>
  </si>
  <si>
    <t>Imran Rana</t>
  </si>
  <si>
    <t>26.12.2023</t>
  </si>
  <si>
    <t>Not Available</t>
  </si>
  <si>
    <t>Bahawalpur</t>
  </si>
  <si>
    <t>Government Institution</t>
  </si>
  <si>
    <t>Circular Road, Bahswalpur Cantt</t>
  </si>
  <si>
    <t>062-9250411-21</t>
  </si>
  <si>
    <t>info.establishment@gamc.edu.pk</t>
  </si>
  <si>
    <t>9020100-7</t>
  </si>
  <si>
    <t>Business proposed new business case at PB 60monhts, subject to management's approval</t>
  </si>
  <si>
    <t>Hammad noor</t>
  </si>
  <si>
    <t>Cost covered</t>
  </si>
  <si>
    <t>Moeed / Masood</t>
  </si>
  <si>
    <t>Swelab Alfa Plus AutoSampler</t>
  </si>
  <si>
    <t>14.05.2025</t>
  </si>
  <si>
    <t xml:space="preserve">Shagufta Anthony </t>
  </si>
  <si>
    <t>STA Satellite Max</t>
  </si>
  <si>
    <t>Islamabad</t>
  </si>
  <si>
    <t>9 B-1 Satellite town, Chandni Chowk, Punjab</t>
  </si>
  <si>
    <t>051-4906401</t>
  </si>
  <si>
    <t>raazihospital@gmail.com</t>
  </si>
  <si>
    <t>2569250-0</t>
  </si>
  <si>
    <t>Shipment will be delievered this month.</t>
  </si>
  <si>
    <t>Will be moved back</t>
  </si>
  <si>
    <t>Nova Prime Plus</t>
  </si>
  <si>
    <t>Arterial Blood Gas Analyzer</t>
  </si>
  <si>
    <t>PP13230140C</t>
  </si>
  <si>
    <t>26.05.2023</t>
  </si>
  <si>
    <t>15.05.2022</t>
  </si>
  <si>
    <t>19.05.2023</t>
  </si>
  <si>
    <t>Closed 1</t>
  </si>
  <si>
    <t>Dr. Badar Alam</t>
  </si>
  <si>
    <t>Al-Khair Plaza, Fazal-e-Haq Road, Blue Area, Islamabad</t>
  </si>
  <si>
    <t>0333-8555611, 0301-5086177 &amp; 0321-5181280</t>
  </si>
  <si>
    <t>info@citi-lab.com                   </t>
  </si>
  <si>
    <t>4814745-2</t>
  </si>
  <si>
    <t>invoice under process</t>
  </si>
  <si>
    <t xml:space="preserve">LC awaited </t>
  </si>
  <si>
    <t xml:space="preserve">Due to the delay in supply customer is not willing to work on our machine </t>
  </si>
  <si>
    <t xml:space="preserve">Meeting is planned with Dr. Jameel Nasir CEO of Citi Lab </t>
  </si>
  <si>
    <t>meeting is pending with CEO</t>
  </si>
  <si>
    <t>Machine is planned to be pulledback from customer site, approved by Nawaz Abid</t>
  </si>
  <si>
    <t>Returned back in stock</t>
  </si>
  <si>
    <t>No Sales after Aug 23</t>
  </si>
  <si>
    <t>Sales behind track (No sales after Aug)</t>
  </si>
  <si>
    <t>AR # 300347-48</t>
  </si>
  <si>
    <t>17.07.2025</t>
  </si>
  <si>
    <t>2 machines</t>
  </si>
  <si>
    <t>294, Block H-3, M.A Johar Town, Lahore</t>
  </si>
  <si>
    <t>042-35313166, 0300-6458181</t>
  </si>
  <si>
    <t>manager@mughallabs.com</t>
  </si>
  <si>
    <t>1293625-1</t>
  </si>
  <si>
    <t>Vitros ECiQ Immunodiagnostic System (Refurb)</t>
  </si>
  <si>
    <t>15.12,2023</t>
  </si>
  <si>
    <t>15.12.2023</t>
  </si>
  <si>
    <t xml:space="preserve">lahore </t>
  </si>
  <si>
    <t>Machine is Shifted to Cancer Hospital</t>
  </si>
  <si>
    <t>Not funtional - in Lahore office</t>
  </si>
  <si>
    <t>Irfan akram</t>
  </si>
  <si>
    <t>294, Block H-3, M.A Johar Town, punjab Lahore</t>
  </si>
  <si>
    <t>25.11.2025</t>
  </si>
  <si>
    <t>New case</t>
  </si>
  <si>
    <t>Vitros ECiQ</t>
  </si>
  <si>
    <t>demo</t>
  </si>
  <si>
    <t>31.07.2025</t>
  </si>
  <si>
    <t>Replaced from the existing instrument</t>
  </si>
  <si>
    <t>Swelab Lumi</t>
  </si>
  <si>
    <t>TE11042147003</t>
  </si>
  <si>
    <t>25.04.2025</t>
  </si>
  <si>
    <t>1-km defense road, Lahore</t>
  </si>
  <si>
    <t>042-32300865</t>
  </si>
  <si>
    <t>waseem.abbas@admin.uol.edu.pk</t>
  </si>
  <si>
    <t>2237629-1</t>
  </si>
  <si>
    <t>21.10.2024</t>
  </si>
  <si>
    <t xml:space="preserve">Km-75, Jackob line, M.A Jinnah road </t>
  </si>
  <si>
    <t>0331-2245708 &amp; 021-38140600</t>
  </si>
  <si>
    <t>ahashmani@cyber.net.pk</t>
  </si>
  <si>
    <t>4009579-7</t>
  </si>
  <si>
    <t>No sales yet</t>
  </si>
  <si>
    <t>IA00146946</t>
  </si>
  <si>
    <t>St 02, block T, Qalandaria Chowk, opposite Talib Charman park, Sindh</t>
  </si>
  <si>
    <t>0336-2062268</t>
  </si>
  <si>
    <t>faraz786.hbb@gmail.com</t>
  </si>
  <si>
    <t>1294267-7</t>
  </si>
  <si>
    <t>Laura XL</t>
  </si>
  <si>
    <t>Urine Analyzer</t>
  </si>
  <si>
    <t>04.06.2025</t>
  </si>
  <si>
    <t>Chiniot</t>
  </si>
  <si>
    <t>Humayun Patel</t>
  </si>
  <si>
    <t>29.10.2022</t>
  </si>
  <si>
    <t>10.09.2022</t>
  </si>
  <si>
    <t>09.10.2022</t>
  </si>
  <si>
    <t>plot # GRE/550, Gul meher street, off Jahangir road garden east , Karachi</t>
  </si>
  <si>
    <t>0321-9232142</t>
  </si>
  <si>
    <t xml:space="preserve">hanif.baig@amdtrust.org </t>
  </si>
  <si>
    <t>4665344-1</t>
  </si>
  <si>
    <t>Reagents Not available</t>
  </si>
  <si>
    <t>Partial items received, already processed the orders</t>
  </si>
  <si>
    <t xml:space="preserve">working with customer to put workload on our equipment </t>
  </si>
  <si>
    <t>workload decreased</t>
  </si>
  <si>
    <t>Patient flow has been increasing gradullay in the hospital, which will improve our business.</t>
  </si>
  <si>
    <t>Revised business case has been sent to Mr, Irfan for further approvals</t>
  </si>
  <si>
    <t>Order for Sep &amp; Oct 2023 has been received</t>
  </si>
  <si>
    <t>Price/workload revision - till 15 April 2024</t>
  </si>
  <si>
    <t>2nd letter is submitted for prices revision.</t>
  </si>
  <si>
    <t>OK</t>
  </si>
  <si>
    <t>Revised</t>
  </si>
  <si>
    <t>Moved from Jilani Hospital to Burhani Hospital</t>
  </si>
  <si>
    <t>IA00092922</t>
  </si>
  <si>
    <t>14.12.2023</t>
  </si>
  <si>
    <t>21.11.2023</t>
  </si>
  <si>
    <t>18.12.2023</t>
  </si>
  <si>
    <t>Asad Ullah</t>
  </si>
  <si>
    <t>Shop # 5, Yet Road, Near M.A. Jinnah Road,</t>
  </si>
  <si>
    <t>0307-3800575 , 081-2826500</t>
  </si>
  <si>
    <t>noor.lab.surgical@gmail.com</t>
  </si>
  <si>
    <t>54400-0524139-1</t>
  </si>
  <si>
    <t>YHLO stock was N/A</t>
  </si>
  <si>
    <t xml:space="preserve">we will recieve new order from customer as stock is available now </t>
  </si>
  <si>
    <t>Machine was moved from different location without informing HO</t>
  </si>
  <si>
    <t>We've decided to pull back our equipment and it'll be placed to another customer (Jillani Hospital - Quetta). Business Case will be submitted to get approval.</t>
  </si>
  <si>
    <t>Move to Khi Burhani Hospital</t>
  </si>
  <si>
    <t xml:space="preserve">Recently installed </t>
  </si>
  <si>
    <t xml:space="preserve"> 01.03.2023</t>
  </si>
  <si>
    <t>Approved</t>
  </si>
  <si>
    <t>Stadium Road, Karachi</t>
  </si>
  <si>
    <t>021-34930051, 0313-3691916</t>
  </si>
  <si>
    <t> zain.mansoor@aku.edu</t>
  </si>
  <si>
    <t>0709421-3</t>
  </si>
  <si>
    <t xml:space="preserve">We've received order of 5.7 million in Sep 2023 </t>
  </si>
  <si>
    <t>Order received as per commitment</t>
  </si>
  <si>
    <t>many order was pending from aug 23</t>
  </si>
  <si>
    <t xml:space="preserve">Supplied 75% items as per Pending order, once we receive special order which we placed in dec, all supllies will compete and will be on track </t>
  </si>
  <si>
    <t xml:space="preserve">Agreemanet pending, in year 2023 many order was holded by Mr Irfan Akram, supplies didnt deliver on time </t>
  </si>
  <si>
    <t>Revised business case submitted, sales will be on track from next month</t>
  </si>
  <si>
    <t>04.05.2024</t>
  </si>
  <si>
    <t>02.04.2024</t>
  </si>
  <si>
    <t>no sales in july</t>
  </si>
  <si>
    <t>Placed - Operational</t>
  </si>
  <si>
    <t>Sales from April, Sales on track</t>
  </si>
  <si>
    <t>IA00093322</t>
  </si>
  <si>
    <t>19.03.2024</t>
  </si>
  <si>
    <t>Faisalabad</t>
  </si>
  <si>
    <t>Akbarabad, Near Allied Hospital, Faisalabad</t>
  </si>
  <si>
    <t>041-2646707</t>
  </si>
  <si>
    <t>info@alkhidmat.org</t>
  </si>
  <si>
    <t>7600330-1</t>
  </si>
  <si>
    <t>Transferred from demo</t>
  </si>
  <si>
    <t>Ismail Road, Akbarabad Chowk, Opposite Allied Hospital, Punjab</t>
  </si>
  <si>
    <t>041-2642728 &amp; 0333-6544102</t>
  </si>
  <si>
    <t>27.11.2021</t>
  </si>
  <si>
    <t>06.01.2021</t>
  </si>
  <si>
    <t>Govt. Hospital</t>
  </si>
  <si>
    <t>Near Pinum Hospital, Faisalabad</t>
  </si>
  <si>
    <t>041-9210082</t>
  </si>
  <si>
    <t>not available</t>
  </si>
  <si>
    <t xml:space="preserve">tender based ,Tender completed </t>
  </si>
  <si>
    <t xml:space="preserve">instruments will be return after depletion of stocks </t>
  </si>
  <si>
    <t xml:space="preserve">sales on track </t>
  </si>
  <si>
    <t>new contract in process</t>
  </si>
  <si>
    <t xml:space="preserve">Instrument cost covered we are executing new contract for the same analyzer in same institute expected business in Q3 Is Rs. 2.0 Million </t>
  </si>
  <si>
    <t xml:space="preserve">Contract renewed for three months </t>
  </si>
  <si>
    <t xml:space="preserve">Initial order of amount Rs 1.8 Million invoiced </t>
  </si>
  <si>
    <t>Cost Covered and will be return back as tender period is ended.</t>
  </si>
  <si>
    <t>Need to confirm its status</t>
  </si>
  <si>
    <t>ASK ABOUT IT</t>
  </si>
  <si>
    <t>Sales are going on, Cost covered</t>
  </si>
  <si>
    <t>Imrna Fazal</t>
  </si>
  <si>
    <t>24.11.2025</t>
  </si>
  <si>
    <t>IA00093122</t>
  </si>
  <si>
    <t>03.08.2022</t>
  </si>
  <si>
    <t>06.29.2022</t>
  </si>
  <si>
    <t>20.07.2022</t>
  </si>
  <si>
    <t>Active 1</t>
  </si>
  <si>
    <t>Dr. Burjor</t>
  </si>
  <si>
    <r>
      <t> </t>
    </r>
    <r>
      <rPr>
        <sz val="11"/>
        <color rgb="FF202124"/>
        <rFont val="Arial"/>
        <family val="2"/>
        <charset val="1"/>
      </rPr>
      <t>V28F+QFR, Garden Rd, near Makki Masjid، Preedy Quarters Karachi, Karachi</t>
    </r>
  </si>
  <si>
    <t>0300-8259525</t>
  </si>
  <si>
    <t>gbanklesaria.nursing.home@gmail.com</t>
  </si>
  <si>
    <t>1539892-7</t>
  </si>
  <si>
    <t>New PO will be processed within this month</t>
  </si>
  <si>
    <t>YHLO reagents was not availble in stock. New order received and processed</t>
  </si>
  <si>
    <t>Due to slack season sales has been reduced. Now, we have some orders from them which are on hold.</t>
  </si>
  <si>
    <t>New Order already invoiced, please check</t>
  </si>
  <si>
    <t xml:space="preserve">YHLO kits were N/A </t>
  </si>
  <si>
    <t xml:space="preserve">stock is now available so order will be placed </t>
  </si>
  <si>
    <t>Complete workload is on our equipment as they don’t have any back up equipment in their lab. Supplies issue has been resolved now, and business will be improved.</t>
  </si>
  <si>
    <t xml:space="preserve">We've received order of 286,000 in August 2023 </t>
  </si>
  <si>
    <t>Need to revise the business case as per Average Reagent Sales</t>
  </si>
  <si>
    <t>Revised business case has been sent to Mr, Ebad for further approvals</t>
  </si>
  <si>
    <t>Order received for Oct 2023 and its on hold.</t>
  </si>
  <si>
    <t>Prices will revies</t>
  </si>
  <si>
    <t xml:space="preserve">Under discussion on prices, order will receive soon </t>
  </si>
  <si>
    <t>We have submitt prices revision letter, patient volume decressed.</t>
  </si>
  <si>
    <t>2nd letter of price revision submitted, with in next 2 weeks will share update on prices revision customer is agreed to increase 10% but we ask for atleast 25% price revision</t>
  </si>
  <si>
    <t xml:space="preserve">15 % prices has been revised </t>
  </si>
  <si>
    <t>Sales behind track, sales every month</t>
  </si>
  <si>
    <t>31.07.2023</t>
  </si>
  <si>
    <t>20.10.2022</t>
  </si>
  <si>
    <t>Dr. Syed Durrani</t>
  </si>
  <si>
    <t>R3P2+Q37, Main Korangi Rd, near Kala Pul، Clifton, Karachi</t>
  </si>
  <si>
    <t>021-35392001-2 / 0300-8255140</t>
  </si>
  <si>
    <t>vmedintertrade@yahoo.com</t>
  </si>
  <si>
    <t>42201-8906429-9</t>
  </si>
  <si>
    <t>Equipment not placed yet, due to unavailability</t>
  </si>
  <si>
    <t xml:space="preserve">machine under installation phase </t>
  </si>
  <si>
    <t>First Reagents order will be issued within September as they are in finalizing stage of tender process</t>
  </si>
  <si>
    <t>Equipment installed, validation done</t>
  </si>
  <si>
    <t>Waiting to receive the PO from Customer end.</t>
  </si>
  <si>
    <t>First Order received through Distributor V-MED Inter. (amount: 1,100,000)</t>
  </si>
  <si>
    <t>We'll be receiving continuous order of committed amount</t>
  </si>
  <si>
    <t>last tender was scraped, new tender is awarded First PO is received,</t>
  </si>
  <si>
    <t xml:space="preserve">Machine installed in Jan 24, first tor run in Jan 2024,  last tender was scraped </t>
  </si>
  <si>
    <t>Not funtional - At customer site</t>
  </si>
  <si>
    <t>09.02.2024</t>
  </si>
  <si>
    <t>115-C, Commercial Area "B" Near Tooba Masjid, DHA Phase-I Karachi</t>
  </si>
  <si>
    <t>0300-8255140</t>
  </si>
  <si>
    <t>1365220-6</t>
  </si>
  <si>
    <t>sales behind track</t>
  </si>
  <si>
    <t xml:space="preserve">Returned to Lahore warehouse </t>
  </si>
  <si>
    <t>ID00176648</t>
  </si>
  <si>
    <t>Muredke</t>
  </si>
  <si>
    <t>EHQ Hospital Road, opposite to baldia office main GT road, kamoki, punjab, Gujranwala</t>
  </si>
  <si>
    <t>0307-7781900</t>
  </si>
  <si>
    <t>aliaslam2420@gmail.com</t>
  </si>
  <si>
    <t>34102-5074342-3</t>
  </si>
  <si>
    <t>sales on track</t>
  </si>
  <si>
    <t>Electrolyte Analyzer</t>
  </si>
  <si>
    <t>3279-2-202108</t>
  </si>
  <si>
    <t>Multan</t>
  </si>
  <si>
    <t xml:space="preserve">Farwa Chowk, Abdali road </t>
  </si>
  <si>
    <t>061-9200919</t>
  </si>
  <si>
    <t>Will discuss with Humayun</t>
  </si>
  <si>
    <t>22-5026</t>
  </si>
  <si>
    <t>05.09.2022</t>
  </si>
  <si>
    <t>08.26.2022</t>
  </si>
  <si>
    <t>30.08.2022</t>
  </si>
  <si>
    <t xml:space="preserve">Installation is underprocess. First PO of PKR 3.1 Mio Received. Invoice is pending due unavalibility of stocks .Partial kits invoiced waiting for stocks </t>
  </si>
  <si>
    <t>order is on Hold will be invoiced as released Total order value is 3.1Mio</t>
  </si>
  <si>
    <t>3.5mio order received, stocks unavailable</t>
  </si>
  <si>
    <t>stock unavailable</t>
  </si>
  <si>
    <t xml:space="preserve">new contract award letter recieved of 10 Mio pkr for 2023 and 2024 </t>
  </si>
  <si>
    <t>wil invoice in Q3 &amp; Q4, 4 Mio each</t>
  </si>
  <si>
    <t xml:space="preserve"> we have receieved an order of 10 million will be invoice in Q3 ,Q4 we will cover our deficit in Q3. Govt institute .</t>
  </si>
  <si>
    <t xml:space="preserve">Order Recevied </t>
  </si>
  <si>
    <t xml:space="preserve">4 Million order will be invoice this month </t>
  </si>
  <si>
    <t>Payment issue - Order in hand</t>
  </si>
  <si>
    <t>Sales are on track. 3.8mio order in hand, it will be invoiced.</t>
  </si>
  <si>
    <t>Revised case</t>
  </si>
  <si>
    <t>Bilal Nawaz</t>
  </si>
  <si>
    <t>27.10.2025</t>
  </si>
  <si>
    <t>Appropriation request pending issued against B.C</t>
  </si>
  <si>
    <t>Mandi Bahauddin</t>
  </si>
  <si>
    <t>Ali Imran Waseer Plaza, Phalia Road, Near Safe Way CNG, Punjab</t>
  </si>
  <si>
    <t>0301-3187007</t>
  </si>
  <si>
    <t>mian.muhsaeed@gmail.com</t>
  </si>
  <si>
    <t>4466935-6</t>
  </si>
  <si>
    <t>Zybio U3600</t>
  </si>
  <si>
    <t>27.05.2025</t>
  </si>
  <si>
    <t>Plot No Z-482 - 483,  Block 3, Kokan Society, Alamgir Road, Gulshan Town, Sindh</t>
  </si>
  <si>
    <t>0336-2346111</t>
  </si>
  <si>
    <t>amir@alamgirwelfaretrust.com.pk</t>
  </si>
  <si>
    <t>1545651-0</t>
  </si>
  <si>
    <t>Out of order, we will discuss with Engineering</t>
  </si>
  <si>
    <t>12.06.2025</t>
  </si>
  <si>
    <t>Quaideen Castle 241, Shah-e-Qaideen PECHS, BLOCK-2, New Allah Wali Chorangi</t>
  </si>
  <si>
    <t>021-34541112/03002266780</t>
  </si>
  <si>
    <t>ceo@nhsdiagnostics.com</t>
  </si>
  <si>
    <t>B134403-6</t>
  </si>
  <si>
    <t>Vitros ECiQ Analyzer</t>
  </si>
  <si>
    <t>19.06.2025</t>
  </si>
  <si>
    <t>Daniyal Khurshid</t>
  </si>
  <si>
    <t>30.09.2025</t>
  </si>
  <si>
    <t>56-71-160517</t>
  </si>
  <si>
    <t>10.02.2023</t>
  </si>
  <si>
    <t>31.10.2023</t>
  </si>
  <si>
    <t>Sector 48-H, Creek Road, Korangi Creek, Karachi</t>
  </si>
  <si>
    <t>0302-8586998</t>
  </si>
  <si>
    <t>psghospital123@gmail.com</t>
  </si>
  <si>
    <t>7497628-7</t>
  </si>
  <si>
    <t xml:space="preserve">New tender prices submitted, technical evaluation of tender is in process. </t>
  </si>
  <si>
    <t>New tender in technical Evalualtion</t>
  </si>
  <si>
    <t>22-5015</t>
  </si>
  <si>
    <t>28.07.2022</t>
  </si>
  <si>
    <t>07.07.2022</t>
  </si>
  <si>
    <t xml:space="preserve">
Dr. Danish Muhammad Khan</t>
  </si>
  <si>
    <t>Civil Hospital, New Labour Colony Nanakwara, Karachi, Karachi City, Sindh</t>
  </si>
  <si>
    <t>0321-8784310</t>
  </si>
  <si>
    <t>psghospital123@gamil.com</t>
  </si>
  <si>
    <t>Proper installtion has been completed in this month</t>
  </si>
  <si>
    <t>MACH5 kits was not availble in stock. New order recveived and processed.</t>
  </si>
  <si>
    <t>We need to follow up from them on committed sales per month.</t>
  </si>
  <si>
    <t>Mach 5 kits were N/A</t>
  </si>
  <si>
    <t>Mach 5 kits were N/A initally, once kits were order was on hold due to non payment</t>
  </si>
  <si>
    <t>Now machine is fixed after the visit of Elitech Team and we are getting supplies timely which will help us to improve our business.</t>
  </si>
  <si>
    <t>We've received order of 233,000 in August 2023 due to workload has been divided between us and ROCHE</t>
  </si>
  <si>
    <t>We've received required spare parts and consumables which will help us to improve our business.</t>
  </si>
  <si>
    <t xml:space="preserve">Machine was under observation from customer </t>
  </si>
  <si>
    <t>machine wasnt in Working condition</t>
  </si>
  <si>
    <t xml:space="preserve">since last month machine is working properply </t>
  </si>
  <si>
    <t>04.04,2024</t>
  </si>
  <si>
    <t>No sales in June and July</t>
  </si>
  <si>
    <t>22-5016</t>
  </si>
  <si>
    <t>14.06.2022</t>
  </si>
  <si>
    <t>04.01.2022</t>
  </si>
  <si>
    <t>15.06.2022</t>
  </si>
  <si>
    <t>Government</t>
  </si>
  <si>
    <t>M. T. Building, Head Office Karachi</t>
  </si>
  <si>
    <t>0334-1047293</t>
  </si>
  <si>
    <t>sanzsoomro34@gmail.com</t>
  </si>
  <si>
    <t>0803450-8</t>
  </si>
  <si>
    <t>-</t>
  </si>
  <si>
    <t>2nd PO is under Process and will be invoiced in this month(Sep)</t>
  </si>
  <si>
    <t>MACH5 kits was not availble in stock, due to which order was given to another competitor. New stock received, new PO is in process at customer's end.</t>
  </si>
  <si>
    <t>Due to unavailbility of some items, orders has been reduced. New order is in process and its on hold.</t>
  </si>
  <si>
    <t>Items not in stock</t>
  </si>
  <si>
    <t>new order recieved</t>
  </si>
  <si>
    <t>Machine is out of order</t>
  </si>
  <si>
    <t>Now machine is fixed after the visit of Elitech Team and business will be improved.</t>
  </si>
  <si>
    <t>Machine was out of order and now has been installed and validation has been performed.</t>
  </si>
  <si>
    <t>Working with customer to get the PO.</t>
  </si>
  <si>
    <t xml:space="preserve">We've received order of 365,000 in Sep 2023 </t>
  </si>
  <si>
    <t>Order value will increase gradually based on equipment proper functioning</t>
  </si>
  <si>
    <t>Problem with machines. Now new business case will be prepared</t>
  </si>
  <si>
    <t>New business case submitted for approval, due to machine problem.</t>
  </si>
  <si>
    <t>new tender with new prices has been submitted, under technical evaluation</t>
  </si>
  <si>
    <t>The machine is still there and one of its part is required.that part is in import will bw delievered soon</t>
  </si>
  <si>
    <t>Machine will be pulled back, Not returned yet</t>
  </si>
  <si>
    <t>No sales after Oct-23</t>
  </si>
  <si>
    <t>27-x2-130818</t>
  </si>
  <si>
    <t>29.02.2024</t>
  </si>
  <si>
    <t>closed</t>
  </si>
  <si>
    <t>Sargodha Road, Faisalabad</t>
  </si>
  <si>
    <t>041-9201517</t>
  </si>
  <si>
    <t>ms.ic.fsd@punjab.gov.pk</t>
  </si>
  <si>
    <t>9020773-1</t>
  </si>
  <si>
    <t>this machine will be replaced by demo 8800050621 serial no 0031-x2-230818/in working condition</t>
  </si>
  <si>
    <t>39-X2-100918</t>
  </si>
  <si>
    <t>29.09.2023</t>
  </si>
  <si>
    <t>24.10.2023</t>
  </si>
  <si>
    <t>In process</t>
  </si>
  <si>
    <t>Hyder Buksh Gabol Road,Safora Chowrangi,Karachi</t>
  </si>
  <si>
    <t>0345-2411026, 081-2664461</t>
  </si>
  <si>
    <t>saifur.rehman@mhef.edu.pk</t>
  </si>
  <si>
    <t>1414406-9</t>
  </si>
  <si>
    <t xml:space="preserve">supplies isnt avaiable </t>
  </si>
  <si>
    <t xml:space="preserve">PO pending is in hand  0.2 M order in Hand </t>
  </si>
  <si>
    <t>Six month machine was not operational. Now it is operational and sales will increase in two months time</t>
  </si>
  <si>
    <t>AR # 300236</t>
  </si>
  <si>
    <t>24-5006</t>
  </si>
  <si>
    <t>2.10.2025</t>
  </si>
  <si>
    <t>opp eye ward, Mayo Hospital Rd, data ganj buksh town lahore</t>
  </si>
  <si>
    <t>0345-0439404</t>
  </si>
  <si>
    <t>info@kemu.edu.pk</t>
  </si>
  <si>
    <t>9021032-8</t>
  </si>
  <si>
    <t xml:space="preserve">Sales on track </t>
  </si>
  <si>
    <t>Swelab ALFA Plus Standard</t>
  </si>
  <si>
    <t>AR # 300235</t>
  </si>
  <si>
    <t>10.02.2025</t>
  </si>
  <si>
    <t>19.08.2025</t>
  </si>
  <si>
    <t>backup</t>
  </si>
  <si>
    <t>GC university jhung road, new campus punjab, Faisalabad</t>
  </si>
  <si>
    <t>041-9203055</t>
  </si>
  <si>
    <t>chfsdpk@gmail.com</t>
  </si>
  <si>
    <t>9020784-3</t>
  </si>
  <si>
    <t>Waqar wazir</t>
  </si>
  <si>
    <t>AR # 300294</t>
  </si>
  <si>
    <t>ID00152044</t>
  </si>
  <si>
    <t>26.03.2025</t>
  </si>
  <si>
    <t>Rawalpindi</t>
  </si>
  <si>
    <r>
      <t>Kashmir Gate Plaza Opp, Benazir Bhutto</t>
    </r>
    <r>
      <rPr>
        <sz val="11"/>
        <color theme="1"/>
        <rFont val="Calibri"/>
        <family val="2"/>
        <scheme val="minor"/>
      </rPr>
      <t xml:space="preserve"> Hospital Murree Road, Punjab</t>
    </r>
  </si>
  <si>
    <t>0321-5330543 &amp; 051-4455204</t>
  </si>
  <si>
    <t>dmadeemikram@gmail.com</t>
  </si>
  <si>
    <t>37405-8526258-7</t>
  </si>
  <si>
    <t>17.05.2023</t>
  </si>
  <si>
    <t>13.04.2023</t>
  </si>
  <si>
    <t xml:space="preserve"> Closed</t>
  </si>
  <si>
    <t xml:space="preserve">Govt. Hospital	</t>
  </si>
  <si>
    <t>Ferozepur Road, Lahore</t>
  </si>
  <si>
    <t>042-99230312</t>
  </si>
  <si>
    <t>gulabdevi@hotmail.com</t>
  </si>
  <si>
    <t>4022666-2</t>
  </si>
  <si>
    <t xml:space="preserve">Due to stocks issue instrument is working at low volume . Customer will shift the maximum workload once shipment arrived . In Q4 we will cover the deficit </t>
  </si>
  <si>
    <t xml:space="preserve">New PO has been generated ,waiting for shipment </t>
  </si>
  <si>
    <t xml:space="preserve">Waiting for Invoice </t>
  </si>
  <si>
    <t>One po is in proceeded and waiting for another new order</t>
  </si>
  <si>
    <t xml:space="preserve">we are re-negotiating the contract - going to place vitros ECIQ due to multiple issues with vitros 3600 </t>
  </si>
  <si>
    <t>ID00175547</t>
  </si>
  <si>
    <t>13.05.2025</t>
  </si>
  <si>
    <t>Near Children Hospital Ferozepur Road, Punjab</t>
  </si>
  <si>
    <t>0345-4281596 &amp; 042-99230247</t>
  </si>
  <si>
    <t>0034-X2-230818</t>
  </si>
  <si>
    <t>29.05.2023</t>
  </si>
  <si>
    <t>30.03.2023</t>
  </si>
  <si>
    <t>Dr. Zeenat Hussain</t>
  </si>
  <si>
    <t>34-Lawrence Road, Lahore</t>
  </si>
  <si>
    <t>042-35912882</t>
  </si>
  <si>
    <t xml:space="preserve">zeenatlaboratory@gmail.com	</t>
  </si>
  <si>
    <t>2302878-5</t>
  </si>
  <si>
    <t xml:space="preserve">Business is not as per comitment </t>
  </si>
  <si>
    <t xml:space="preserve">Going to return the equipment in this month </t>
  </si>
  <si>
    <t>Lab has been closed due to poor health of Dr. Zeenat. Machine will be pulled back within April</t>
  </si>
  <si>
    <t xml:space="preserve">Returned to Warehouse </t>
  </si>
  <si>
    <t>No sales after may 23</t>
  </si>
  <si>
    <t>pulled back due to a fault. Placed at lahore warehouse</t>
  </si>
  <si>
    <t>Sales behind track ( No sales after May 2023)</t>
  </si>
  <si>
    <t>12.09.2025</t>
  </si>
  <si>
    <t>Laura Semi Automatic</t>
  </si>
  <si>
    <t>START MAX</t>
  </si>
  <si>
    <t>coagulation</t>
  </si>
  <si>
    <t>ID00030225</t>
  </si>
  <si>
    <t>27.01.2023</t>
  </si>
  <si>
    <t>01.11.2023</t>
  </si>
  <si>
    <t>27.02.2023</t>
  </si>
  <si>
    <t>Dr. Anwar Masood</t>
  </si>
  <si>
    <t>99-Garden Block, Garden Town, Lahore</t>
  </si>
  <si>
    <t>042-111627663</t>
  </si>
  <si>
    <t>info@masoodhospital.com</t>
  </si>
  <si>
    <t>1520150-3</t>
  </si>
  <si>
    <t xml:space="preserve">Stock unavailable, although invoiced </t>
  </si>
  <si>
    <t xml:space="preserve">0.5 Mio invioce has been recieved in july </t>
  </si>
  <si>
    <t>LC delay, Order invoiced in August worth 0.8 Mio</t>
  </si>
  <si>
    <t xml:space="preserve"> They have Started Infectious panel on Iflash .It will significanly impact our Sales in Q4 we will not only cover the gap but surpass the comitment .</t>
  </si>
  <si>
    <t xml:space="preserve">600,000 order Received </t>
  </si>
  <si>
    <t xml:space="preserve">Started new parameters businesss gap will be mitigate in next three months </t>
  </si>
  <si>
    <t>Orders were on hold due to overdues</t>
  </si>
  <si>
    <t>Nova Prime CCS</t>
  </si>
  <si>
    <t>AR # 300287</t>
  </si>
  <si>
    <t>P079240350C</t>
  </si>
  <si>
    <t>Band road, GT road, bhurki road link, Jallo more, Punjab</t>
  </si>
  <si>
    <t>0304-4029935</t>
  </si>
  <si>
    <t>hr@ghurkitrust.org.pk</t>
  </si>
  <si>
    <t>1801763-7</t>
  </si>
  <si>
    <t>DM11052408003</t>
  </si>
  <si>
    <t>12.07.2024</t>
  </si>
  <si>
    <t>4.25.2025</t>
  </si>
  <si>
    <t>New Active</t>
  </si>
  <si>
    <t>05.01.2024</t>
  </si>
  <si>
    <t>Rafique Shaheed Road, Near Jinnah Post Graduate Medical Center Karachi</t>
  </si>
  <si>
    <t>0308-2343292,  021-99201261</t>
  </si>
  <si>
    <t>sairaerum696@gmail.com</t>
  </si>
  <si>
    <t>9031234-4</t>
  </si>
  <si>
    <t>Will be placed</t>
  </si>
  <si>
    <t>Nova Prime CSS</t>
  </si>
  <si>
    <t>P072230210C</t>
  </si>
  <si>
    <t>27.08.2024</t>
  </si>
  <si>
    <t>Main Murree Road, 17 Mile, Barakahu, Capital Territory Islamabad</t>
  </si>
  <si>
    <t>051-8153000, 0333-5233390</t>
  </si>
  <si>
    <t>shafique.abbasi@imdcollege.edu.pk</t>
  </si>
  <si>
    <t>4694571-5</t>
  </si>
  <si>
    <t>Machine has been returned from KKF to warehouse against asset # 3002000013 on dated 27.11.2023</t>
  </si>
  <si>
    <t>ID00026724</t>
  </si>
  <si>
    <t>12.08.2022</t>
  </si>
  <si>
    <t>27.07.2022</t>
  </si>
  <si>
    <t>08.05.2022</t>
  </si>
  <si>
    <t>Masood Ahmed Khan</t>
  </si>
  <si>
    <t>179, C.P. &amp; Berar Society Cp &amp; Berar Chs, Karachi, Karachi City, Sindh</t>
  </si>
  <si>
    <t>medciagnostic19@gmail.com</t>
  </si>
  <si>
    <t>0944239-1</t>
  </si>
  <si>
    <t xml:space="preserve">Order hold/ Stock unavailable </t>
  </si>
  <si>
    <t>machine was taken back &amp; placed at KKF first week of August</t>
  </si>
  <si>
    <t>We've decided to pull back our equipment and it'll be placed to another customer (KKF Blood Bank - Karachi). Business Case will be submitted to get approval.</t>
  </si>
  <si>
    <t>machine has been pulled back</t>
  </si>
  <si>
    <t>Machine Move to Quetta</t>
  </si>
  <si>
    <t xml:space="preserve">Machine Move to Quetta yaseen Hospital </t>
  </si>
  <si>
    <t>Business case revision to be submitted</t>
  </si>
  <si>
    <t>This machine was pullback and business case in under process, will be installed in quetta.</t>
  </si>
  <si>
    <t>Closed - No sales after Aug 23</t>
  </si>
  <si>
    <t>Sales behind track ( No sales after Aug)</t>
  </si>
  <si>
    <t>01.06.2023</t>
  </si>
  <si>
    <t>12.12.2022</t>
  </si>
  <si>
    <t>Dr. Sheikh Abdul Ahad</t>
  </si>
  <si>
    <t>St-7,Block 14,F.B Area Gulberg, Karachi</t>
  </si>
  <si>
    <t>021-36323839 / 021-111222553</t>
  </si>
  <si>
    <t>4315201-5</t>
  </si>
  <si>
    <t>machine out of order</t>
  </si>
  <si>
    <t>Equipment has been functional now.</t>
  </si>
  <si>
    <t>Waiting to receive the PO on new prices</t>
  </si>
  <si>
    <t>Order received for Sep 2023 and its on hold.</t>
  </si>
  <si>
    <t>M</t>
  </si>
  <si>
    <t>Machine was not opperational 3 months</t>
  </si>
  <si>
    <t>Business case submitted, machine was not operational due to parts arount 6 months.</t>
  </si>
  <si>
    <t>Order received, from next month customer is commited to give business of 0.7-0.8M otherwis will increase prices. right now due to non avaiablty of reagent we didnt fullfill complete PO/</t>
  </si>
  <si>
    <t>Sales will be on track in coming 2 months</t>
  </si>
  <si>
    <t>no sales in june july</t>
  </si>
  <si>
    <t>its in warehouse</t>
  </si>
  <si>
    <t>ID00081331</t>
  </si>
  <si>
    <t xml:space="preserve">13.02.2024 </t>
  </si>
  <si>
    <t xml:space="preserve">Not mentioned on the agreement </t>
  </si>
  <si>
    <t>02.02.2024</t>
  </si>
  <si>
    <t>Diagnostic &amp; Research Laboratory Near Civil Hospital Hirabad,HYD Sindh Jamshoro</t>
  </si>
  <si>
    <t>0334-0020341</t>
  </si>
  <si>
    <t>fehandio@gmail.com</t>
  </si>
  <si>
    <t>9030415-2</t>
  </si>
  <si>
    <t xml:space="preserve">Machine was installed in feb, work load totally shifted on iflash, sales will increase by the time </t>
  </si>
  <si>
    <t>AR#300091</t>
  </si>
  <si>
    <t>30.08.2023</t>
  </si>
  <si>
    <t>16.02.2024</t>
  </si>
  <si>
    <t>larkana/hyderabad</t>
  </si>
  <si>
    <t>Ikram Hujjan</t>
  </si>
  <si>
    <t>VIP Road Larkana</t>
  </si>
  <si>
    <t>Order was hold due to payment issue, this is direct customer. by next 2 months sales will be on track</t>
  </si>
  <si>
    <t>Without informing, machine is placed at another lab but a/c to them its not in use</t>
  </si>
  <si>
    <t>05.05.2023</t>
  </si>
  <si>
    <t>17.04.2023</t>
  </si>
  <si>
    <t>Dadu</t>
  </si>
  <si>
    <t>Liaqat University of Medical &amp; Health (Jamshoro)</t>
  </si>
  <si>
    <t xml:space="preserve">on track </t>
  </si>
  <si>
    <t>deficit will cover in upcoming months</t>
  </si>
  <si>
    <t>They've to comsume remaining reagents of ROCHE, so they are dividing the load. In coming months, deficit will be covered once ROCHE kits has been finished.</t>
  </si>
  <si>
    <t>No order received in August 2023</t>
  </si>
  <si>
    <t>Working with customer to get the PO to cover the deficit of August 2023</t>
  </si>
  <si>
    <t>No Orders received in Sep 2023</t>
  </si>
  <si>
    <t>Following up for Over due payments before getting their order</t>
  </si>
  <si>
    <t>Due payment issues</t>
  </si>
  <si>
    <t xml:space="preserve"> Working to get all over due payment and new PO will process</t>
  </si>
  <si>
    <t>Price revision within April 2024</t>
  </si>
  <si>
    <t>Prices revision in discussion, machine isnt in opertational condiation due to hardware issues.</t>
  </si>
  <si>
    <t>Pull BAck</t>
  </si>
  <si>
    <t>Off 06,2nd Floor Waqar Centre, Canning Road, Saddar, Rawalpindi</t>
  </si>
  <si>
    <t>051-5120050/5521248, 0333-5720322</t>
  </si>
  <si>
    <t>magmapk@yahoo.com</t>
  </si>
  <si>
    <t>35302-1882668-3</t>
  </si>
  <si>
    <t>ID00026524</t>
  </si>
  <si>
    <t>06.09.2022</t>
  </si>
  <si>
    <t>07.14.2022</t>
  </si>
  <si>
    <t>18.07.2022</t>
  </si>
  <si>
    <t>Abbotobad</t>
  </si>
  <si>
    <t>MR. KHALID HUSSAIN QURESHI</t>
  </si>
  <si>
    <t>M/S VALLEY HEALTH CARE LABORATORIES,MAIN MANSEHRA ROAD, MIRPUR ABBOTTABAD.</t>
  </si>
  <si>
    <t>0345-9236895</t>
  </si>
  <si>
    <t>healthcarecare204@gmail.com  </t>
  </si>
  <si>
    <t>6392920-4</t>
  </si>
  <si>
    <t>Installation not completed due to un-availability of PC which is under procurement.</t>
  </si>
  <si>
    <t>Unavailability of stock</t>
  </si>
  <si>
    <t xml:space="preserve">Stock unavailable </t>
  </si>
  <si>
    <t xml:space="preserve">sales are not on track because of shipment delay  due to selective payment issue </t>
  </si>
  <si>
    <t>machine is now working and sales will be recovered in two to three order</t>
  </si>
  <si>
    <t>0.5 Mio order received will be invoiced till 15th August. 0.5 Mio sales every month</t>
  </si>
  <si>
    <t>New order of approx. 1 million will be recieved next month to cover the defecit</t>
  </si>
  <si>
    <t>Strong follow up</t>
  </si>
  <si>
    <t>Stock Unavailable</t>
  </si>
  <si>
    <t>Stock has been Recieved ,will be invoiced</t>
  </si>
  <si>
    <t>Meeting will be held in April to discuss this case</t>
  </si>
  <si>
    <t>Sales behind track ( No sales after Aug, beside commitment)</t>
  </si>
  <si>
    <t>1.30.2025</t>
  </si>
  <si>
    <t>rashid latif medical complex gul e berah stop Kasur road</t>
  </si>
  <si>
    <t>0336-5399909</t>
  </si>
  <si>
    <t>muhammad.imran@rimc.edu.pk</t>
  </si>
  <si>
    <t>3407280-2</t>
  </si>
  <si>
    <t>24-5048</t>
  </si>
  <si>
    <t>Gujranwala</t>
  </si>
  <si>
    <t>GT road, civil lines, Gujranwala</t>
  </si>
  <si>
    <t>055-3732003</t>
  </si>
  <si>
    <t>sheeza.tariq94@gmail.com</t>
  </si>
  <si>
    <t>3965326-9</t>
  </si>
  <si>
    <t>Transfer from Sharif TMC</t>
  </si>
  <si>
    <t>24-5018</t>
  </si>
  <si>
    <t>24.07.2025</t>
  </si>
  <si>
    <t>From hormone to Ridhan to Med Care Hospital</t>
  </si>
  <si>
    <t>05.12.2024</t>
  </si>
  <si>
    <t>Gill road, Civil Lines, Punjab</t>
  </si>
  <si>
    <t>055-3732003 &amp; 0337-0460249</t>
  </si>
  <si>
    <t xml:space="preserve">iFlash 1800 </t>
  </si>
  <si>
    <t>ID00175847</t>
  </si>
  <si>
    <t>Peshawar</t>
  </si>
  <si>
    <t>STA Compact Max</t>
  </si>
  <si>
    <t>AR#300141</t>
  </si>
  <si>
    <t>A-5/A, National Highway, DHA Phase-1, Near Kalapul, Sindh</t>
  </si>
  <si>
    <t>021-35380000, 0345-2086204</t>
  </si>
  <si>
    <t>info@nmc.net.pk</t>
  </si>
  <si>
    <t>0818709-6</t>
  </si>
  <si>
    <t>Pulled back and placed at Karachi warehouse.</t>
  </si>
  <si>
    <t>Sales not started yet</t>
  </si>
  <si>
    <t xml:space="preserve">Selectra PRO M </t>
  </si>
  <si>
    <t>20-4085</t>
  </si>
  <si>
    <t>23.05.2025</t>
  </si>
  <si>
    <t>Demo order still not received</t>
  </si>
  <si>
    <t>Quetta</t>
  </si>
  <si>
    <t>Shop 2, Whdat Colony, Brewary Road, Balochistan</t>
  </si>
  <si>
    <t>081-2440931 &amp; 0300-3805199</t>
  </si>
  <si>
    <t>bilal.chishti@ahf.com.pk</t>
  </si>
  <si>
    <t>AR # 300320</t>
  </si>
  <si>
    <t>TE11042147005</t>
  </si>
  <si>
    <t>Mirpur Azad Kashmir</t>
  </si>
  <si>
    <t>Al khidmat complex, 3-km Khayban-e-Jinnah road, Punjab</t>
  </si>
  <si>
    <t>0333-4695192 &amp; 042-35957260</t>
  </si>
  <si>
    <t>asad.tufail@ahf.com.pk</t>
  </si>
  <si>
    <t>22-5023</t>
  </si>
  <si>
    <t>29.08.2022</t>
  </si>
  <si>
    <t>16.08.2022</t>
  </si>
  <si>
    <t>22.08.2022</t>
  </si>
  <si>
    <t>Shazia Parveen</t>
  </si>
  <si>
    <t>R 8, Sector 5c/4 Sector 5 C 4 New Karachi Town, Karachi,</t>
  </si>
  <si>
    <t>0323-2342326</t>
  </si>
  <si>
    <t>42101-4970811-0</t>
  </si>
  <si>
    <t>MACH5 kits was not availble in stock. New order recveived and processed. Furthermore, instrument was down due to spart part unavailability for 10 Days.</t>
  </si>
  <si>
    <t>We have not received any order in August 2023 for MACH5 due to problems in MACH5 but we've supplied kits for SELECTRA through distributor as they have purchased SELECTRA as a backup unit.</t>
  </si>
  <si>
    <t>inititally machine having major issues in H/W, payment issue order is on hold many time, they ran samples on roche.</t>
  </si>
  <si>
    <t xml:space="preserve">Trying to shift complete load on Mach 5 </t>
  </si>
  <si>
    <t>04.04.2024</t>
  </si>
  <si>
    <t xml:space="preserve">Order in hand, awaiting for shipment </t>
  </si>
  <si>
    <t>No sales in July</t>
  </si>
  <si>
    <t>No Sales after sep-24</t>
  </si>
  <si>
    <t>Pull back in July (Letter Submitted)</t>
  </si>
  <si>
    <t>STA Compact Max Cap precing</t>
  </si>
  <si>
    <t>14.10.2024</t>
  </si>
  <si>
    <t xml:space="preserve">H.J Rafique Shaheed Road, South Saddar Town, Karachi </t>
  </si>
  <si>
    <t>0322-2328894</t>
  </si>
  <si>
    <t>mursaleem.nicvd@gmail.com</t>
  </si>
  <si>
    <t>9033300-4</t>
  </si>
  <si>
    <t>Swelab Alfa Sampler</t>
  </si>
  <si>
    <t>22.11.2022</t>
  </si>
  <si>
    <t>07.11.2022</t>
  </si>
  <si>
    <t>27.10.2023</t>
  </si>
  <si>
    <t>Order is in process due to Payment issue we didnt consider po.</t>
  </si>
  <si>
    <t xml:space="preserve">this month we will recevie order and exicute </t>
  </si>
  <si>
    <t>we will increase our prices in new tender which is in process.</t>
  </si>
  <si>
    <t>Technical Evaluation in process, prices will reviesed once new awarded to us.</t>
  </si>
  <si>
    <t>15.10.2025</t>
  </si>
  <si>
    <t>Swelab Alfa Plus Sampler BD Ar</t>
  </si>
  <si>
    <t>C1420046</t>
  </si>
  <si>
    <t>Swelab Alfa Plus Placement</t>
  </si>
  <si>
    <t>05.13.2025</t>
  </si>
  <si>
    <t>Appropriation request pending but machine delivered against B.C</t>
  </si>
  <si>
    <t>Plot No ST-15, Block 16, Federal B Area, Sindh</t>
  </si>
  <si>
    <t>021-99330011</t>
  </si>
  <si>
    <t>kihd@cdgk@gmail.com</t>
  </si>
  <si>
    <t>9030950-8</t>
  </si>
  <si>
    <t>Machine has been transferred from Noor to Jiliani</t>
  </si>
  <si>
    <t>01.07.2022</t>
  </si>
  <si>
    <t>28.06.2022</t>
  </si>
  <si>
    <t>closed 1</t>
  </si>
  <si>
    <t xml:space="preserve">This machine was pullback and installed in Burhani khi </t>
  </si>
  <si>
    <t>Closed - No sales after Feb 23</t>
  </si>
  <si>
    <t>02.07.2025</t>
  </si>
  <si>
    <t>lahore</t>
  </si>
  <si>
    <t>14.10.2025</t>
  </si>
  <si>
    <t>STA Compact Max3</t>
  </si>
  <si>
    <t>13.10.2025</t>
  </si>
  <si>
    <t>Coagulation</t>
  </si>
  <si>
    <t>20.10.2025</t>
  </si>
  <si>
    <t>Hafiz Aneaq Ahmed</t>
  </si>
  <si>
    <t>Ghaus-ul-azam Road, jail road punjab lahore</t>
  </si>
  <si>
    <t>042-99203053, 03008183288</t>
  </si>
  <si>
    <t>punjab.cardiology@gmail.com</t>
  </si>
  <si>
    <t>9020107-1</t>
  </si>
  <si>
    <t>_</t>
  </si>
  <si>
    <t xml:space="preserve">Placed  </t>
  </si>
  <si>
    <t>02.09.2025</t>
  </si>
  <si>
    <t>Wazirabad</t>
  </si>
  <si>
    <t>IA00096624</t>
  </si>
  <si>
    <t>10.01.2023</t>
  </si>
  <si>
    <t>Mr. Nawaz Ahmed Bajwa</t>
  </si>
  <si>
    <t>Sialkot Road, Gujranwala.</t>
  </si>
  <si>
    <t>055-3259061-3</t>
  </si>
  <si>
    <t>2298630-8</t>
  </si>
  <si>
    <t>1 month sales, first order sale still not completed due to unavailiblity of stock</t>
  </si>
  <si>
    <t xml:space="preserve">account has been blocked </t>
  </si>
  <si>
    <t xml:space="preserve">invoice 0.7 Mio has been recieved </t>
  </si>
  <si>
    <t>order will be executed in Aug 0.6 Mio</t>
  </si>
  <si>
    <t>Stocks issue resolved few new parameters added we are expecting in Q3 we will cover the deficit .</t>
  </si>
  <si>
    <t xml:space="preserve">800,000 order invoiced </t>
  </si>
  <si>
    <t xml:space="preserve">in line as per business comitment </t>
  </si>
  <si>
    <t>5867-2-202302</t>
  </si>
  <si>
    <t>ECL412</t>
  </si>
  <si>
    <t>E0672-41-300621</t>
  </si>
  <si>
    <t>16.09.2024</t>
  </si>
  <si>
    <t>tender based busi. Demo kits have been issued then they’ll order</t>
  </si>
  <si>
    <t>Sales from June, Sales on track</t>
  </si>
  <si>
    <t>12.09.2024</t>
  </si>
  <si>
    <t>21-5017</t>
  </si>
  <si>
    <t>21.9.2023</t>
  </si>
  <si>
    <t>Gujrat</t>
  </si>
  <si>
    <t>Govt. Institute</t>
  </si>
  <si>
    <t>AZIZ BHATTI SHAHEED TEACHING HOSPITAL</t>
  </si>
  <si>
    <t>053-9260104</t>
  </si>
  <si>
    <t> shaistasyed28@hotmail.com</t>
  </si>
  <si>
    <t>9021249-0</t>
  </si>
  <si>
    <t>Transferred to Medcare</t>
  </si>
  <si>
    <t>CLOSED</t>
  </si>
  <si>
    <t>Jatti Umra, Adda Plot Rawand Road, Punjab</t>
  </si>
  <si>
    <t>042-37860101</t>
  </si>
  <si>
    <t>smch@brain.net.pk</t>
  </si>
  <si>
    <t>1888872-7</t>
  </si>
  <si>
    <t>24-5032</t>
  </si>
  <si>
    <t>Fauji Foundation, Shahfaisal colony-2</t>
  </si>
  <si>
    <t>021-3814060</t>
  </si>
  <si>
    <t>shaffat.hussain@fauji.org.pk</t>
  </si>
  <si>
    <t>0710317-2</t>
  </si>
  <si>
    <t>81-1-202207</t>
  </si>
  <si>
    <t>27.06.2025</t>
  </si>
  <si>
    <t>Rahim Yar Khan</t>
  </si>
  <si>
    <t>DM11052437001</t>
  </si>
  <si>
    <t>Sheikhupura road, Gujranwala</t>
  </si>
  <si>
    <t>0308-4227064</t>
  </si>
  <si>
    <t>ssmtci@yahoo.com</t>
  </si>
  <si>
    <t>2073349-6</t>
  </si>
  <si>
    <t>22-5003</t>
  </si>
  <si>
    <t>18.01.2022</t>
  </si>
  <si>
    <t>29.03.2022</t>
  </si>
  <si>
    <t>20.03.2022</t>
  </si>
  <si>
    <t>Mr. Usman</t>
  </si>
  <si>
    <t>0304-1114242</t>
  </si>
  <si>
    <t> ssmtci@yahoo.com       </t>
  </si>
  <si>
    <t xml:space="preserve">Instrument was down due to photometric unit. Now repaired after receiving parts from Elitech. </t>
  </si>
  <si>
    <t>order received will be invoiced this month 0.7 mio</t>
  </si>
  <si>
    <t xml:space="preserve">stock not available,issue in instrument </t>
  </si>
  <si>
    <t xml:space="preserve">instruments parts are intransit which we will recieve in next week </t>
  </si>
  <si>
    <t xml:space="preserve">issue in instrument </t>
  </si>
  <si>
    <t>Sales is below agreed terms ,reason prob in instrument and shortage of stocks . We are going to revise the prices @20% .Stocks issue resolved in next three month we will cover the deficit .</t>
  </si>
  <si>
    <t xml:space="preserve"> Order is in process expected orderRs. 800,000 </t>
  </si>
  <si>
    <t xml:space="preserve">prices revised to mitigate the commited Sales gap </t>
  </si>
  <si>
    <t>Sales are on track. We have revised the prices. Gap will be covered within next 3 months</t>
  </si>
  <si>
    <t>Dr. Mateen Izhar</t>
  </si>
  <si>
    <t>100-A, Shadman-1, Lahore-54000</t>
  </si>
  <si>
    <t>042-37550666 &amp; 37550555</t>
  </si>
  <si>
    <t>zubairee786@gmail.com     </t>
  </si>
  <si>
    <t>1533283-7</t>
  </si>
  <si>
    <t xml:space="preserve">System is still not installed </t>
  </si>
  <si>
    <t xml:space="preserve">PO is in hand , waiting for payment </t>
  </si>
  <si>
    <t xml:space="preserve">once payment will receive then order will be released by our finance and number will shown in sales </t>
  </si>
  <si>
    <t>credit days issue , actually we block the orders after 30 days and our competitor has given the supplies. i think we redefine the credit days to 60</t>
  </si>
  <si>
    <t>we have received an order of 0.4 mio. Re-negotiating the prices/Contract</t>
  </si>
  <si>
    <t>No Sales in June and July</t>
  </si>
  <si>
    <t xml:space="preserve">Electrolyte Analyzer </t>
  </si>
  <si>
    <t xml:space="preserve">5782-2-202302 </t>
  </si>
  <si>
    <t xml:space="preserve">07.08.2023 </t>
  </si>
  <si>
    <t>07.11.2023</t>
  </si>
  <si>
    <t>03.08.2023</t>
  </si>
  <si>
    <t>House B-24, Block 20, FB Area, Gulberg Town,</t>
  </si>
  <si>
    <t>0333-3351024, 021-36341059</t>
  </si>
  <si>
    <t xml:space="preserve"> lab@jdcwelfare.org</t>
  </si>
  <si>
    <t>4003056-3</t>
  </si>
  <si>
    <t xml:space="preserve">We've received order of 280,000 in August 2023 </t>
  </si>
  <si>
    <t>No Orders received in Sep 2023 due to innaguration preparation</t>
  </si>
  <si>
    <t>Still lab isnt completely opperational</t>
  </si>
  <si>
    <t>Business case to be check for monthly commitment One machine to be pull back by 15 April</t>
  </si>
  <si>
    <t>Under dicussion on pull back of one instrument, infromed to Insituite. We will pull back one unit by May 2024.</t>
  </si>
  <si>
    <t>Return confirm status/Hopefully pull back this month coz they were not satisfied by the services</t>
  </si>
  <si>
    <t>4286-2-202208</t>
  </si>
  <si>
    <t>04.07.2023</t>
  </si>
  <si>
    <t>08.03.2024</t>
  </si>
  <si>
    <t>Letter submitted to pull back one Unit</t>
  </si>
  <si>
    <t xml:space="preserve">IA00096724 </t>
  </si>
  <si>
    <t>30.09.2024</t>
  </si>
  <si>
    <t>133-A Faisal town opposite to Allama Iqbal medical college gate no. 2</t>
  </si>
  <si>
    <t>0336-4820296 &amp; 042-35163747</t>
  </si>
  <si>
    <t>support@testzone.com.pk</t>
  </si>
  <si>
    <t>4008662-3</t>
  </si>
  <si>
    <t>Sales beerind track</t>
  </si>
  <si>
    <t>AR # 300346</t>
  </si>
  <si>
    <t>ID00148543</t>
  </si>
  <si>
    <t>AR # 300245</t>
  </si>
  <si>
    <t>FC4040144B</t>
  </si>
  <si>
    <t>IA00147046</t>
  </si>
  <si>
    <t>Junaid Ahmed Jatoi</t>
  </si>
  <si>
    <t>National Stadium Road, Karachi</t>
  </si>
  <si>
    <t>022-2666644, 0333-2751669</t>
  </si>
  <si>
    <t>enterprisesojal@gmail.com</t>
  </si>
  <si>
    <t>45501-4957284-1</t>
  </si>
  <si>
    <t>Sales On track</t>
  </si>
  <si>
    <t>No sales in June and july</t>
  </si>
  <si>
    <t>3 machines are placed. Business case is in process. 2 machines will be placed</t>
  </si>
  <si>
    <t>22.11.2023</t>
  </si>
  <si>
    <t>AR # 300322</t>
  </si>
  <si>
    <t>ID00094934</t>
  </si>
  <si>
    <t>Sialkot Road, Civil Lines, Punjab</t>
  </si>
  <si>
    <t>055-3841018 &amp; 0322-5955955</t>
  </si>
  <si>
    <t>waleed.tarrar000gmail.com</t>
  </si>
  <si>
    <t>34101-5252040-3</t>
  </si>
  <si>
    <t>P078240140C</t>
  </si>
  <si>
    <t>Headway</t>
  </si>
  <si>
    <t>HUBT-20P</t>
  </si>
  <si>
    <t>Issued to Fawad shah for exhibition purpose in Peshawar on dated 14.04.2025 against LS Demo # 8300058987 customer # 3020001583</t>
  </si>
  <si>
    <t>5/B-2, Phase 5, Hayatabad, KPK</t>
  </si>
  <si>
    <t>091-5838333 &amp; 0336-2244360</t>
  </si>
  <si>
    <t>raees.ahmed@rmi.edu.pk</t>
  </si>
  <si>
    <t>1804447-6</t>
  </si>
  <si>
    <t>iA00093422</t>
  </si>
  <si>
    <t>19.09.2023</t>
  </si>
  <si>
    <t>20.09.2023</t>
  </si>
  <si>
    <t>Swat</t>
  </si>
  <si>
    <t> Opposite Azeem Medical Centre, Fatima Jinnah Road</t>
  </si>
  <si>
    <t>081-2823350, 0331-8055742</t>
  </si>
  <si>
    <t> sohailenterprisesqta@gmail.com</t>
  </si>
  <si>
    <t>4471634-7</t>
  </si>
  <si>
    <t> 54400-4142931-3</t>
  </si>
  <si>
    <t>No sales after May-24</t>
  </si>
  <si>
    <t>P078240080C</t>
  </si>
  <si>
    <t>1.27.2025</t>
  </si>
  <si>
    <t>12-G, aih building G-8 marqaz near pso pump, Capital territory</t>
  </si>
  <si>
    <t>0307-5629510</t>
  </si>
  <si>
    <t>junaid@aih.net.pk</t>
  </si>
  <si>
    <t>A049244-5</t>
  </si>
  <si>
    <t>Pulled Back</t>
  </si>
  <si>
    <t>Office # 632, 6th Floor Pak Medical Centre,  Khyber Bazar, KPK</t>
  </si>
  <si>
    <t>0333-9102734 &amp; 091-2562734</t>
  </si>
  <si>
    <t>janmarketingservices@gmail.com</t>
  </si>
  <si>
    <t>17301-1612771-3</t>
  </si>
  <si>
    <t>Not placed</t>
  </si>
  <si>
    <t>EC105</t>
  </si>
  <si>
    <t>E0848-11-140423</t>
  </si>
  <si>
    <t>Nokundi</t>
  </si>
  <si>
    <t>Korangi crossing, Korangi</t>
  </si>
  <si>
    <t>0332-0366593</t>
  </si>
  <si>
    <t>unsa.sajjad@tih.org.pk</t>
  </si>
  <si>
    <t>Tender based busi</t>
  </si>
  <si>
    <t>AR # 1900389-414</t>
  </si>
  <si>
    <t>8931-2-202401/8034-2-202308/8036-2-202308/8961-2-202402/8982-2-202402/8933-2-202402/9273-2-202405/9275-2-202405/8170-2-202308/8183-2-202309/8197-2-202309/8173-2-202308/8196-2-202309/8177-2-202309/8140-2-202308/8185-202309/8198-2-202309/9268-2-202405/9272-2-202405/9262-2-202405/9261-2-202405/9257-2-202405/9269-2-202405/9256-2-202405/9259-2-202405/8953-2-202401</t>
  </si>
  <si>
    <t>12.05.2025</t>
  </si>
  <si>
    <t>26 Machines</t>
  </si>
  <si>
    <t>0332-0366596</t>
  </si>
  <si>
    <t>3162706-4</t>
  </si>
  <si>
    <t>Humayun</t>
  </si>
  <si>
    <t xml:space="preserve"> Sales behind track 28 machines 1 quetaa 2 muzafgarh 2 badeen 1 bhong</t>
  </si>
  <si>
    <t xml:space="preserve">EC90 </t>
  </si>
  <si>
    <t>6909-2-202305</t>
  </si>
  <si>
    <t>0332-0366595</t>
  </si>
  <si>
    <t xml:space="preserve">Laura Smart </t>
  </si>
  <si>
    <t>10477-1-202306</t>
  </si>
  <si>
    <t>0332-0366594</t>
  </si>
  <si>
    <t>Microlab 300</t>
  </si>
  <si>
    <t>23-46854</t>
  </si>
  <si>
    <t>0332-0366592</t>
  </si>
  <si>
    <t>27.08.2025</t>
  </si>
  <si>
    <t>Erba EC90</t>
  </si>
  <si>
    <t>11.20.2025</t>
  </si>
  <si>
    <t>Sui Balochistan</t>
  </si>
  <si>
    <t>898-1-202110</t>
  </si>
  <si>
    <t>26.07.2022</t>
  </si>
  <si>
    <t>23.10.2023</t>
  </si>
  <si>
    <t>Plot # N-118, 1st Floor, Block-2, P.E.C.H.S Karachi</t>
  </si>
  <si>
    <t>021-34331144, 0335-3322085</t>
  </si>
  <si>
    <t>info@mhk.com.pk</t>
  </si>
  <si>
    <t>4267791-2</t>
  </si>
  <si>
    <t>no Sales after feb</t>
  </si>
  <si>
    <t>It’s a tender based business so when theres new tender sales will increase - confim status from hammad hafeez</t>
  </si>
  <si>
    <t>12- 7-24 demo 8300051872</t>
  </si>
  <si>
    <t>897-1-202110</t>
  </si>
  <si>
    <t>Its not at jpmc</t>
  </si>
  <si>
    <t>202-X2-120520</t>
  </si>
  <si>
    <t>106-X2-260419</t>
  </si>
  <si>
    <t>30.11.2023</t>
  </si>
  <si>
    <t>07.12.2023</t>
  </si>
  <si>
    <t>No Sales after Feb-24</t>
  </si>
  <si>
    <t>Tender will be issued this month and paymen expected to be in the mid of dec</t>
  </si>
  <si>
    <t>E-mail forwarded to Mr. Asim &amp; Mr. Abdul Khalid for CAPEX appropriation requested because demo performed from 3200 Plant Lahore (mail attached)</t>
  </si>
  <si>
    <t>21.09.2023</t>
  </si>
  <si>
    <t>14.06.2023</t>
  </si>
  <si>
    <t>06.07.2023</t>
  </si>
  <si>
    <t>Sialkot</t>
  </si>
  <si>
    <t>2-Km Daska Raod, </t>
  </si>
  <si>
    <r>
      <t>0324-8787299,</t>
    </r>
    <r>
      <rPr>
        <sz val="11"/>
        <color theme="1"/>
        <rFont val="Calibri"/>
        <family val="2"/>
        <charset val="1"/>
      </rPr>
      <t xml:space="preserve"> </t>
    </r>
    <r>
      <rPr>
        <sz val="11"/>
        <color rgb="FF000000"/>
        <rFont val="Calibri"/>
        <family val="2"/>
        <charset val="1"/>
      </rPr>
      <t>052-3574812</t>
    </r>
  </si>
  <si>
    <t> info.iih@smcs.edu.pk</t>
  </si>
  <si>
    <t>8892361-1</t>
  </si>
  <si>
    <t> </t>
  </si>
  <si>
    <t>Machine is not installed at customer site and it will be pulled back from customer to shift the machine at Test zone Lab till 10th-15th April.</t>
  </si>
  <si>
    <t>Machine is on demo here</t>
  </si>
  <si>
    <t>The machine is pull back from imran idress and placed at test zone.</t>
  </si>
  <si>
    <t>Sales not started yet/closed</t>
  </si>
  <si>
    <t>ID00175747</t>
  </si>
  <si>
    <t>0336-3557475</t>
  </si>
  <si>
    <t>ahmed_ullah26@yahoo.com</t>
  </si>
  <si>
    <t>5132026-1</t>
  </si>
  <si>
    <t>54400-1404155-1</t>
  </si>
  <si>
    <t>Revise case submitted</t>
  </si>
  <si>
    <t>19.02.2025</t>
  </si>
  <si>
    <t>12.03.2024</t>
  </si>
  <si>
    <t>29.08.2024</t>
  </si>
  <si>
    <t>AR # 300362</t>
  </si>
  <si>
    <t>ID00176348</t>
  </si>
  <si>
    <t>ID00093734</t>
  </si>
  <si>
    <t>Demo Machine will transfer to Capex</t>
  </si>
  <si>
    <t>ID00082632</t>
  </si>
  <si>
    <t>Vitros Eciq Immunoassay</t>
  </si>
  <si>
    <t>04.01.2023</t>
  </si>
  <si>
    <t>06.12.2022</t>
  </si>
  <si>
    <t>Closed Quetta</t>
  </si>
  <si>
    <t>Dr. Fayaz butt</t>
  </si>
  <si>
    <t>Jinnah Road Quetta</t>
  </si>
  <si>
    <t>0812-822360</t>
  </si>
  <si>
    <t xml:space="preserve">working with OCD technical team to resolve the issue as early as possible callibration and allignment tools are needed which is under process by procurement </t>
  </si>
  <si>
    <t>Our engineer has managed to arrange the required tools locally. After discussing with the customer, they've agreed to shift the workload on our equipment once equipment is completely operational.</t>
  </si>
  <si>
    <t xml:space="preserve">We've received order of 818,000 in August 2023 </t>
  </si>
  <si>
    <t>From March onwards will receive proper orders and workload will also increase</t>
  </si>
  <si>
    <t>revised business cases in under discussed with Finance and Managment</t>
  </si>
  <si>
    <t>01.10.2022</t>
  </si>
  <si>
    <t>23.09.2022</t>
  </si>
  <si>
    <t>26.09.2022</t>
  </si>
  <si>
    <t>Installed through Trader Jamal Brothers</t>
  </si>
  <si>
    <t>Saleem Medical Complex, Quetta, Pakistan-87300</t>
  </si>
  <si>
    <t>Order received and processed</t>
  </si>
  <si>
    <t>We've increased their prices by 35%, furthermore revised business case will be submitted for approval based on actual workload.</t>
  </si>
  <si>
    <t>Revise case submitted, On actual volume</t>
  </si>
  <si>
    <t>business cases is under discussion - Quetta</t>
  </si>
  <si>
    <t>behind track, sales every month</t>
  </si>
  <si>
    <t>Art School Rd, Quetta, Balochistan 83200</t>
  </si>
  <si>
    <t>19.10.2022</t>
  </si>
  <si>
    <t>Dr. Hanif Mangel</t>
  </si>
  <si>
    <t>52Q5+VJ4, Patel Road, Patel Bagh Quetta, Balochistan</t>
  </si>
  <si>
    <t>Revised Quetta</t>
  </si>
  <si>
    <t>IA00093422</t>
  </si>
  <si>
    <t>D.G Khan</t>
  </si>
  <si>
    <t>23.06.2025</t>
  </si>
  <si>
    <t>1-674, Street No 7, Murree Road Committee Chowk</t>
  </si>
  <si>
    <t>051-5132096/0333-5483970</t>
  </si>
  <si>
    <t>mjunaidpirzada@gmail.com</t>
  </si>
  <si>
    <t>37405-8532137-1</t>
  </si>
  <si>
    <t>AR # 300355</t>
  </si>
  <si>
    <t>04.07.2025</t>
  </si>
  <si>
    <t>AR # 1900381</t>
  </si>
  <si>
    <t>Shifted from demo 8300061998 18.08.2025</t>
  </si>
  <si>
    <t>9254-2-202402</t>
  </si>
  <si>
    <t>14.07.2025</t>
  </si>
  <si>
    <t>IFLASH 1200</t>
  </si>
  <si>
    <t>IFLASH 1800</t>
  </si>
  <si>
    <t>Malik Aman</t>
  </si>
  <si>
    <t>12.08.2025</t>
  </si>
  <si>
    <t>Timmergara</t>
  </si>
  <si>
    <t>Pulling back</t>
  </si>
  <si>
    <t>26.08.2025</t>
  </si>
  <si>
    <t>Sahiwal</t>
  </si>
  <si>
    <t>Swelab-Autoloader</t>
  </si>
  <si>
    <t>Sehwan</t>
  </si>
  <si>
    <t>26.12.2025</t>
  </si>
  <si>
    <t>DM11052437003</t>
  </si>
  <si>
    <t>IFLASH 3000R</t>
  </si>
  <si>
    <t>13.01.2026</t>
  </si>
  <si>
    <t>Filtering out Closed, Closed Quetta, New</t>
  </si>
  <si>
    <t>Reagent Rental Machines - 24-12-2025</t>
  </si>
  <si>
    <t>Comments by Business (Dec 2025)</t>
  </si>
  <si>
    <t>SICVD (Sindh Institute of Cardiovascular) Lrk</t>
  </si>
  <si>
    <t>Rehan Hospital (Through Jamal Brothers)</t>
  </si>
  <si>
    <t>THALASSEMIA CENTER (Through Jamal Brothers)</t>
  </si>
  <si>
    <t>Action Plan (Mar 24)</t>
  </si>
  <si>
    <t>Shazia parveen</t>
  </si>
  <si>
    <t>Agha Khan Hospital</t>
  </si>
  <si>
    <t xml:space="preserve"> 0709421-3</t>
  </si>
  <si>
    <t>Sales without instrument</t>
  </si>
  <si>
    <t xml:space="preserve">Customer No </t>
  </si>
  <si>
    <t xml:space="preserve">Comments </t>
  </si>
  <si>
    <t>No sales after august</t>
  </si>
  <si>
    <t>No sales after Feb-23</t>
  </si>
  <si>
    <t>No sales after dec-23, issued on demo</t>
  </si>
  <si>
    <t>Sales not started yet. Machine is on demo</t>
  </si>
  <si>
    <t>No sales after May</t>
  </si>
  <si>
    <t>No sales after August</t>
  </si>
  <si>
    <t>No sales after Oct</t>
  </si>
  <si>
    <t>Ojal Enterprises</t>
  </si>
  <si>
    <t>No sales after August-23</t>
  </si>
  <si>
    <t>Jamal Brothers</t>
  </si>
  <si>
    <t>No sales after Nov</t>
  </si>
  <si>
    <t>Value in Mio</t>
  </si>
  <si>
    <t>No. of Instruments placed</t>
  </si>
  <si>
    <t>Total Reagent Sales</t>
  </si>
  <si>
    <t>Gross Margin</t>
  </si>
  <si>
    <t>GM%</t>
  </si>
  <si>
    <t xml:space="preserve">Remaining Payback </t>
  </si>
  <si>
    <t xml:space="preserve">Unit Cost </t>
  </si>
  <si>
    <t xml:space="preserve">Total Reagent Sales till date </t>
  </si>
  <si>
    <t>Sum of Margin on Reagent sale</t>
  </si>
  <si>
    <t xml:space="preserve">Per Month Reagent Commitment </t>
  </si>
  <si>
    <t xml:space="preserve">Avg reagent Sales per month </t>
  </si>
  <si>
    <t>(blank)</t>
  </si>
  <si>
    <t>#N/A</t>
  </si>
  <si>
    <t>(All)</t>
  </si>
  <si>
    <t>Sum of Total Reagent Sales till date Actual</t>
  </si>
  <si>
    <t>S.No.</t>
  </si>
  <si>
    <t>NTN</t>
  </si>
  <si>
    <t>STN</t>
  </si>
  <si>
    <r>
      <t xml:space="preserve">On Track / </t>
    </r>
    <r>
      <rPr>
        <b/>
        <sz val="11"/>
        <color rgb="FFFF0000"/>
        <rFont val="Calibri"/>
        <family val="2"/>
        <scheme val="minor"/>
      </rPr>
      <t>behind</t>
    </r>
  </si>
  <si>
    <t>M. Akhtar</t>
  </si>
  <si>
    <t>mr.usman</t>
  </si>
  <si>
    <t>Sales behind track ( No sales after Jan 23)</t>
  </si>
  <si>
    <t>Advance Lab</t>
  </si>
  <si>
    <t>Dr. Rafiq Khanani</t>
  </si>
  <si>
    <t xml:space="preserve"> B-31 Al Raee Road, (Dunkin Donut) off, Main University Rd, Block 15 Gulshan-e-Iqbal, Karachi</t>
  </si>
  <si>
    <t>0333-3219576</t>
  </si>
  <si>
    <t>scm@advancedhealth.com.pk</t>
  </si>
  <si>
    <t>5579087-5</t>
  </si>
  <si>
    <t>Instrument was not fully stabalized, they are using Selectra ProM side by side.</t>
  </si>
  <si>
    <t>MACH5 kits was not availble in stock. Furthermore, instrument is not performing as per the expectations of customers</t>
  </si>
  <si>
    <t>Instrument pulled back as customer was not satisfied with machine performance. They've start using Selectra Pro M (Purchased) now.</t>
  </si>
  <si>
    <t>Please close as they are not using MACH5 now, mentioned in previous comments as well.</t>
  </si>
  <si>
    <t>Swelab Alfa Plus Std.</t>
  </si>
  <si>
    <t>104282 &amp; 11695</t>
  </si>
  <si>
    <t>Allied Hospital</t>
  </si>
  <si>
    <t>near pinum hospital, faisalabad</t>
  </si>
  <si>
    <t>15/06/2022</t>
  </si>
  <si>
    <t>Sales behind track ( No sales in Apr23)</t>
  </si>
  <si>
    <t>M.Hafiz Mujtaba</t>
  </si>
  <si>
    <t>22-5017</t>
  </si>
  <si>
    <t>24.06.2022</t>
  </si>
  <si>
    <t xml:space="preserve">Approved </t>
  </si>
  <si>
    <t>MUHAMMAD BADAR ALAM</t>
  </si>
  <si>
    <t>CITI LABORATORY, AL-KHAIR PLAZA,FAZAL-E-HAQ ROAD,BLUE AREA,ISLAMABAD.</t>
  </si>
  <si>
    <t>0321-5181280</t>
  </si>
  <si>
    <t xml:space="preserve">info@citi-lab.com       </t>
  </si>
  <si>
    <t>Direct, Installation completed and now it will be a regular business.</t>
  </si>
  <si>
    <t xml:space="preserve">Stock unavailable/ dissmental due  </t>
  </si>
  <si>
    <t>No sales after Sep22</t>
  </si>
  <si>
    <t>28/06/2022</t>
  </si>
  <si>
    <t>Noor lab quetta</t>
  </si>
  <si>
    <t>ASAD ULLAH</t>
  </si>
  <si>
    <t>Installation completed in September.</t>
  </si>
  <si>
    <t>YHLO reagents was not availble in stock. New Stock received, customer will process new order within this month.</t>
  </si>
  <si>
    <t>They've stopped using the equipment due to variation in some results, after resolving the problem we've received some orders from them which are under process.</t>
  </si>
  <si>
    <t>behind track (No Sales in Mar&amp; Apr 23)</t>
  </si>
  <si>
    <t>17.06.2022</t>
  </si>
  <si>
    <t>Karachi XRays &amp; Ultrasound Hospital</t>
  </si>
  <si>
    <t>Mr. Qasim / Dr. Salim Shah</t>
  </si>
  <si>
    <t>Khorasana Road, Soldier Bazaar Catholic Colony, Karachi, Karachi City</t>
  </si>
  <si>
    <t>021-322290001</t>
  </si>
  <si>
    <t>karachixrays@yahoo.com</t>
  </si>
  <si>
    <t>0710856-7</t>
  </si>
  <si>
    <t>Installation done, Order was not processed due to unavailability of Kits</t>
  </si>
  <si>
    <t>Agreement signing in process</t>
  </si>
  <si>
    <t>We've pulled back the equipment as most of the time kits was not available whenever they've needed it.</t>
  </si>
  <si>
    <t>Please close as they are not using iflash 1800 now, mentioned in previous comments as well.</t>
  </si>
  <si>
    <t>No Sales till Apr 23</t>
  </si>
  <si>
    <t>20/07/2022</t>
  </si>
  <si>
    <t>18/07/2022</t>
  </si>
  <si>
    <t>No Sales after Nov22</t>
  </si>
  <si>
    <t>Medic Hospital Karachi (Prof. Masood Hameed Diagnositc And)</t>
  </si>
  <si>
    <t>No sales after Oct 22</t>
  </si>
  <si>
    <t>22/08/2022</t>
  </si>
  <si>
    <t>behind track, (No sales in Apr 23)</t>
  </si>
  <si>
    <t>30/08/2022</t>
  </si>
  <si>
    <t xml:space="preserve">THE INSTITUTE OF CHILD HEALTH, CHILDREN HOSPITAL COMPLEX, ABDALI ROAD, MULTAN.
</t>
  </si>
  <si>
    <t>VITROS ECiQ Immunodiagnostic System</t>
  </si>
  <si>
    <t>Immunoassay Analyzer</t>
  </si>
  <si>
    <t>26/09/2022</t>
  </si>
  <si>
    <t>immunoassay Analyzer</t>
  </si>
  <si>
    <t>karachi</t>
  </si>
  <si>
    <t>19/10/2022</t>
  </si>
  <si>
    <t>0812-822424</t>
  </si>
  <si>
    <t>20/10/2022</t>
  </si>
  <si>
    <t>south</t>
  </si>
  <si>
    <t>PNS Shifa Hospital</t>
  </si>
  <si>
    <t>VITROS 3600</t>
  </si>
  <si>
    <t>Issued on demo 8300039526 from 3200 plant</t>
  </si>
  <si>
    <t>Fayyaz Lab</t>
  </si>
  <si>
    <t>No sales till Apr 23</t>
  </si>
  <si>
    <t>Issued on demo 8300039525 from 3200 plant</t>
  </si>
  <si>
    <t>27/02/2023</t>
  </si>
  <si>
    <t>center</t>
  </si>
  <si>
    <t>Total ….</t>
  </si>
  <si>
    <t>KKF Blood bank</t>
  </si>
  <si>
    <t>Test Zone Lab</t>
  </si>
  <si>
    <t>Mar'-25</t>
  </si>
  <si>
    <t>Apr'-25</t>
  </si>
  <si>
    <t>Jan-26</t>
  </si>
  <si>
    <t>Sep-25.</t>
  </si>
  <si>
    <t>Oct-25.</t>
  </si>
  <si>
    <t>Nov-25.</t>
  </si>
  <si>
    <t>Dec-25.</t>
  </si>
  <si>
    <t>Jan-26.</t>
  </si>
  <si>
    <t xml:space="preserve"> Sep-25</t>
  </si>
  <si>
    <t xml:space="preserve"> Oct-25</t>
  </si>
  <si>
    <t xml:space="preserve"> Nov-25</t>
  </si>
  <si>
    <t xml:space="preserve"> Dec-25</t>
  </si>
  <si>
    <t xml:space="preserve"> Jan-26</t>
  </si>
  <si>
    <t>Avg Sale Per Month</t>
  </si>
  <si>
    <t>Avg Sales per month sales</t>
  </si>
  <si>
    <t xml:space="preserve">Avg Sales per month sales </t>
  </si>
  <si>
    <t>Feb-26</t>
  </si>
  <si>
    <t>Business Case</t>
  </si>
  <si>
    <t xml:space="preserve"> Feb-26</t>
  </si>
  <si>
    <t>Comments by Business (Feb 2026)</t>
  </si>
  <si>
    <t>placed</t>
  </si>
  <si>
    <t>on Track</t>
  </si>
  <si>
    <t>Behind track</t>
  </si>
  <si>
    <t>Close</t>
  </si>
  <si>
    <t>New Installation</t>
  </si>
  <si>
    <t xml:space="preserve">New installation </t>
  </si>
  <si>
    <t>SOP Revise</t>
  </si>
  <si>
    <t>behind track (followup by sales team)</t>
  </si>
  <si>
    <t>need to check business case</t>
  </si>
  <si>
    <t>behind track need followup</t>
  </si>
  <si>
    <t xml:space="preserve">Korangi WH </t>
  </si>
  <si>
    <t>New machines</t>
  </si>
  <si>
    <t>Tender in process</t>
  </si>
  <si>
    <t>Behind Track</t>
  </si>
  <si>
    <t>Ned to be checked with WH</t>
  </si>
  <si>
    <t>Behind Track machine placed in july 2025</t>
  </si>
  <si>
    <t>Closed need to check with WH</t>
  </si>
  <si>
    <t>Pull Back check with WH</t>
  </si>
  <si>
    <t>Al- Khidmat Welfare Society</t>
  </si>
  <si>
    <t>Pull Back</t>
  </si>
  <si>
    <t>2 Mchines through jamal brothers purchsed</t>
  </si>
  <si>
    <t>20 machines and all will be pull back</t>
  </si>
  <si>
    <t>New installation</t>
  </si>
  <si>
    <t>Indus</t>
  </si>
  <si>
    <t>4 Machines</t>
  </si>
  <si>
    <t>1 QTA,2 Badin,Bhomg</t>
  </si>
  <si>
    <t>2 machines of muzafargarh</t>
  </si>
  <si>
    <t>20 Machines all pull back</t>
  </si>
  <si>
    <t>Faisalabad Medical University (Allied to be changed)</t>
  </si>
  <si>
    <t>Supply issue due to DRAP registration followup</t>
  </si>
  <si>
    <t>On Track but supply issue</t>
  </si>
  <si>
    <t>Not Placed</t>
  </si>
  <si>
    <t>On Track</t>
  </si>
  <si>
    <t>Under Installation</t>
  </si>
  <si>
    <t>Pull Back need followup</t>
  </si>
  <si>
    <t>Behind Track Followup</t>
  </si>
  <si>
    <t>Machine to be checked</t>
  </si>
  <si>
    <t>To be checked only machine active</t>
  </si>
  <si>
    <t xml:space="preserve">To be trf to GAMCA </t>
  </si>
  <si>
    <t>Due to shortages of stock</t>
  </si>
  <si>
    <t>Pull Back to WH</t>
  </si>
  <si>
    <t>Behind Target</t>
  </si>
  <si>
    <t>Behind Target need to followup</t>
  </si>
  <si>
    <t>will be discussed then Pull back and will given to national hospital</t>
  </si>
  <si>
    <t>On track</t>
  </si>
  <si>
    <t>Pull Back machine on Site till 18Mach</t>
  </si>
  <si>
    <t>Behind Track due to supply issue</t>
  </si>
  <si>
    <t xml:space="preserve">Behind Track </t>
  </si>
  <si>
    <t>Machine Trf to WH</t>
  </si>
  <si>
    <t>Biocare Labs (Private) Limited</t>
  </si>
  <si>
    <t>Transfer to Bio Care Islamabad</t>
  </si>
  <si>
    <t>Machine transfer from Suhail</t>
  </si>
  <si>
    <t>Behind track due to overdue</t>
  </si>
  <si>
    <t>Trf to WH KHI</t>
  </si>
  <si>
    <t>Magma International/CDA Islamabad</t>
  </si>
  <si>
    <t>Transfer to GAMCA Venus</t>
  </si>
  <si>
    <t>Received from GAMCA Peshawar</t>
  </si>
  <si>
    <t xml:space="preserve"> Feb-26.</t>
  </si>
  <si>
    <t>YTD 2026</t>
  </si>
  <si>
    <t>Comments by Business</t>
  </si>
  <si>
    <t xml:space="preserve"> Per Month Reagent Commitment</t>
  </si>
  <si>
    <t>Technology Name</t>
  </si>
  <si>
    <t>Martin Dow Specialties Pvt Ltd</t>
  </si>
  <si>
    <t>Customer Wise Reagent Sales</t>
  </si>
  <si>
    <t>Five month Sales Vs Commitments</t>
  </si>
  <si>
    <t>Last 5 Month Avg Sales</t>
  </si>
  <si>
    <t>Sales Vs Com %</t>
  </si>
  <si>
    <t>Top 3 Total</t>
  </si>
  <si>
    <t>Jamal Brothers QTA</t>
  </si>
  <si>
    <t>Total Reagent Sales Till Date</t>
  </si>
  <si>
    <t>Mar-26</t>
  </si>
  <si>
    <t>GP %</t>
  </si>
  <si>
    <t>ROI %</t>
  </si>
  <si>
    <t>GM</t>
  </si>
  <si>
    <t>Stock not available due to registration</t>
  </si>
  <si>
    <t>Last 6 Month Avg Sales</t>
  </si>
  <si>
    <t>Rehman medical, Ghurki trust and akbar niazi are behind track 
Army cardiac hospital is on track</t>
  </si>
  <si>
    <t>on track</t>
  </si>
  <si>
    <t>Action Plan</t>
  </si>
  <si>
    <t xml:space="preserve">Under discussion for next order and reagent utilitized sale was planned quarterly </t>
  </si>
  <si>
    <t>Partial order has been process next order will be process in Q2 2026, due to non availability of reagents in last Q4 2025</t>
  </si>
  <si>
    <t>Due to non availability of reagent next sales plan is after Eid in 2nd quarter</t>
  </si>
  <si>
    <t>Machine is currently at site and will be pull back in 2nd qurter</t>
  </si>
  <si>
    <t>Orders are in process and partial order has been placed</t>
  </si>
  <si>
    <t>Machine is replaced with YHLO machine due to non availability of stock</t>
  </si>
  <si>
    <t>New tender submitted in DP Navy</t>
  </si>
  <si>
    <t xml:space="preserve">Machine will be pulled back in Q2 and will be placed in GAMMCA under discussion </t>
  </si>
  <si>
    <t>sales are on track from Jan'26</t>
  </si>
  <si>
    <t xml:space="preserve">Due to some challenges initially in machine was not on track </t>
  </si>
  <si>
    <t>New tender has been submitted and sales will be on track Q2 2026</t>
  </si>
  <si>
    <t>Machine will be pull back in next month</t>
  </si>
  <si>
    <t>Sales will be improved in Q2 2026</t>
  </si>
  <si>
    <t>Pull back in next month</t>
  </si>
  <si>
    <t>Tender based new tender will be available by june 2026</t>
  </si>
  <si>
    <t>Sales are impreoved and will be on track from next month</t>
  </si>
  <si>
    <t>Negotiation with the customer is in process</t>
  </si>
  <si>
    <t>Order in hand 800K,order hold due to pending  payment</t>
  </si>
  <si>
    <t>Order in hand 700K , order hold due to pending  payment due to bank issues at customer end</t>
  </si>
  <si>
    <t xml:space="preserve">Machine installed in december expected Orders are in hand 400K and sales will be on track by next month </t>
  </si>
  <si>
    <t>Order is placed quarterly expected in March 2026 of 900K</t>
  </si>
  <si>
    <t>Sales are on Track</t>
  </si>
  <si>
    <t xml:space="preserve">Machine will be pull back in April 2026 </t>
  </si>
  <si>
    <t>Machine will be pull back in April 2026 and machine has been replaced with YHLO</t>
  </si>
  <si>
    <t>Machine will be pull back In April'26</t>
  </si>
  <si>
    <t>Sales team are working and sales will be improved in Q2</t>
  </si>
  <si>
    <t>Sales team are working and it will be improved in Q2 2026</t>
  </si>
  <si>
    <t>Order placed annually, last order 2.4M, Tender will be renewed in Q2 2026 expected order 5M vs annual commitment 3M</t>
  </si>
  <si>
    <t>Due to some technical challenges in machine initially sales was not on track</t>
  </si>
  <si>
    <t>Due to services issue sale was not on track and will be on track from next month</t>
  </si>
  <si>
    <t>Machine installed in Jan'26 and current month order is 350K and sales will be on track</t>
  </si>
  <si>
    <t>Without Pull Back</t>
  </si>
  <si>
    <t>Allied Hospital,Indus Hospital, Al-Khidmat Hospital, SOMH &amp; SICVD are main contributor</t>
  </si>
  <si>
    <t>PIC, NICVD &amp; NICH are on track
Discussed the cases of Al-Khidmat, Akbar Niazi &amp; Ali Medical centre with Sales team 
Arif memorial machine will be pulled back and transfer to national hospital</t>
  </si>
  <si>
    <t>QAMC, Faisalabad medical univ,sahiwal teaching &amp; NICVD mughal diagnostic are main contributor</t>
  </si>
  <si>
    <t>Pull back</t>
  </si>
  <si>
    <t>Behind track need followup</t>
  </si>
  <si>
    <t>Machine Pull Back</t>
  </si>
  <si>
    <t xml:space="preserve">Faisalabad Medical University </t>
  </si>
  <si>
    <t>* Stocks non-availability in Q4, shipment held at port due to legal matter.
* Current Achievement 22% vs YTD September was 67%, (details are on next slide).</t>
  </si>
  <si>
    <t>- SICVD, Rafiq Anwer, Mughal Lab, Mehtab Shahmir, Dar ul Sehat, Ishtiaq Tarrar &amp; Ghulab Devi are on track
 - Discussed the cases of behind track with sales team, they will follow up and respond - Test Zone, NHS Sharah-e Qaideen, Healthway Laboratories, Ibn-E-Sina, Attock Hospital, BioPath Lab, Peshawar Fertility , Burhani Hospital Trust &amp; Masood Hospital.</t>
  </si>
  <si>
    <t>Corrective action taken and machine pull back from Indus 20 machines due to transfer to other source.</t>
  </si>
  <si>
    <t xml:space="preserve">khan lab </t>
  </si>
  <si>
    <t>Stocks are not available due to registration</t>
  </si>
  <si>
    <t>MHU (mobile health units) project of Punjab has been awarded to Khan Lab from Indus, contact is in signing b/w MDSPL and Khan Lab, machines will be on track from Q2.</t>
  </si>
  <si>
    <t>Will be pull back and install at Medi clinic Peshwar.</t>
  </si>
  <si>
    <t>It will be on track, order processed of Rs.1.2M</t>
  </si>
  <si>
    <t>Army cardic order of Rs.1.2M processed, it will be on track, Rehman medical, Ghurki trust are behind track, sales team are working on it. Akbar niazi machine will be pull back and install at Medi clinic Peshwar.</t>
  </si>
  <si>
    <t>Will be on track from next month</t>
  </si>
  <si>
    <t>Will be on track next month</t>
  </si>
  <si>
    <t>AR # 300406</t>
  </si>
  <si>
    <t>Al-Khidmat Lab Mirpur Azad Kashmir</t>
  </si>
  <si>
    <t>AR # 300321</t>
  </si>
  <si>
    <t>AR # 300409</t>
  </si>
  <si>
    <t>AR # 300410</t>
  </si>
  <si>
    <t>AR # 300424</t>
  </si>
  <si>
    <t>Swelab Alfa Plus</t>
  </si>
  <si>
    <t>AR # 300405</t>
  </si>
  <si>
    <t>AR # 300396</t>
  </si>
  <si>
    <t>AR # 300401</t>
  </si>
  <si>
    <t>AR # 300403</t>
  </si>
  <si>
    <t>AR # 300412</t>
  </si>
  <si>
    <t>AR # 19000491</t>
  </si>
  <si>
    <t>25-47705</t>
  </si>
  <si>
    <t>AR # 300323</t>
  </si>
  <si>
    <t>AR # 300402</t>
  </si>
  <si>
    <t>25-5206</t>
  </si>
  <si>
    <t>AR # 300293</t>
  </si>
  <si>
    <t>No Sales in March'26</t>
  </si>
  <si>
    <t>Pull back by April 30</t>
  </si>
  <si>
    <t>Tender Finalize by April 30</t>
  </si>
  <si>
    <t>Pull back - Nasir</t>
  </si>
  <si>
    <t>Daniyal will take update</t>
  </si>
  <si>
    <t>sales will be invoiced in April</t>
  </si>
  <si>
    <t>Visit in April and then update the status</t>
  </si>
  <si>
    <t>Quarterly Sales - expected April</t>
  </si>
  <si>
    <t>on track - check March Sales Rafay</t>
  </si>
  <si>
    <t xml:space="preserve">follow up done it will be on track </t>
  </si>
  <si>
    <t>Pull Back check with Nasir</t>
  </si>
  <si>
    <t>Update by Daniyal</t>
  </si>
  <si>
    <t>will be on track by April</t>
  </si>
  <si>
    <t>invoice in April</t>
  </si>
  <si>
    <t>will be on track by April - follow up by Daniyal</t>
  </si>
  <si>
    <t>pull by - Nasir</t>
  </si>
  <si>
    <t>Sales started in March - Rafay</t>
  </si>
  <si>
    <t>Supply issue due to DRAP</t>
  </si>
  <si>
    <t>Fasi will update the order detail</t>
  </si>
  <si>
    <t>Sales not in track - April Sales 650k</t>
  </si>
  <si>
    <t>behind track April Sales</t>
  </si>
  <si>
    <t>under validation - behind track</t>
  </si>
  <si>
    <t>Follow up - Fasi</t>
  </si>
  <si>
    <t>on Track - check BC - Fasi</t>
  </si>
  <si>
    <t>on track - no sales in March</t>
  </si>
  <si>
    <t>orders on hold - will be on track</t>
  </si>
  <si>
    <t>behind track need followup Fasi</t>
  </si>
  <si>
    <t>one time order (no monthly sales) - new tender expected in June</t>
  </si>
  <si>
    <t>On Track - Part pending - Waleed</t>
  </si>
  <si>
    <t>Waleed - Imran Rana will upate on it</t>
  </si>
  <si>
    <t>behind track - few items short due to supply</t>
  </si>
  <si>
    <t>Order on hold - will be invoiced in April</t>
  </si>
  <si>
    <t>Installed from Jan</t>
  </si>
  <si>
    <t>behind track need  further followup</t>
  </si>
  <si>
    <t>on Track - Sales Rafay</t>
  </si>
  <si>
    <t>no sales in March - Part issue</t>
  </si>
  <si>
    <t>Qaurterly Orders - on track</t>
  </si>
  <si>
    <t>Pulled Back and placed in Children Hospital  as backup - New case to be submitted</t>
  </si>
  <si>
    <t>will be on track</t>
  </si>
  <si>
    <t>will be moved to PIC, April 30</t>
  </si>
  <si>
    <t>To be trf to GAMCA, April 30</t>
  </si>
  <si>
    <t>Will be on track</t>
  </si>
  <si>
    <t>issue settled will be on track soon</t>
  </si>
  <si>
    <t>revised quatation to be submitted by AM, invoice expected in April</t>
  </si>
  <si>
    <t>Tender due on 20 April, contract renew in July</t>
  </si>
  <si>
    <t>Tender or Pull back by May 15</t>
  </si>
  <si>
    <t>Need follow up Imran Rana</t>
  </si>
  <si>
    <t>Customer issues need to be settle in April</t>
  </si>
  <si>
    <t>Comments by Business (Mar 2026)</t>
  </si>
  <si>
    <t>order will receive in April - Supply issue</t>
  </si>
  <si>
    <t>due to overdue, invoice will be done in April, 15th April Cheque received</t>
  </si>
  <si>
    <t>Waqar will confirm about the status</t>
  </si>
  <si>
    <t>over due, order of 800k will be processed in April</t>
  </si>
  <si>
    <t>over due issue, follow up needed Waqar</t>
  </si>
  <si>
    <t>workload decrease, Pull back by 10 May</t>
  </si>
  <si>
    <t>on track, to add TFT profile</t>
  </si>
  <si>
    <t>due to stock shortages sales was behind track</t>
  </si>
  <si>
    <t>sterrers required, sales will be on track</t>
  </si>
  <si>
    <t>will be on track, pateint decrease</t>
  </si>
  <si>
    <t>Last Six Month Avg</t>
  </si>
  <si>
    <t>Mar-26'</t>
  </si>
  <si>
    <t>SASIM Sehwan through Z.A.M Traders &amp; Co.</t>
  </si>
  <si>
    <t>TEchnology Wise Summary</t>
  </si>
  <si>
    <t>' Mar-26</t>
  </si>
  <si>
    <t>Sales Vs Commit. %</t>
  </si>
  <si>
    <t>Technology Wise RR Summary</t>
  </si>
  <si>
    <t>Customer Wise RR Summary</t>
  </si>
  <si>
    <t>Sorted on supplier wise and total investment wise</t>
  </si>
  <si>
    <t>Sorted on total investment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</si>
</sst>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0_-;\-* #,##0.00_-;_-* &quot;-&quot;??_-;_-@_-"/>
    <numFmt numFmtId="165" formatCode="_-* #,##0_-;\-* #,##0_-;_-* &quot;-&quot;??_-;_-@_-"/>
    <numFmt numFmtId="166" formatCode="#,##0_ ;[Red]\-#,##0\ "/>
    <numFmt numFmtId="167" formatCode="_(* #,##0_);_(* \(#,##0\);_(* &quot;-&quot;??_);_(@_)"/>
    <numFmt numFmtId="168" formatCode="#,##0,,"/>
    <numFmt numFmtId="169" formatCode="0;[Red]0"/>
  </numFmts>
  <fonts count="79"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7" tint="0.79998168889431442"/>
      <name val="Calibri"/>
      <family val="2"/>
      <scheme val="minor"/>
    </font>
    <font>
      <b/>
      <sz val="11"/>
      <color theme="1"/>
      <name val="Calibri"/>
      <family val="2"/>
      <scheme val="minor"/>
    </font>
    <font>
      <sz val="11"/>
      <color rgb="FF000000"/>
      <name val="Calibri"/>
      <family val="2"/>
    </font>
    <font>
      <u/>
      <sz val="11"/>
      <color theme="10"/>
      <name val="Calibri"/>
      <family val="2"/>
      <scheme val="minor"/>
    </font>
    <font>
      <sz val="10"/>
      <color theme="1"/>
      <name val="Calibri"/>
      <family val="2"/>
      <scheme val="minor"/>
    </font>
    <font>
      <b/>
      <sz val="11"/>
      <color theme="3" tint="-0.249977111117893"/>
      <name val="Calibri"/>
      <family val="2"/>
      <scheme val="minor"/>
    </font>
    <font>
      <sz val="12"/>
      <color rgb="FF222222"/>
      <name val="Calibri"/>
      <family val="2"/>
    </font>
    <font>
      <sz val="10"/>
      <color rgb="FF222222"/>
      <name val="Arial"/>
      <family val="2"/>
    </font>
    <font>
      <sz val="10"/>
      <color rgb="FF000000"/>
      <name val="Calibri"/>
      <family val="2"/>
    </font>
    <font>
      <sz val="11"/>
      <color theme="1"/>
      <name val="Calibri"/>
      <family val="2"/>
      <charset val="1"/>
    </font>
    <font>
      <b/>
      <sz val="12"/>
      <color theme="0"/>
      <name val="Calibri"/>
      <family val="2"/>
      <scheme val="minor"/>
    </font>
    <font>
      <sz val="12"/>
      <color theme="1"/>
      <name val="Calibri"/>
      <family val="2"/>
      <scheme val="minor"/>
    </font>
    <font>
      <sz val="12"/>
      <color theme="1"/>
      <name val="Calibri"/>
      <family val="2"/>
      <charset val="1"/>
    </font>
    <font>
      <sz val="12"/>
      <color rgb="FF222222"/>
      <name val="Arial"/>
      <family val="2"/>
    </font>
    <font>
      <sz val="11"/>
      <color rgb="FF202124"/>
      <name val="Arial"/>
      <family val="2"/>
      <charset val="1"/>
    </font>
    <font>
      <sz val="11"/>
      <color rgb="FF000000"/>
      <name val="Calibri"/>
      <family val="2"/>
      <charset val="1"/>
    </font>
    <font>
      <b/>
      <sz val="11"/>
      <color rgb="FFFF0000"/>
      <name val="Calibri"/>
      <family val="2"/>
      <scheme val="minor"/>
    </font>
    <font>
      <sz val="12"/>
      <name val="Calibri"/>
      <family val="2"/>
    </font>
    <font>
      <i/>
      <sz val="10"/>
      <color theme="1"/>
      <name val="Calibri"/>
      <family val="2"/>
      <scheme val="minor"/>
    </font>
    <font>
      <b/>
      <sz val="16"/>
      <color theme="1"/>
      <name val="Calibri"/>
      <family val="2"/>
      <scheme val="minor"/>
    </font>
    <font>
      <b/>
      <sz val="12"/>
      <color rgb="FFC00000"/>
      <name val="Calibri"/>
      <family val="2"/>
      <scheme val="minor"/>
    </font>
    <font>
      <u/>
      <sz val="11"/>
      <color theme="1"/>
      <name val="Calibri"/>
      <family val="2"/>
      <scheme val="minor"/>
    </font>
    <font>
      <b/>
      <u/>
      <sz val="11"/>
      <color theme="0"/>
      <name val="Calibri"/>
      <family val="2"/>
      <scheme val="minor"/>
    </font>
    <font>
      <sz val="11"/>
      <color rgb="FF000000"/>
      <name val="Aptos Narrow"/>
      <family val="2"/>
    </font>
    <font>
      <b/>
      <sz val="11"/>
      <color rgb="FF000000"/>
      <name val="Aptos Narrow"/>
      <family val="2"/>
    </font>
    <font>
      <sz val="11"/>
      <color rgb="FF000000"/>
      <name val="Aptos Narrow"/>
      <family val="2"/>
      <charset val="1"/>
    </font>
    <font>
      <sz val="10"/>
      <color rgb="FF000000"/>
      <name val="Aptos Narrow"/>
      <family val="2"/>
    </font>
    <font>
      <b/>
      <sz val="10"/>
      <color rgb="FF000000"/>
      <name val="Aptos Narrow"/>
      <family val="2"/>
    </font>
    <font>
      <b/>
      <sz val="11"/>
      <color rgb="FF9C0006"/>
      <name val="Aptos Narrow"/>
      <family val="2"/>
    </font>
    <font>
      <sz val="11"/>
      <color theme="1"/>
      <name val="Aptos"/>
      <family val="2"/>
      <charset val="1"/>
    </font>
    <font>
      <b/>
      <u/>
      <sz val="12"/>
      <color theme="0"/>
      <name val="Calibri"/>
      <family val="2"/>
      <scheme val="minor"/>
    </font>
    <font>
      <sz val="11"/>
      <color theme="1"/>
      <name val="Aptos"/>
      <family val="2"/>
    </font>
    <font>
      <b/>
      <sz val="18"/>
      <color theme="1"/>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color rgb="FF000000"/>
      <name val="Calibri"/>
      <family val="2"/>
      <scheme val="minor"/>
    </font>
    <font>
      <sz val="10"/>
      <color rgb="FF000000"/>
      <name val="Times New Roman"/>
      <family val="1"/>
    </font>
    <font>
      <b/>
      <u val="double"/>
      <sz val="12"/>
      <color rgb="FFFF0000"/>
      <name val="Calibri"/>
      <family val="2"/>
      <scheme val="minor"/>
    </font>
    <font>
      <b/>
      <sz val="11"/>
      <name val="Calibri"/>
      <family val="2"/>
      <scheme val="minor"/>
    </font>
    <font>
      <b/>
      <sz val="14"/>
      <name val="Calibri"/>
      <family val="2"/>
      <scheme val="minor"/>
    </font>
    <font>
      <b/>
      <sz val="12"/>
      <name val="Calibri"/>
      <family val="2"/>
      <scheme val="minor"/>
    </font>
    <font>
      <sz val="11"/>
      <name val="Calibri"/>
      <family val="2"/>
      <scheme val="minor"/>
    </font>
    <font>
      <sz val="12"/>
      <name val="Calibri"/>
      <family val="2"/>
      <scheme val="minor"/>
    </font>
    <font>
      <u/>
      <sz val="11"/>
      <name val="Calibri"/>
      <family val="2"/>
      <scheme val="minor"/>
    </font>
    <font>
      <sz val="10"/>
      <name val="Calibri"/>
      <family val="2"/>
    </font>
    <font>
      <sz val="12"/>
      <color rgb="FF000000"/>
      <name val="Calibri"/>
      <family val="2"/>
    </font>
    <font>
      <sz val="10"/>
      <color rgb="FF000000"/>
      <name val="Calibri"/>
      <family val="2"/>
      <scheme val="minor"/>
    </font>
    <font>
      <sz val="11"/>
      <name val="Calibri"/>
      <family val="2"/>
    </font>
    <font>
      <sz val="11"/>
      <name val="Calibri"/>
      <family val="2"/>
    </font>
    <font>
      <sz val="11"/>
      <color rgb="FF000000"/>
      <name val="Calibri"/>
      <family val="2"/>
    </font>
    <font>
      <sz val="16"/>
      <color theme="1"/>
      <name val="Calibri"/>
      <family val="2"/>
      <scheme val="minor"/>
    </font>
    <font>
      <b/>
      <sz val="16"/>
      <color theme="0"/>
      <name val="Calibri"/>
      <family val="2"/>
      <scheme val="minor"/>
    </font>
    <font>
      <sz val="10"/>
      <color theme="1"/>
      <name val="Arial"/>
      <family val="2"/>
    </font>
    <font>
      <sz val="10"/>
      <color rgb="FFFF0000"/>
      <name val="Calibri"/>
      <family val="2"/>
    </font>
    <font>
      <sz val="11"/>
      <color rgb="FFFF0000"/>
      <name val="Calibri"/>
      <family val="2"/>
    </font>
    <font>
      <b/>
      <sz val="10"/>
      <color rgb="FF000000"/>
      <name val="Calibri"/>
      <family val="2"/>
    </font>
    <font>
      <b/>
      <sz val="12"/>
      <color rgb="FF0070C0"/>
      <name val="Calibri"/>
      <family val="2"/>
      <scheme val="minor"/>
    </font>
    <font>
      <sz val="9"/>
      <color theme="1"/>
      <name val="Georgia"/>
      <family val="1"/>
    </font>
    <font>
      <b/>
      <sz val="26"/>
      <name val="Calibri"/>
      <family val="2"/>
      <scheme val="minor"/>
    </font>
  </fonts>
  <fills count="68">
    <fill>
      <patternFill patternType="none"/>
    </fill>
    <fill>
      <patternFill patternType="gray125"/>
    </fill>
    <fill>
      <patternFill patternType="solid">
        <fgColor theme="1" tint="0.499984740745262"/>
        <bgColor indexed="64"/>
      </patternFill>
    </fill>
    <fill>
      <patternFill patternType="solid">
        <fgColor theme="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0070C0"/>
        <bgColor indexed="64"/>
      </patternFill>
    </fill>
    <fill>
      <patternFill patternType="solid">
        <fgColor rgb="FFFFFFFF"/>
        <bgColor indexed="64"/>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8" tint="0.79998168889431442"/>
        <bgColor indexed="64"/>
      </patternFill>
    </fill>
    <fill>
      <patternFill patternType="solid">
        <fgColor rgb="FFD9D9D9"/>
        <bgColor rgb="FFD9D9D9"/>
      </patternFill>
    </fill>
    <fill>
      <patternFill patternType="solid">
        <fgColor rgb="FF70AD47"/>
        <bgColor indexed="64"/>
      </patternFill>
    </fill>
    <fill>
      <patternFill patternType="solid">
        <fgColor rgb="FFFFFF00"/>
        <bgColor rgb="FFD9D9D9"/>
      </patternFill>
    </fill>
    <fill>
      <patternFill patternType="solid">
        <fgColor rgb="FFFFFF00"/>
        <bgColor rgb="FF000000"/>
      </patternFill>
    </fill>
    <fill>
      <patternFill patternType="solid">
        <fgColor theme="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2"/>
        <bgColor rgb="FFD9D9D9"/>
      </patternFill>
    </fill>
    <fill>
      <patternFill patternType="solid">
        <fgColor rgb="FF691B3E"/>
        <bgColor indexed="64"/>
      </patternFill>
    </fill>
    <fill>
      <patternFill patternType="solid">
        <fgColor rgb="FFC00000"/>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800020"/>
        <bgColor indexed="64"/>
      </patternFill>
    </fill>
    <fill>
      <patternFill patternType="solid">
        <fgColor theme="5" tint="0.59999389629810485"/>
        <bgColor indexed="64"/>
      </patternFill>
    </fill>
    <fill>
      <patternFill patternType="solid">
        <fgColor theme="5" tint="0.39997558519241921"/>
        <bgColor rgb="FF800020"/>
      </patternFill>
    </fill>
    <fill>
      <patternFill patternType="solid">
        <fgColor rgb="FF800020"/>
        <bgColor rgb="FF800020"/>
      </patternFill>
    </fill>
    <fill>
      <patternFill patternType="solid">
        <fgColor rgb="FFFF0000"/>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9"/>
        <bgColor indexed="64"/>
      </patternFill>
    </fill>
    <fill>
      <patternFill patternType="solid">
        <fgColor rgb="FF800020"/>
        <bgColor theme="4" tint="0.79998168889431442"/>
      </patternFill>
    </fill>
  </fills>
  <borders count="56">
    <border>
      <left/>
      <right/>
      <top/>
      <bottom/>
      <diagonal/>
    </border>
    <border>
      <left/>
      <right/>
      <top style="thick">
        <color theme="0"/>
      </top>
      <bottom style="thick">
        <color auto="1"/>
      </bottom>
      <diagonal/>
    </border>
    <border>
      <left style="thick">
        <color auto="1"/>
      </left>
      <right/>
      <top style="thick">
        <color theme="0"/>
      </top>
      <bottom style="thick">
        <color auto="1"/>
      </bottom>
      <diagonal/>
    </border>
    <border>
      <left/>
      <right style="thick">
        <color theme="0"/>
      </right>
      <top style="thick">
        <color theme="0"/>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style="thin">
        <color rgb="FF8EA9DB"/>
      </top>
      <bottom style="thin">
        <color rgb="FF8EA9D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medium">
        <color theme="1"/>
      </top>
      <bottom style="medium">
        <color theme="1"/>
      </bottom>
      <diagonal/>
    </border>
    <border>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style="thin">
        <color theme="1"/>
      </right>
      <top style="thick">
        <color theme="0"/>
      </top>
      <bottom style="thick">
        <color auto="1"/>
      </bottom>
      <diagonal/>
    </border>
    <border>
      <left style="thin">
        <color theme="1"/>
      </left>
      <right style="thin">
        <color theme="1"/>
      </right>
      <top style="thick">
        <color theme="0"/>
      </top>
      <bottom style="thick">
        <color auto="1"/>
      </bottom>
      <diagonal/>
    </border>
    <border>
      <left style="thin">
        <color theme="1"/>
      </left>
      <right style="thick">
        <color theme="0"/>
      </right>
      <top style="thick">
        <color theme="0"/>
      </top>
      <bottom style="thick">
        <color auto="1"/>
      </bottom>
      <diagonal/>
    </border>
    <border>
      <left style="thick">
        <color auto="1"/>
      </left>
      <right style="thin">
        <color theme="1"/>
      </right>
      <top style="thin">
        <color auto="1"/>
      </top>
      <bottom style="thin">
        <color auto="1"/>
      </bottom>
      <diagonal/>
    </border>
    <border>
      <left style="thin">
        <color theme="1"/>
      </left>
      <right style="thin">
        <color theme="1"/>
      </right>
      <top style="thin">
        <color auto="1"/>
      </top>
      <bottom style="thin">
        <color auto="1"/>
      </bottom>
      <diagonal/>
    </border>
    <border>
      <left style="thin">
        <color theme="1"/>
      </left>
      <right style="thick">
        <color auto="1"/>
      </right>
      <top style="thin">
        <color auto="1"/>
      </top>
      <bottom style="thin">
        <color auto="1"/>
      </bottom>
      <diagonal/>
    </border>
    <border>
      <left style="hair">
        <color indexed="64"/>
      </left>
      <right style="hair">
        <color indexed="64"/>
      </right>
      <top style="hair">
        <color indexed="64"/>
      </top>
      <bottom style="hair">
        <color indexed="64"/>
      </bottom>
      <diagonal/>
    </border>
    <border>
      <left style="medium">
        <color theme="1"/>
      </left>
      <right style="medium">
        <color theme="1"/>
      </right>
      <top style="medium">
        <color theme="1"/>
      </top>
      <bottom style="medium">
        <color theme="1"/>
      </bottom>
      <diagonal/>
    </border>
    <border>
      <left style="medium">
        <color rgb="FF000000"/>
      </left>
      <right/>
      <top style="medium">
        <color rgb="FF000000"/>
      </top>
      <bottom/>
      <diagonal/>
    </border>
    <border>
      <left style="medium">
        <color theme="1"/>
      </left>
      <right style="medium">
        <color theme="1"/>
      </right>
      <top style="medium">
        <color rgb="FF000000"/>
      </top>
      <bottom style="medium">
        <color theme="1"/>
      </bottom>
      <diagonal/>
    </border>
    <border>
      <left style="medium">
        <color theme="1"/>
      </left>
      <right style="medium">
        <color rgb="FF000000"/>
      </right>
      <top style="medium">
        <color rgb="FF000000"/>
      </top>
      <bottom style="medium">
        <color theme="1"/>
      </bottom>
      <diagonal/>
    </border>
    <border>
      <left style="medium">
        <color rgb="FF000000"/>
      </left>
      <right/>
      <top/>
      <bottom/>
      <diagonal/>
    </border>
    <border>
      <left style="medium">
        <color theme="1"/>
      </left>
      <right style="medium">
        <color rgb="FF000000"/>
      </right>
      <top style="medium">
        <color theme="1"/>
      </top>
      <bottom style="medium">
        <color theme="1"/>
      </bottom>
      <diagonal/>
    </border>
    <border>
      <left style="medium">
        <color theme="1"/>
      </left>
      <right style="medium">
        <color rgb="FF000000"/>
      </right>
      <top/>
      <bottom/>
      <diagonal/>
    </border>
    <border>
      <left style="medium">
        <color rgb="FF000000"/>
      </left>
      <right/>
      <top/>
      <bottom style="medium">
        <color rgb="FF000000"/>
      </bottom>
      <diagonal/>
    </border>
    <border>
      <left style="medium">
        <color theme="1"/>
      </left>
      <right style="medium">
        <color theme="1"/>
      </right>
      <top style="medium">
        <color theme="1"/>
      </top>
      <bottom style="medium">
        <color rgb="FF000000"/>
      </bottom>
      <diagonal/>
    </border>
    <border>
      <left style="thin">
        <color indexed="64"/>
      </left>
      <right style="thin">
        <color indexed="64"/>
      </right>
      <top style="thin">
        <color indexed="64"/>
      </top>
      <bottom style="medium">
        <color rgb="FF000000"/>
      </bottom>
      <diagonal/>
    </border>
    <border>
      <left/>
      <right/>
      <top/>
      <bottom style="medium">
        <color rgb="FF000000"/>
      </bottom>
      <diagonal/>
    </border>
    <border>
      <left style="medium">
        <color theme="1"/>
      </left>
      <right style="medium">
        <color rgb="FF000000"/>
      </right>
      <top/>
      <bottom style="medium">
        <color rgb="FF000000"/>
      </bottom>
      <diagonal/>
    </border>
    <border>
      <left style="hair">
        <color auto="1"/>
      </left>
      <right style="hair">
        <color auto="1"/>
      </right>
      <top style="thin">
        <color auto="1"/>
      </top>
      <bottom style="hair">
        <color auto="1"/>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diagonal/>
    </border>
    <border>
      <left style="hair">
        <color auto="1"/>
      </left>
      <right/>
      <top style="thin">
        <color auto="1"/>
      </top>
      <bottom style="hair">
        <color auto="1"/>
      </bottom>
      <diagonal/>
    </border>
    <border>
      <left style="hair">
        <color indexed="64"/>
      </left>
      <right/>
      <top style="hair">
        <color indexed="64"/>
      </top>
      <bottom/>
      <diagonal/>
    </border>
  </borders>
  <cellStyleXfs count="127">
    <xf numFmtId="0" fontId="0" fillId="0" borderId="0"/>
    <xf numFmtId="43" fontId="4" fillId="0" borderId="0" applyFont="0" applyFill="0" applyBorder="0" applyAlignment="0" applyProtection="0"/>
    <xf numFmtId="0" fontId="9" fillId="0" borderId="0" applyNumberForma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40" fillId="0" borderId="0" applyNumberFormat="0" applyFill="0" applyBorder="0" applyAlignment="0" applyProtection="0"/>
    <xf numFmtId="0" fontId="41" fillId="0" borderId="22" applyNumberFormat="0" applyFill="0" applyAlignment="0" applyProtection="0"/>
    <xf numFmtId="0" fontId="42" fillId="0" borderId="23" applyNumberFormat="0" applyFill="0" applyAlignment="0" applyProtection="0"/>
    <xf numFmtId="0" fontId="43" fillId="0" borderId="24" applyNumberFormat="0" applyFill="0" applyAlignment="0" applyProtection="0"/>
    <xf numFmtId="0" fontId="43" fillId="0" borderId="0" applyNumberFormat="0" applyFill="0" applyBorder="0" applyAlignment="0" applyProtection="0"/>
    <xf numFmtId="0" fontId="44" fillId="27" borderId="0" applyNumberFormat="0" applyBorder="0" applyAlignment="0" applyProtection="0"/>
    <xf numFmtId="0" fontId="45" fillId="28" borderId="0" applyNumberFormat="0" applyBorder="0" applyAlignment="0" applyProtection="0"/>
    <xf numFmtId="0" fontId="46" fillId="29" borderId="0" applyNumberFormat="0" applyBorder="0" applyAlignment="0" applyProtection="0"/>
    <xf numFmtId="0" fontId="47" fillId="30" borderId="25" applyNumberFormat="0" applyAlignment="0" applyProtection="0"/>
    <xf numFmtId="0" fontId="48" fillId="31" borderId="26" applyNumberFormat="0" applyAlignment="0" applyProtection="0"/>
    <xf numFmtId="0" fontId="49" fillId="31" borderId="25" applyNumberFormat="0" applyAlignment="0" applyProtection="0"/>
    <xf numFmtId="0" fontId="50" fillId="0" borderId="27" applyNumberFormat="0" applyFill="0" applyAlignment="0" applyProtection="0"/>
    <xf numFmtId="0" fontId="5" fillId="32" borderId="28" applyNumberFormat="0" applyAlignment="0" applyProtection="0"/>
    <xf numFmtId="0" fontId="51" fillId="0" borderId="0" applyNumberFormat="0" applyFill="0" applyBorder="0" applyAlignment="0" applyProtection="0"/>
    <xf numFmtId="0" fontId="4" fillId="33" borderId="29" applyNumberFormat="0" applyFont="0" applyAlignment="0" applyProtection="0"/>
    <xf numFmtId="0" fontId="52" fillId="0" borderId="0" applyNumberFormat="0" applyFill="0" applyBorder="0" applyAlignment="0" applyProtection="0"/>
    <xf numFmtId="0" fontId="7" fillId="0" borderId="30" applyNumberFormat="0" applyFill="0" applyAlignment="0" applyProtection="0"/>
    <xf numFmtId="0" fontId="53"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53"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1" borderId="0" applyNumberFormat="0" applyBorder="0" applyAlignment="0" applyProtection="0"/>
    <xf numFmtId="0" fontId="53"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4" fillId="45" borderId="0" applyNumberFormat="0" applyBorder="0" applyAlignment="0" applyProtection="0"/>
    <xf numFmtId="0" fontId="53" fillId="46"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49" borderId="0" applyNumberFormat="0" applyBorder="0" applyAlignment="0" applyProtection="0"/>
    <xf numFmtId="0" fontId="53" fillId="50"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53" fillId="54"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164" fontId="4" fillId="0" borderId="0" applyFont="0" applyFill="0" applyBorder="0" applyAlignment="0" applyProtection="0"/>
    <xf numFmtId="0" fontId="54" fillId="0" borderId="0"/>
    <xf numFmtId="0" fontId="54" fillId="0" borderId="0"/>
    <xf numFmtId="0" fontId="54" fillId="0" borderId="0"/>
    <xf numFmtId="0" fontId="54" fillId="0" borderId="0"/>
    <xf numFmtId="0" fontId="4" fillId="0" borderId="0"/>
    <xf numFmtId="164" fontId="54" fillId="0" borderId="0" applyFont="0" applyFill="0" applyBorder="0" applyAlignment="0" applyProtection="0"/>
    <xf numFmtId="9" fontId="54" fillId="0" borderId="0" applyFont="0" applyFill="0" applyBorder="0" applyAlignment="0" applyProtection="0"/>
    <xf numFmtId="0" fontId="54" fillId="0" borderId="0"/>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67" fillId="0" borderId="0">
      <alignment vertical="center"/>
    </xf>
    <xf numFmtId="164" fontId="8" fillId="0" borderId="0">
      <protection locked="0"/>
    </xf>
    <xf numFmtId="0" fontId="68" fillId="0" borderId="0">
      <alignment vertical="center"/>
    </xf>
    <xf numFmtId="164" fontId="69" fillId="0" borderId="0">
      <protection locked="0"/>
    </xf>
    <xf numFmtId="164" fontId="8" fillId="0" borderId="0">
      <protection locked="0"/>
    </xf>
    <xf numFmtId="0" fontId="2" fillId="33" borderId="29" applyNumberFormat="0" applyFont="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1" fillId="33" borderId="29" applyNumberFormat="0" applyFont="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54" fillId="0" borderId="0"/>
    <xf numFmtId="0" fontId="54"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717">
    <xf numFmtId="0" fontId="0" fillId="0" borderId="0" xfId="0"/>
    <xf numFmtId="0" fontId="0" fillId="0" borderId="0" xfId="0" applyProtection="1">
      <protection locked="0"/>
    </xf>
    <xf numFmtId="0" fontId="0" fillId="0" borderId="0" xfId="0" applyAlignment="1" applyProtection="1">
      <alignment wrapText="1"/>
      <protection locked="0"/>
    </xf>
    <xf numFmtId="0" fontId="5" fillId="2" borderId="0" xfId="0" applyFont="1" applyFill="1" applyAlignment="1" applyProtection="1">
      <alignment horizontal="center" vertical="center" wrapText="1"/>
      <protection locked="0"/>
    </xf>
    <xf numFmtId="0" fontId="5" fillId="2" borderId="0" xfId="1" applyNumberFormat="1" applyFont="1" applyFill="1" applyAlignment="1" applyProtection="1">
      <alignment horizontal="center" vertical="center" wrapText="1"/>
      <protection locked="0"/>
    </xf>
    <xf numFmtId="0" fontId="6" fillId="3" borderId="2" xfId="1" applyNumberFormat="1" applyFont="1" applyFill="1" applyBorder="1" applyAlignment="1" applyProtection="1">
      <alignment horizontal="center" vertical="center" wrapText="1"/>
      <protection locked="0"/>
    </xf>
    <xf numFmtId="0" fontId="6" fillId="3" borderId="1" xfId="1" applyNumberFormat="1"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9" fillId="0" borderId="0" xfId="2" applyNumberFormat="1" applyProtection="1">
      <protection locked="0"/>
    </xf>
    <xf numFmtId="0" fontId="0" fillId="0" borderId="0" xfId="1" applyNumberFormat="1" applyFont="1" applyProtection="1">
      <protection locked="0"/>
    </xf>
    <xf numFmtId="0" fontId="10" fillId="0" borderId="0" xfId="0" applyFont="1" applyAlignment="1" applyProtection="1">
      <alignment wrapText="1"/>
      <protection locked="0"/>
    </xf>
    <xf numFmtId="0" fontId="0" fillId="0" borderId="5" xfId="1" applyNumberFormat="1" applyFont="1" applyBorder="1" applyProtection="1">
      <protection locked="0"/>
    </xf>
    <xf numFmtId="0" fontId="0" fillId="0" borderId="6" xfId="0" applyBorder="1" applyAlignment="1" applyProtection="1">
      <alignment wrapText="1"/>
      <protection locked="0"/>
    </xf>
    <xf numFmtId="0" fontId="14" fillId="0" borderId="0" xfId="0" applyFont="1" applyAlignment="1" applyProtection="1">
      <alignment wrapText="1"/>
      <protection locked="0"/>
    </xf>
    <xf numFmtId="0" fontId="0" fillId="0" borderId="0" xfId="1" applyNumberFormat="1" applyFont="1" applyBorder="1" applyProtection="1">
      <protection locked="0"/>
    </xf>
    <xf numFmtId="0" fontId="0" fillId="0" borderId="8" xfId="0" applyBorder="1" applyAlignment="1" applyProtection="1">
      <alignment wrapText="1"/>
      <protection locked="0"/>
    </xf>
    <xf numFmtId="0" fontId="7" fillId="0" borderId="8" xfId="0" applyFont="1" applyBorder="1" applyAlignment="1" applyProtection="1">
      <alignment wrapText="1"/>
      <protection locked="0"/>
    </xf>
    <xf numFmtId="0" fontId="0" fillId="0" borderId="0" xfId="1" applyNumberFormat="1" applyFont="1" applyFill="1" applyBorder="1" applyProtection="1">
      <protection locked="0"/>
    </xf>
    <xf numFmtId="0" fontId="0" fillId="0" borderId="8" xfId="0" applyBorder="1" applyProtection="1">
      <protection locked="0"/>
    </xf>
    <xf numFmtId="0" fontId="12" fillId="0" borderId="0" xfId="0" applyFont="1" applyProtection="1">
      <protection locked="0"/>
    </xf>
    <xf numFmtId="0" fontId="15" fillId="0" borderId="0" xfId="0" applyFont="1" applyProtection="1">
      <protection locked="0"/>
    </xf>
    <xf numFmtId="0" fontId="11" fillId="4" borderId="0" xfId="0" applyFont="1" applyFill="1" applyAlignment="1">
      <alignment horizontal="center" vertical="center" wrapText="1"/>
    </xf>
    <xf numFmtId="0" fontId="10" fillId="0" borderId="0" xfId="0" applyFont="1" applyAlignment="1">
      <alignment wrapText="1"/>
    </xf>
    <xf numFmtId="0" fontId="14" fillId="0" borderId="0" xfId="0" applyFont="1" applyAlignment="1">
      <alignment wrapText="1"/>
    </xf>
    <xf numFmtId="14" fontId="0" fillId="0" borderId="0" xfId="0" applyNumberFormat="1" applyProtection="1">
      <protection locked="0"/>
    </xf>
    <xf numFmtId="165" fontId="0" fillId="0" borderId="0" xfId="1" applyNumberFormat="1" applyFont="1" applyProtection="1">
      <protection locked="0"/>
    </xf>
    <xf numFmtId="165" fontId="0" fillId="0" borderId="0" xfId="1" applyNumberFormat="1" applyFont="1" applyFill="1" applyProtection="1">
      <protection locked="0"/>
    </xf>
    <xf numFmtId="165" fontId="0" fillId="0" borderId="4" xfId="1" applyNumberFormat="1" applyFont="1" applyBorder="1" applyProtection="1">
      <protection locked="0"/>
    </xf>
    <xf numFmtId="165" fontId="0" fillId="0" borderId="7" xfId="1" applyNumberFormat="1" applyFont="1" applyBorder="1" applyProtection="1">
      <protection locked="0"/>
    </xf>
    <xf numFmtId="165" fontId="0" fillId="0" borderId="7" xfId="1" applyNumberFormat="1" applyFont="1" applyFill="1" applyBorder="1" applyProtection="1">
      <protection locked="0"/>
    </xf>
    <xf numFmtId="165" fontId="0" fillId="0" borderId="5" xfId="1" applyNumberFormat="1" applyFont="1" applyBorder="1" applyProtection="1">
      <protection locked="0"/>
    </xf>
    <xf numFmtId="165" fontId="0" fillId="0" borderId="0" xfId="1" applyNumberFormat="1" applyFont="1" applyBorder="1" applyProtection="1">
      <protection locked="0"/>
    </xf>
    <xf numFmtId="165" fontId="0" fillId="0" borderId="0" xfId="1" applyNumberFormat="1" applyFont="1" applyBorder="1" applyAlignment="1" applyProtection="1">
      <alignment horizontal="center"/>
      <protection locked="0"/>
    </xf>
    <xf numFmtId="0" fontId="11" fillId="6" borderId="0" xfId="0" applyFont="1" applyFill="1" applyAlignment="1" applyProtection="1">
      <alignment horizontal="center" vertical="center" wrapText="1"/>
      <protection locked="0"/>
    </xf>
    <xf numFmtId="165" fontId="16" fillId="7" borderId="0" xfId="1" applyNumberFormat="1" applyFont="1" applyFill="1" applyProtection="1">
      <protection locked="0"/>
    </xf>
    <xf numFmtId="0" fontId="17" fillId="0" borderId="0" xfId="0" applyFont="1" applyProtection="1">
      <protection locked="0"/>
    </xf>
    <xf numFmtId="0" fontId="14" fillId="0" borderId="9" xfId="0" applyFont="1" applyBorder="1" applyAlignment="1">
      <alignment wrapText="1"/>
    </xf>
    <xf numFmtId="14" fontId="0" fillId="0" borderId="0" xfId="0" applyNumberFormat="1" applyAlignment="1" applyProtection="1">
      <alignment horizontal="right" wrapText="1"/>
      <protection locked="0"/>
    </xf>
    <xf numFmtId="0" fontId="0" fillId="0" borderId="0" xfId="0" applyAlignment="1" applyProtection="1">
      <alignment horizontal="right" wrapText="1"/>
      <protection locked="0"/>
    </xf>
    <xf numFmtId="0" fontId="0" fillId="0" borderId="0" xfId="0" applyAlignment="1" applyProtection="1">
      <alignment horizontal="right"/>
      <protection locked="0"/>
    </xf>
    <xf numFmtId="14" fontId="0" fillId="0" borderId="0" xfId="0" applyNumberFormat="1" applyAlignment="1" applyProtection="1">
      <alignment horizontal="right"/>
      <protection locked="0"/>
    </xf>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9" fillId="0" borderId="0" xfId="2"/>
    <xf numFmtId="0" fontId="19" fillId="8" borderId="0" xfId="0" applyFont="1" applyFill="1" applyAlignment="1">
      <alignment wrapText="1"/>
    </xf>
    <xf numFmtId="0" fontId="14" fillId="0" borderId="0" xfId="0" applyFont="1"/>
    <xf numFmtId="0" fontId="20" fillId="0" borderId="0" xfId="0" applyFont="1"/>
    <xf numFmtId="0" fontId="21" fillId="0" borderId="0" xfId="0" applyFont="1"/>
    <xf numFmtId="166" fontId="0" fillId="0" borderId="5" xfId="1" applyNumberFormat="1" applyFont="1" applyBorder="1" applyAlignment="1" applyProtection="1">
      <alignment horizontal="right"/>
      <protection locked="0"/>
    </xf>
    <xf numFmtId="166" fontId="0" fillId="0" borderId="0" xfId="1" applyNumberFormat="1" applyFont="1" applyBorder="1" applyAlignment="1" applyProtection="1">
      <alignment horizontal="right"/>
      <protection locked="0"/>
    </xf>
    <xf numFmtId="0" fontId="0" fillId="0" borderId="10" xfId="0" applyBorder="1" applyProtection="1">
      <protection locked="0"/>
    </xf>
    <xf numFmtId="14" fontId="0" fillId="0" borderId="10" xfId="0" applyNumberFormat="1" applyBorder="1" applyProtection="1">
      <protection locked="0"/>
    </xf>
    <xf numFmtId="165" fontId="0" fillId="0" borderId="10" xfId="1" applyNumberFormat="1" applyFont="1" applyBorder="1" applyProtection="1">
      <protection locked="0"/>
    </xf>
    <xf numFmtId="14" fontId="0" fillId="0" borderId="11" xfId="0" applyNumberFormat="1" applyBorder="1" applyProtection="1">
      <protection locked="0"/>
    </xf>
    <xf numFmtId="0" fontId="13" fillId="8" borderId="0" xfId="0" applyFont="1" applyFill="1" applyAlignment="1">
      <alignment wrapText="1"/>
    </xf>
    <xf numFmtId="0" fontId="13" fillId="0" borderId="0" xfId="0" applyFont="1"/>
    <xf numFmtId="0" fontId="0" fillId="0" borderId="11" xfId="0" applyBorder="1" applyProtection="1">
      <protection locked="0"/>
    </xf>
    <xf numFmtId="0" fontId="0" fillId="9" borderId="10" xfId="0" applyFill="1" applyBorder="1" applyAlignment="1" applyProtection="1">
      <alignment wrapText="1"/>
      <protection locked="0"/>
    </xf>
    <xf numFmtId="0" fontId="0" fillId="9" borderId="11" xfId="0" applyFill="1" applyBorder="1" applyAlignment="1" applyProtection="1">
      <alignment wrapText="1"/>
      <protection locked="0"/>
    </xf>
    <xf numFmtId="0" fontId="0" fillId="8" borderId="10" xfId="0" applyFill="1" applyBorder="1" applyAlignment="1" applyProtection="1">
      <alignment horizontal="right"/>
      <protection locked="0"/>
    </xf>
    <xf numFmtId="14" fontId="0" fillId="10" borderId="10" xfId="0" applyNumberFormat="1" applyFill="1" applyBorder="1" applyProtection="1">
      <protection locked="0"/>
    </xf>
    <xf numFmtId="0" fontId="0" fillId="0" borderId="10" xfId="0" applyBorder="1" applyAlignment="1" applyProtection="1">
      <alignment horizontal="right"/>
      <protection locked="0"/>
    </xf>
    <xf numFmtId="0" fontId="0" fillId="0" borderId="11" xfId="0" applyBorder="1" applyAlignment="1" applyProtection="1">
      <alignment horizontal="right"/>
      <protection locked="0"/>
    </xf>
    <xf numFmtId="0" fontId="0" fillId="0" borderId="10" xfId="0" applyBorder="1" applyAlignment="1" applyProtection="1">
      <alignment wrapText="1"/>
      <protection locked="0"/>
    </xf>
    <xf numFmtId="0" fontId="0" fillId="0" borderId="11" xfId="0" applyBorder="1" applyAlignment="1" applyProtection="1">
      <alignment wrapText="1"/>
      <protection locked="0"/>
    </xf>
    <xf numFmtId="0" fontId="7" fillId="0" borderId="0" xfId="0" applyFont="1" applyAlignment="1" applyProtection="1">
      <alignment wrapText="1"/>
      <protection locked="0"/>
    </xf>
    <xf numFmtId="0" fontId="9" fillId="0" borderId="10" xfId="2" applyNumberFormat="1" applyBorder="1" applyProtection="1">
      <protection locked="0"/>
    </xf>
    <xf numFmtId="165" fontId="0" fillId="0" borderId="10" xfId="1" applyNumberFormat="1" applyFont="1" applyBorder="1" applyAlignment="1" applyProtection="1">
      <alignment horizontal="right"/>
      <protection locked="0"/>
    </xf>
    <xf numFmtId="165" fontId="0" fillId="0" borderId="11" xfId="1" applyNumberFormat="1" applyFont="1" applyBorder="1" applyAlignment="1" applyProtection="1">
      <alignment horizontal="right"/>
      <protection locked="0"/>
    </xf>
    <xf numFmtId="165" fontId="0" fillId="0" borderId="11" xfId="1" applyNumberFormat="1" applyFont="1" applyBorder="1" applyProtection="1">
      <protection locked="0"/>
    </xf>
    <xf numFmtId="0" fontId="14" fillId="0" borderId="10" xfId="0" applyFont="1" applyBorder="1" applyAlignment="1">
      <alignment wrapText="1"/>
    </xf>
    <xf numFmtId="0" fontId="14" fillId="0" borderId="10" xfId="0" applyFont="1" applyBorder="1" applyAlignment="1" applyProtection="1">
      <alignment wrapText="1"/>
      <protection locked="0"/>
    </xf>
    <xf numFmtId="166" fontId="0" fillId="0" borderId="10" xfId="1" applyNumberFormat="1" applyFont="1" applyBorder="1" applyAlignment="1" applyProtection="1">
      <alignment horizontal="right"/>
      <protection locked="0"/>
    </xf>
    <xf numFmtId="166" fontId="0" fillId="0" borderId="0" xfId="1" applyNumberFormat="1" applyFont="1" applyAlignment="1" applyProtection="1">
      <alignment horizontal="right"/>
      <protection locked="0"/>
    </xf>
    <xf numFmtId="0" fontId="15" fillId="0" borderId="0" xfId="0" applyFont="1"/>
    <xf numFmtId="0" fontId="21" fillId="0" borderId="12" xfId="0" applyFont="1" applyBorder="1"/>
    <xf numFmtId="0" fontId="8" fillId="0" borderId="0" xfId="0" applyFont="1" applyAlignment="1" applyProtection="1">
      <alignment horizontal="right"/>
      <protection locked="0"/>
    </xf>
    <xf numFmtId="0" fontId="13" fillId="0" borderId="0" xfId="0" applyFont="1" applyProtection="1">
      <protection locked="0"/>
    </xf>
    <xf numFmtId="0" fontId="11" fillId="11" borderId="0" xfId="0" applyFont="1" applyFill="1" applyAlignment="1" applyProtection="1">
      <alignment horizontal="center" vertical="center" wrapText="1"/>
      <protection locked="0"/>
    </xf>
    <xf numFmtId="0" fontId="14" fillId="12" borderId="10" xfId="0" applyFont="1" applyFill="1" applyBorder="1" applyAlignment="1">
      <alignment wrapText="1"/>
    </xf>
    <xf numFmtId="0" fontId="8" fillId="0" borderId="10" xfId="0" applyFont="1" applyBorder="1"/>
    <xf numFmtId="0" fontId="11" fillId="5" borderId="0" xfId="0" applyFont="1" applyFill="1" applyAlignment="1" applyProtection="1">
      <alignment horizontal="center" vertical="center" wrapText="1"/>
      <protection locked="0"/>
    </xf>
    <xf numFmtId="0" fontId="14" fillId="12" borderId="13" xfId="0" applyFont="1" applyFill="1" applyBorder="1"/>
    <xf numFmtId="0" fontId="14" fillId="14" borderId="10" xfId="0" applyFont="1" applyFill="1" applyBorder="1" applyAlignment="1">
      <alignment wrapText="1"/>
    </xf>
    <xf numFmtId="0" fontId="14" fillId="12" borderId="15" xfId="0" applyFont="1" applyFill="1" applyBorder="1"/>
    <xf numFmtId="0" fontId="14" fillId="0" borderId="10" xfId="0" applyFont="1" applyBorder="1"/>
    <xf numFmtId="0" fontId="14" fillId="12" borderId="10" xfId="0" applyFont="1" applyFill="1" applyBorder="1"/>
    <xf numFmtId="0" fontId="14" fillId="12" borderId="13" xfId="0" applyFont="1" applyFill="1" applyBorder="1" applyAlignment="1">
      <alignment wrapText="1"/>
    </xf>
    <xf numFmtId="0" fontId="8" fillId="12" borderId="10" xfId="0" applyFont="1" applyFill="1" applyBorder="1"/>
    <xf numFmtId="0" fontId="8" fillId="15" borderId="10" xfId="0" applyFont="1" applyFill="1" applyBorder="1"/>
    <xf numFmtId="0" fontId="8" fillId="12" borderId="13" xfId="0" applyFont="1" applyFill="1" applyBorder="1"/>
    <xf numFmtId="0" fontId="8" fillId="0" borderId="13" xfId="0" applyFont="1" applyBorder="1"/>
    <xf numFmtId="0" fontId="8" fillId="0" borderId="13" xfId="0" applyFont="1" applyBorder="1" applyAlignment="1">
      <alignment horizontal="right"/>
    </xf>
    <xf numFmtId="0" fontId="8" fillId="12" borderId="13" xfId="0" applyFont="1" applyFill="1" applyBorder="1" applyAlignment="1">
      <alignment horizontal="right"/>
    </xf>
    <xf numFmtId="0" fontId="23" fillId="12" borderId="13" xfId="0" applyFont="1" applyFill="1" applyBorder="1"/>
    <xf numFmtId="0" fontId="23" fillId="0" borderId="13" xfId="0" applyFont="1" applyBorder="1"/>
    <xf numFmtId="0" fontId="14" fillId="13" borderId="14" xfId="0" applyFont="1" applyFill="1" applyBorder="1"/>
    <xf numFmtId="0" fontId="14" fillId="12" borderId="14" xfId="0" applyFont="1" applyFill="1" applyBorder="1"/>
    <xf numFmtId="0" fontId="14" fillId="0" borderId="13" xfId="0" applyFont="1" applyBorder="1" applyAlignment="1">
      <alignment wrapText="1"/>
    </xf>
    <xf numFmtId="0" fontId="0" fillId="0" borderId="0" xfId="0" applyAlignment="1" applyProtection="1">
      <alignment horizontal="left" vertical="center"/>
      <protection locked="0"/>
    </xf>
    <xf numFmtId="0" fontId="0" fillId="0" borderId="0" xfId="0" applyAlignment="1">
      <alignment wrapText="1"/>
    </xf>
    <xf numFmtId="0" fontId="16" fillId="0" borderId="0" xfId="0" applyFont="1" applyProtection="1">
      <protection locked="0"/>
    </xf>
    <xf numFmtId="0" fontId="0" fillId="0" borderId="0" xfId="0" applyAlignment="1">
      <alignment horizontal="center" vertical="center" wrapText="1"/>
    </xf>
    <xf numFmtId="0" fontId="0" fillId="0" borderId="0" xfId="0" pivotButton="1" applyAlignment="1">
      <alignment horizontal="center" vertical="center" wrapText="1"/>
    </xf>
    <xf numFmtId="15" fontId="0" fillId="0" borderId="0" xfId="0" applyNumberFormat="1" applyAlignment="1">
      <alignment horizontal="left"/>
    </xf>
    <xf numFmtId="167" fontId="0" fillId="0" borderId="0" xfId="1" applyNumberFormat="1" applyFont="1"/>
    <xf numFmtId="9" fontId="0" fillId="0" borderId="0" xfId="4" applyFont="1"/>
    <xf numFmtId="9" fontId="0" fillId="0" borderId="0" xfId="4" applyFont="1" applyFill="1"/>
    <xf numFmtId="0" fontId="7" fillId="0" borderId="0" xfId="0" applyFont="1"/>
    <xf numFmtId="9" fontId="7" fillId="0" borderId="0" xfId="4" applyFont="1" applyFill="1"/>
    <xf numFmtId="167" fontId="7" fillId="0" borderId="0" xfId="1" applyNumberFormat="1" applyFont="1"/>
    <xf numFmtId="9" fontId="7" fillId="0" borderId="0" xfId="4" applyFont="1"/>
    <xf numFmtId="0" fontId="7" fillId="20" borderId="0" xfId="0" applyFont="1" applyFill="1" applyAlignment="1">
      <alignment horizontal="center" vertical="center" wrapText="1"/>
    </xf>
    <xf numFmtId="167" fontId="0" fillId="0" borderId="0" xfId="0" applyNumberFormat="1"/>
    <xf numFmtId="168" fontId="0" fillId="0" borderId="0" xfId="1" applyNumberFormat="1" applyFont="1"/>
    <xf numFmtId="168" fontId="7" fillId="0" borderId="0" xfId="1" applyNumberFormat="1" applyFont="1"/>
    <xf numFmtId="0" fontId="25" fillId="0" borderId="0" xfId="0" applyFont="1"/>
    <xf numFmtId="14" fontId="26" fillId="0" borderId="0" xfId="0" applyNumberFormat="1" applyFont="1" applyAlignment="1">
      <alignment horizontal="left"/>
    </xf>
    <xf numFmtId="0" fontId="24" fillId="20" borderId="0" xfId="0" applyFont="1" applyFill="1" applyAlignment="1">
      <alignment horizontal="center" vertical="center"/>
    </xf>
    <xf numFmtId="0" fontId="16" fillId="0" borderId="0" xfId="0" applyFont="1" applyAlignment="1" applyProtection="1">
      <alignment horizontal="left" indent="1"/>
      <protection locked="0"/>
    </xf>
    <xf numFmtId="0" fontId="8" fillId="0" borderId="13" xfId="0" applyFont="1" applyBorder="1" applyAlignment="1">
      <alignment horizontal="left"/>
    </xf>
    <xf numFmtId="167" fontId="0" fillId="0" borderId="0" xfId="1" applyNumberFormat="1" applyFont="1" applyFill="1" applyAlignment="1" applyProtection="1">
      <alignment horizontal="left"/>
      <protection locked="0"/>
    </xf>
    <xf numFmtId="0" fontId="27" fillId="0" borderId="0" xfId="0" applyFont="1" applyProtection="1">
      <protection locked="0"/>
    </xf>
    <xf numFmtId="0" fontId="5" fillId="17"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0" fillId="21" borderId="16" xfId="0" applyFill="1" applyBorder="1" applyAlignment="1">
      <alignment horizontal="left"/>
    </xf>
    <xf numFmtId="0" fontId="0" fillId="21" borderId="16" xfId="0" applyFill="1" applyBorder="1" applyAlignment="1">
      <alignment horizontal="left" wrapText="1"/>
    </xf>
    <xf numFmtId="0" fontId="0" fillId="0" borderId="16" xfId="0" applyBorder="1" applyAlignment="1">
      <alignment horizontal="left"/>
    </xf>
    <xf numFmtId="0" fontId="0" fillId="0" borderId="16" xfId="0" applyBorder="1" applyAlignment="1">
      <alignment horizontal="left" wrapText="1"/>
    </xf>
    <xf numFmtId="0" fontId="0" fillId="9" borderId="16" xfId="0" applyFill="1" applyBorder="1" applyAlignment="1">
      <alignment horizontal="left"/>
    </xf>
    <xf numFmtId="0" fontId="0" fillId="9" borderId="16" xfId="0" applyFill="1" applyBorder="1" applyAlignment="1">
      <alignment horizontal="left" wrapText="1"/>
    </xf>
    <xf numFmtId="0" fontId="0" fillId="0" borderId="17" xfId="0" applyBorder="1" applyAlignment="1">
      <alignment horizontal="left"/>
    </xf>
    <xf numFmtId="0" fontId="0" fillId="0" borderId="17" xfId="0" applyBorder="1" applyAlignment="1">
      <alignment horizontal="left" wrapText="1"/>
    </xf>
    <xf numFmtId="167" fontId="0" fillId="0" borderId="0" xfId="1" applyNumberFormat="1" applyFont="1" applyProtection="1">
      <protection locked="0"/>
    </xf>
    <xf numFmtId="0" fontId="36" fillId="0" borderId="0" xfId="0" applyFont="1" applyProtection="1">
      <protection locked="0"/>
    </xf>
    <xf numFmtId="0" fontId="0" fillId="0" borderId="0" xfId="0" applyAlignment="1">
      <alignment horizontal="center"/>
    </xf>
    <xf numFmtId="0" fontId="5" fillId="23" borderId="0" xfId="0" applyFont="1" applyFill="1" applyAlignment="1">
      <alignment horizontal="center"/>
    </xf>
    <xf numFmtId="17" fontId="5" fillId="23" borderId="0" xfId="0" applyNumberFormat="1" applyFont="1" applyFill="1" applyAlignment="1">
      <alignment horizontal="center"/>
    </xf>
    <xf numFmtId="167" fontId="0" fillId="0" borderId="0" xfId="1" applyNumberFormat="1" applyFont="1" applyAlignment="1">
      <alignment horizontal="center"/>
    </xf>
    <xf numFmtId="0" fontId="0" fillId="16" borderId="0" xfId="0" applyFill="1"/>
    <xf numFmtId="167" fontId="0" fillId="16" borderId="0" xfId="1" applyNumberFormat="1" applyFont="1" applyFill="1" applyAlignment="1">
      <alignment horizontal="center"/>
    </xf>
    <xf numFmtId="0" fontId="0" fillId="0" borderId="19" xfId="0" applyBorder="1"/>
    <xf numFmtId="0" fontId="7" fillId="0" borderId="19" xfId="0" applyFont="1" applyBorder="1"/>
    <xf numFmtId="167" fontId="7" fillId="0" borderId="19" xfId="1" applyNumberFormat="1" applyFont="1" applyBorder="1" applyAlignment="1">
      <alignment horizontal="center"/>
    </xf>
    <xf numFmtId="167" fontId="0" fillId="0" borderId="0" xfId="0" applyNumberFormat="1" applyAlignment="1">
      <alignment horizontal="center" vertical="center" wrapText="1"/>
    </xf>
    <xf numFmtId="0" fontId="7" fillId="26" borderId="20" xfId="0" applyFont="1" applyFill="1" applyBorder="1" applyAlignment="1">
      <alignment horizontal="center" vertical="center" wrapText="1"/>
    </xf>
    <xf numFmtId="167" fontId="7" fillId="26" borderId="20" xfId="0" applyNumberFormat="1" applyFont="1" applyFill="1" applyBorder="1" applyAlignment="1">
      <alignment horizontal="center" vertical="center" wrapText="1"/>
    </xf>
    <xf numFmtId="167" fontId="7" fillId="26" borderId="21" xfId="1" applyNumberFormat="1" applyFont="1" applyFill="1" applyBorder="1"/>
    <xf numFmtId="9" fontId="7" fillId="26" borderId="21" xfId="4" applyFont="1" applyFill="1" applyBorder="1"/>
    <xf numFmtId="0" fontId="0" fillId="0" borderId="0" xfId="0" applyAlignment="1">
      <alignment horizontal="center" vertical="center"/>
    </xf>
    <xf numFmtId="167" fontId="7" fillId="0" borderId="21" xfId="1" applyNumberFormat="1" applyFont="1" applyFill="1" applyBorder="1"/>
    <xf numFmtId="9" fontId="7" fillId="0" borderId="21" xfId="4" applyFont="1" applyFill="1" applyBorder="1"/>
    <xf numFmtId="167" fontId="7" fillId="0" borderId="0" xfId="1" applyNumberFormat="1" applyFont="1" applyFill="1" applyBorder="1"/>
    <xf numFmtId="9" fontId="7" fillId="0" borderId="0" xfId="4" applyFont="1" applyFill="1" applyBorder="1"/>
    <xf numFmtId="167" fontId="0" fillId="0" borderId="0" xfId="1" applyNumberFormat="1" applyFont="1" applyFill="1"/>
    <xf numFmtId="167" fontId="7" fillId="0" borderId="20" xfId="1" applyNumberFormat="1" applyFont="1" applyFill="1" applyBorder="1" applyAlignment="1">
      <alignment horizontal="center" vertical="center" wrapText="1"/>
    </xf>
    <xf numFmtId="165" fontId="0" fillId="25" borderId="0" xfId="1" applyNumberFormat="1" applyFont="1" applyFill="1" applyProtection="1">
      <protection locked="0"/>
    </xf>
    <xf numFmtId="0" fontId="14" fillId="9" borderId="16" xfId="0" applyFont="1" applyFill="1" applyBorder="1" applyAlignment="1">
      <alignment horizontal="left" wrapText="1"/>
    </xf>
    <xf numFmtId="0" fontId="5" fillId="24" borderId="18" xfId="0" applyFont="1" applyFill="1" applyBorder="1" applyAlignment="1">
      <alignment horizontal="center" vertical="center" wrapText="1"/>
    </xf>
    <xf numFmtId="0" fontId="28" fillId="2" borderId="18" xfId="0" applyFont="1" applyFill="1" applyBorder="1" applyAlignment="1">
      <alignment horizontal="center" vertical="center" wrapText="1"/>
    </xf>
    <xf numFmtId="0" fontId="5" fillId="24" borderId="18" xfId="1" applyNumberFormat="1" applyFont="1" applyFill="1" applyBorder="1" applyAlignment="1">
      <alignment horizontal="center" vertical="center" wrapText="1"/>
    </xf>
    <xf numFmtId="0" fontId="6" fillId="24" borderId="31" xfId="1" applyNumberFormat="1" applyFont="1" applyFill="1" applyBorder="1" applyAlignment="1">
      <alignment horizontal="center" vertical="center" wrapText="1"/>
    </xf>
    <xf numFmtId="0" fontId="11" fillId="5" borderId="18" xfId="0" applyFont="1" applyFill="1" applyBorder="1" applyAlignment="1">
      <alignment horizontal="center" vertical="center" wrapText="1"/>
    </xf>
    <xf numFmtId="0" fontId="5" fillId="24" borderId="32" xfId="1" applyNumberFormat="1" applyFont="1" applyFill="1" applyBorder="1" applyAlignment="1">
      <alignment horizontal="center" vertical="center" wrapText="1"/>
    </xf>
    <xf numFmtId="0" fontId="6" fillId="24" borderId="32" xfId="1" applyNumberFormat="1" applyFont="1" applyFill="1" applyBorder="1" applyAlignment="1">
      <alignment horizontal="center" vertical="center" wrapText="1"/>
    </xf>
    <xf numFmtId="0" fontId="6" fillId="3" borderId="33" xfId="0" applyFont="1" applyFill="1" applyBorder="1" applyAlignment="1">
      <alignment horizontal="center" vertical="center" wrapText="1"/>
    </xf>
    <xf numFmtId="0" fontId="6" fillId="24" borderId="18" xfId="1" applyNumberFormat="1" applyFont="1" applyFill="1" applyBorder="1" applyAlignment="1">
      <alignment horizontal="center" vertical="center" wrapText="1"/>
    </xf>
    <xf numFmtId="9" fontId="6" fillId="3" borderId="18" xfId="4" applyFont="1" applyFill="1" applyBorder="1" applyAlignment="1">
      <alignment horizontal="center" vertical="center" wrapText="1"/>
    </xf>
    <xf numFmtId="0" fontId="8" fillId="9" borderId="13" xfId="0" applyFont="1" applyFill="1" applyBorder="1" applyAlignment="1">
      <alignment horizontal="left"/>
    </xf>
    <xf numFmtId="14" fontId="0" fillId="9" borderId="16" xfId="0" applyNumberFormat="1" applyFill="1" applyBorder="1" applyAlignment="1">
      <alignment horizontal="left"/>
    </xf>
    <xf numFmtId="0" fontId="9" fillId="9" borderId="16" xfId="2" applyNumberFormat="1" applyFill="1" applyBorder="1" applyAlignment="1">
      <alignment horizontal="left"/>
    </xf>
    <xf numFmtId="165" fontId="0" fillId="9" borderId="16" xfId="1" applyNumberFormat="1" applyFont="1" applyFill="1" applyBorder="1" applyAlignment="1">
      <alignment horizontal="left"/>
    </xf>
    <xf numFmtId="0" fontId="0" fillId="9" borderId="16" xfId="1" applyNumberFormat="1" applyFont="1" applyFill="1" applyBorder="1" applyAlignment="1">
      <alignment horizontal="center"/>
    </xf>
    <xf numFmtId="0" fontId="14" fillId="22" borderId="16" xfId="0" applyFont="1" applyFill="1" applyBorder="1" applyAlignment="1">
      <alignment horizontal="left" wrapText="1"/>
    </xf>
    <xf numFmtId="14" fontId="0" fillId="0" borderId="16" xfId="0" applyNumberFormat="1" applyBorder="1" applyAlignment="1">
      <alignment horizontal="left"/>
    </xf>
    <xf numFmtId="14" fontId="0" fillId="21" borderId="16" xfId="0" applyNumberFormat="1" applyFill="1" applyBorder="1" applyAlignment="1">
      <alignment horizontal="left"/>
    </xf>
    <xf numFmtId="0" fontId="9" fillId="0" borderId="16" xfId="2" applyNumberFormat="1" applyBorder="1" applyAlignment="1">
      <alignment horizontal="left"/>
    </xf>
    <xf numFmtId="165" fontId="0" fillId="0" borderId="16" xfId="1" applyNumberFormat="1" applyFont="1" applyBorder="1" applyAlignment="1">
      <alignment horizontal="left"/>
    </xf>
    <xf numFmtId="0" fontId="0" fillId="0" borderId="16" xfId="1" applyNumberFormat="1" applyFont="1" applyBorder="1" applyAlignment="1">
      <alignment horizontal="center"/>
    </xf>
    <xf numFmtId="0" fontId="14" fillId="10" borderId="16" xfId="0" applyFont="1" applyFill="1" applyBorder="1" applyAlignment="1">
      <alignment horizontal="left" wrapText="1"/>
    </xf>
    <xf numFmtId="0" fontId="0" fillId="9" borderId="16" xfId="0" applyFill="1" applyBorder="1" applyAlignment="1">
      <alignment horizontal="left" vertical="center"/>
    </xf>
    <xf numFmtId="3" fontId="0" fillId="9" borderId="16" xfId="0" applyNumberFormat="1" applyFill="1" applyBorder="1"/>
    <xf numFmtId="0" fontId="0" fillId="9" borderId="35" xfId="1" applyNumberFormat="1" applyFont="1" applyFill="1" applyBorder="1" applyAlignment="1">
      <alignment horizontal="right"/>
    </xf>
    <xf numFmtId="165" fontId="0" fillId="9" borderId="35" xfId="1" applyNumberFormat="1" applyFont="1" applyFill="1" applyBorder="1" applyAlignment="1">
      <alignment horizontal="left"/>
    </xf>
    <xf numFmtId="0" fontId="0" fillId="9" borderId="36" xfId="0" applyFill="1" applyBorder="1" applyAlignment="1">
      <alignment horizontal="left" wrapText="1"/>
    </xf>
    <xf numFmtId="167" fontId="0" fillId="9" borderId="16" xfId="1" applyNumberFormat="1" applyFont="1" applyFill="1" applyBorder="1" applyAlignment="1">
      <alignment horizontal="left"/>
    </xf>
    <xf numFmtId="9" fontId="0" fillId="9" borderId="16" xfId="4" applyFont="1" applyFill="1" applyBorder="1" applyAlignment="1">
      <alignment horizontal="left"/>
    </xf>
    <xf numFmtId="0" fontId="14" fillId="0" borderId="16" xfId="0" applyFont="1" applyBorder="1" applyAlignment="1">
      <alignment horizontal="left" wrapText="1"/>
    </xf>
    <xf numFmtId="0" fontId="0" fillId="0" borderId="16" xfId="0" applyBorder="1" applyAlignment="1">
      <alignment horizontal="left" vertical="center"/>
    </xf>
    <xf numFmtId="0" fontId="0" fillId="0" borderId="35" xfId="1" applyNumberFormat="1" applyFont="1" applyBorder="1" applyAlignment="1">
      <alignment horizontal="right"/>
    </xf>
    <xf numFmtId="165" fontId="0" fillId="0" borderId="35" xfId="1" applyNumberFormat="1" applyFont="1" applyBorder="1" applyAlignment="1">
      <alignment horizontal="left"/>
    </xf>
    <xf numFmtId="0" fontId="0" fillId="0" borderId="36" xfId="0" applyBorder="1" applyAlignment="1">
      <alignment horizontal="left" wrapText="1"/>
    </xf>
    <xf numFmtId="167" fontId="0" fillId="0" borderId="16" xfId="1" applyNumberFormat="1" applyFont="1" applyBorder="1" applyAlignment="1">
      <alignment horizontal="left"/>
    </xf>
    <xf numFmtId="9" fontId="0" fillId="0" borderId="16" xfId="4" applyFont="1" applyBorder="1" applyAlignment="1">
      <alignment horizontal="left"/>
    </xf>
    <xf numFmtId="14" fontId="0" fillId="10" borderId="16" xfId="0" applyNumberFormat="1" applyFill="1" applyBorder="1" applyAlignment="1">
      <alignment horizontal="left"/>
    </xf>
    <xf numFmtId="0" fontId="9" fillId="21" borderId="16" xfId="2" applyNumberFormat="1" applyFill="1" applyBorder="1" applyAlignment="1">
      <alignment horizontal="left"/>
    </xf>
    <xf numFmtId="0" fontId="14" fillId="0" borderId="17" xfId="0" applyFont="1" applyBorder="1" applyAlignment="1">
      <alignment horizontal="left" wrapText="1"/>
    </xf>
    <xf numFmtId="14" fontId="0" fillId="0" borderId="17" xfId="0" applyNumberFormat="1" applyBorder="1" applyAlignment="1">
      <alignment horizontal="left"/>
    </xf>
    <xf numFmtId="14" fontId="0" fillId="10" borderId="17" xfId="0" applyNumberFormat="1" applyFill="1" applyBorder="1" applyAlignment="1">
      <alignment horizontal="left"/>
    </xf>
    <xf numFmtId="0" fontId="9" fillId="0" borderId="17" xfId="2" applyNumberFormat="1" applyBorder="1" applyAlignment="1">
      <alignment horizontal="left"/>
    </xf>
    <xf numFmtId="165" fontId="0" fillId="0" borderId="17" xfId="1" applyNumberFormat="1" applyFont="1" applyBorder="1" applyAlignment="1">
      <alignment horizontal="left"/>
    </xf>
    <xf numFmtId="0" fontId="0" fillId="0" borderId="17" xfId="1" applyNumberFormat="1" applyFont="1" applyBorder="1" applyAlignment="1">
      <alignment horizontal="center"/>
    </xf>
    <xf numFmtId="165" fontId="0" fillId="9" borderId="34" xfId="1" applyNumberFormat="1" applyFont="1" applyFill="1" applyBorder="1" applyAlignment="1">
      <alignment horizontal="left"/>
    </xf>
    <xf numFmtId="0" fontId="0" fillId="21" borderId="36" xfId="0" applyFill="1" applyBorder="1" applyAlignment="1">
      <alignment horizontal="left" wrapText="1"/>
    </xf>
    <xf numFmtId="9" fontId="0" fillId="21" borderId="16" xfId="4" applyFont="1" applyFill="1" applyBorder="1" applyAlignment="1">
      <alignment horizontal="left"/>
    </xf>
    <xf numFmtId="0" fontId="0" fillId="0" borderId="17" xfId="0" applyBorder="1" applyAlignment="1">
      <alignment horizontal="left" vertical="center"/>
    </xf>
    <xf numFmtId="165" fontId="0" fillId="0" borderId="34" xfId="1" applyNumberFormat="1" applyFont="1" applyBorder="1" applyAlignment="1">
      <alignment horizontal="left"/>
    </xf>
    <xf numFmtId="166" fontId="0" fillId="0" borderId="35" xfId="1" applyNumberFormat="1" applyFont="1" applyBorder="1" applyAlignment="1">
      <alignment horizontal="right"/>
    </xf>
    <xf numFmtId="167" fontId="0" fillId="0" borderId="17" xfId="1" applyNumberFormat="1" applyFont="1" applyBorder="1" applyAlignment="1">
      <alignment horizontal="left"/>
    </xf>
    <xf numFmtId="9" fontId="0" fillId="0" borderId="17" xfId="4" applyFont="1" applyBorder="1" applyAlignment="1">
      <alignment horizontal="left"/>
    </xf>
    <xf numFmtId="167" fontId="0" fillId="0" borderId="0" xfId="1" applyNumberFormat="1" applyFont="1" applyAlignment="1" applyProtection="1">
      <alignment horizontal="left" vertical="center"/>
      <protection locked="0"/>
    </xf>
    <xf numFmtId="17" fontId="0" fillId="0" borderId="0" xfId="0" applyNumberFormat="1" applyProtection="1">
      <protection locked="0"/>
    </xf>
    <xf numFmtId="167" fontId="0" fillId="0" borderId="0" xfId="60" applyNumberFormat="1" applyFont="1"/>
    <xf numFmtId="167" fontId="7" fillId="0" borderId="0" xfId="0" applyNumberFormat="1" applyFont="1" applyAlignment="1">
      <alignment horizontal="center" vertical="center" wrapText="1"/>
    </xf>
    <xf numFmtId="9" fontId="0" fillId="0" borderId="0" xfId="61" applyFont="1"/>
    <xf numFmtId="9" fontId="0" fillId="0" borderId="0" xfId="61" applyFont="1" applyFill="1"/>
    <xf numFmtId="9" fontId="7" fillId="0" borderId="0" xfId="61" applyFont="1" applyFill="1" applyBorder="1"/>
    <xf numFmtId="167" fontId="0" fillId="25" borderId="0" xfId="0" applyNumberFormat="1" applyFill="1"/>
    <xf numFmtId="167" fontId="0" fillId="0" borderId="0" xfId="1" applyNumberFormat="1" applyFont="1" applyAlignment="1">
      <alignment horizontal="center" vertical="center" wrapText="1"/>
    </xf>
    <xf numFmtId="9" fontId="0" fillId="25" borderId="0" xfId="4" applyFont="1" applyFill="1"/>
    <xf numFmtId="0" fontId="7" fillId="25" borderId="0" xfId="0" applyFont="1" applyFill="1" applyAlignment="1">
      <alignment horizontal="center" vertical="center" wrapText="1"/>
    </xf>
    <xf numFmtId="165" fontId="0" fillId="0" borderId="0" xfId="0" applyNumberFormat="1" applyAlignment="1" applyProtection="1">
      <alignment horizontal="left" vertical="center"/>
      <protection locked="0"/>
    </xf>
    <xf numFmtId="167" fontId="16" fillId="0" borderId="0" xfId="1" applyNumberFormat="1" applyFont="1" applyProtection="1">
      <protection locked="0"/>
    </xf>
    <xf numFmtId="167" fontId="0" fillId="0" borderId="0" xfId="1" applyNumberFormat="1" applyFont="1" applyAlignment="1" applyProtection="1">
      <alignment wrapText="1"/>
      <protection locked="0"/>
    </xf>
    <xf numFmtId="167" fontId="0" fillId="0" borderId="0" xfId="0" applyNumberFormat="1" applyAlignment="1" applyProtection="1">
      <alignment horizontal="left" vertical="center"/>
      <protection locked="0"/>
    </xf>
    <xf numFmtId="167" fontId="0" fillId="0" borderId="0" xfId="0" applyNumberFormat="1" applyProtection="1">
      <protection locked="0"/>
    </xf>
    <xf numFmtId="0" fontId="0" fillId="0" borderId="0" xfId="0" applyAlignment="1" applyProtection="1">
      <alignment horizontal="left"/>
      <protection locked="0"/>
    </xf>
    <xf numFmtId="0" fontId="0" fillId="0" borderId="0" xfId="0" applyAlignment="1" applyProtection="1">
      <alignment horizontal="center"/>
      <protection locked="0"/>
    </xf>
    <xf numFmtId="167" fontId="0" fillId="0" borderId="0" xfId="1" applyNumberFormat="1" applyFont="1" applyFill="1" applyProtection="1">
      <protection locked="0"/>
    </xf>
    <xf numFmtId="0" fontId="16" fillId="0" borderId="0" xfId="0" applyFont="1" applyAlignment="1" applyProtection="1">
      <alignment horizontal="center"/>
      <protection locked="0"/>
    </xf>
    <xf numFmtId="0" fontId="0" fillId="0" borderId="0" xfId="0" applyAlignment="1" applyProtection="1">
      <alignment horizontal="center" wrapText="1"/>
      <protection locked="0"/>
    </xf>
    <xf numFmtId="165" fontId="0" fillId="0" borderId="0" xfId="0" applyNumberFormat="1" applyProtection="1">
      <protection locked="0"/>
    </xf>
    <xf numFmtId="167" fontId="0" fillId="0" borderId="0" xfId="1" applyNumberFormat="1" applyFont="1" applyAlignment="1" applyProtection="1">
      <alignment horizontal="left"/>
      <protection locked="0"/>
    </xf>
    <xf numFmtId="165" fontId="0" fillId="25" borderId="0" xfId="1" applyNumberFormat="1" applyFont="1" applyFill="1" applyAlignment="1" applyProtection="1">
      <alignment wrapText="1"/>
      <protection locked="0"/>
    </xf>
    <xf numFmtId="9" fontId="0" fillId="0" borderId="0" xfId="4" applyFont="1" applyAlignment="1" applyProtection="1">
      <alignment wrapText="1"/>
      <protection locked="0"/>
    </xf>
    <xf numFmtId="3" fontId="0" fillId="0" borderId="0" xfId="0" applyNumberFormat="1"/>
    <xf numFmtId="14" fontId="16" fillId="0" borderId="0" xfId="0" applyNumberFormat="1" applyFont="1" applyProtection="1">
      <protection locked="0"/>
    </xf>
    <xf numFmtId="167" fontId="60" fillId="0" borderId="0" xfId="1" applyNumberFormat="1" applyFont="1" applyFill="1" applyProtection="1">
      <protection locked="0"/>
    </xf>
    <xf numFmtId="0" fontId="16" fillId="0" borderId="0" xfId="0" applyFont="1" applyAlignment="1" applyProtection="1">
      <alignment wrapText="1"/>
      <protection locked="0"/>
    </xf>
    <xf numFmtId="0" fontId="16" fillId="0" borderId="0" xfId="0" applyFont="1" applyAlignment="1" applyProtection="1">
      <alignment horizontal="center" wrapText="1"/>
      <protection locked="0"/>
    </xf>
    <xf numFmtId="167" fontId="7" fillId="25" borderId="0" xfId="0" applyNumberFormat="1" applyFont="1" applyFill="1"/>
    <xf numFmtId="9" fontId="7" fillId="25" borderId="0" xfId="4" applyFont="1" applyFill="1"/>
    <xf numFmtId="164" fontId="0" fillId="0" borderId="0" xfId="0" applyNumberFormat="1" applyAlignment="1" applyProtection="1">
      <alignment horizontal="left" vertical="center"/>
      <protection locked="0"/>
    </xf>
    <xf numFmtId="167" fontId="0" fillId="0" borderId="0" xfId="0" applyNumberFormat="1" applyAlignment="1" applyProtection="1">
      <alignment horizontal="left"/>
      <protection locked="0"/>
    </xf>
    <xf numFmtId="0" fontId="7" fillId="0" borderId="0" xfId="0" applyFont="1" applyProtection="1">
      <protection locked="0"/>
    </xf>
    <xf numFmtId="0" fontId="5" fillId="59" borderId="0" xfId="0" applyFont="1" applyFill="1" applyAlignment="1">
      <alignment horizontal="center" vertical="center" wrapText="1"/>
    </xf>
    <xf numFmtId="167" fontId="5" fillId="59" borderId="0" xfId="0" applyNumberFormat="1" applyFont="1" applyFill="1" applyAlignment="1">
      <alignment horizontal="center" vertical="center" wrapText="1"/>
    </xf>
    <xf numFmtId="167" fontId="5" fillId="59" borderId="0" xfId="1" applyNumberFormat="1" applyFont="1" applyFill="1" applyAlignment="1">
      <alignment horizontal="center" vertical="center" wrapText="1"/>
    </xf>
    <xf numFmtId="9" fontId="5" fillId="59" borderId="0" xfId="4" applyFont="1" applyFill="1" applyAlignment="1">
      <alignment horizontal="right" vertical="center" wrapText="1"/>
    </xf>
    <xf numFmtId="167" fontId="5" fillId="59" borderId="0" xfId="1" applyNumberFormat="1" applyFont="1" applyFill="1" applyAlignment="1">
      <alignment horizontal="left" vertical="center" wrapText="1"/>
    </xf>
    <xf numFmtId="167" fontId="5" fillId="59" borderId="0" xfId="0" applyNumberFormat="1" applyFont="1" applyFill="1" applyAlignment="1">
      <alignment vertical="center" wrapText="1"/>
    </xf>
    <xf numFmtId="167" fontId="5" fillId="59" borderId="0" xfId="0" applyNumberFormat="1" applyFont="1" applyFill="1" applyAlignment="1">
      <alignment horizontal="left" vertical="center" wrapText="1"/>
    </xf>
    <xf numFmtId="3" fontId="5" fillId="59" borderId="0" xfId="0" applyNumberFormat="1" applyFont="1" applyFill="1" applyAlignment="1">
      <alignment vertical="center" wrapText="1"/>
    </xf>
    <xf numFmtId="167" fontId="0" fillId="10" borderId="0" xfId="1" applyNumberFormat="1" applyFont="1" applyFill="1" applyAlignment="1" applyProtection="1">
      <alignment horizontal="left" vertical="center"/>
      <protection locked="0"/>
    </xf>
    <xf numFmtId="165" fontId="0" fillId="10" borderId="0" xfId="0" applyNumberFormat="1" applyFill="1" applyAlignment="1" applyProtection="1">
      <alignment horizontal="left" vertical="center"/>
      <protection locked="0"/>
    </xf>
    <xf numFmtId="167" fontId="0" fillId="10" borderId="0" xfId="0" applyNumberFormat="1" applyFill="1" applyAlignment="1" applyProtection="1">
      <alignment horizontal="left" vertical="center"/>
      <protection locked="0"/>
    </xf>
    <xf numFmtId="167" fontId="0" fillId="60" borderId="0" xfId="1" applyNumberFormat="1" applyFont="1" applyFill="1" applyProtection="1">
      <protection locked="0"/>
    </xf>
    <xf numFmtId="0" fontId="0" fillId="60" borderId="0" xfId="0" applyFill="1" applyProtection="1">
      <protection locked="0"/>
    </xf>
    <xf numFmtId="164" fontId="0" fillId="60" borderId="0" xfId="0" applyNumberFormat="1" applyFill="1" applyAlignment="1" applyProtection="1">
      <alignment horizontal="left" vertical="center"/>
      <protection locked="0"/>
    </xf>
    <xf numFmtId="0" fontId="0" fillId="0" borderId="0" xfId="0" applyAlignment="1" applyProtection="1">
      <alignment horizontal="left" vertical="top"/>
      <protection locked="0"/>
    </xf>
    <xf numFmtId="167" fontId="5" fillId="61" borderId="0" xfId="0" applyNumberFormat="1" applyFont="1" applyFill="1" applyAlignment="1">
      <alignment horizontal="center" vertical="center" wrapText="1"/>
    </xf>
    <xf numFmtId="167" fontId="5" fillId="61" borderId="0" xfId="0" applyNumberFormat="1" applyFont="1" applyFill="1" applyAlignment="1">
      <alignment horizontal="left" vertical="center" wrapText="1"/>
    </xf>
    <xf numFmtId="0" fontId="0" fillId="0" borderId="0" xfId="0" applyAlignment="1" applyProtection="1">
      <alignment horizontal="left" vertical="center" wrapText="1"/>
      <protection locked="0"/>
    </xf>
    <xf numFmtId="0" fontId="16" fillId="0" borderId="0" xfId="0" applyFont="1" applyAlignment="1" applyProtection="1">
      <alignment horizontal="left" vertical="center" wrapText="1"/>
      <protection locked="0"/>
    </xf>
    <xf numFmtId="3" fontId="5" fillId="59" borderId="0" xfId="0" applyNumberFormat="1" applyFont="1" applyFill="1" applyAlignment="1">
      <alignment horizontal="left" vertical="center" wrapText="1"/>
    </xf>
    <xf numFmtId="167" fontId="5" fillId="62" borderId="0" xfId="0" applyNumberFormat="1" applyFont="1" applyFill="1" applyAlignment="1">
      <alignment horizontal="center" vertical="center" wrapText="1"/>
    </xf>
    <xf numFmtId="167" fontId="53" fillId="59" borderId="0" xfId="0" applyNumberFormat="1" applyFont="1" applyFill="1" applyAlignment="1">
      <alignment horizontal="right"/>
    </xf>
    <xf numFmtId="167" fontId="5" fillId="59" borderId="0" xfId="0" applyNumberFormat="1" applyFont="1" applyFill="1" applyAlignment="1">
      <alignment horizontal="right" vertical="center" wrapText="1"/>
    </xf>
    <xf numFmtId="3" fontId="5" fillId="59" borderId="0" xfId="0" applyNumberFormat="1" applyFont="1" applyFill="1" applyAlignment="1">
      <alignment horizontal="center" vertical="center" wrapText="1"/>
    </xf>
    <xf numFmtId="0" fontId="60" fillId="0" borderId="0" xfId="0" applyFont="1" applyAlignment="1" applyProtection="1">
      <alignment horizontal="left"/>
      <protection locked="0"/>
    </xf>
    <xf numFmtId="0" fontId="5" fillId="0" borderId="0" xfId="0" applyFont="1" applyAlignment="1">
      <alignment horizontal="center" vertical="center" wrapText="1"/>
    </xf>
    <xf numFmtId="167" fontId="5" fillId="0" borderId="0" xfId="0" applyNumberFormat="1" applyFont="1" applyAlignment="1">
      <alignment vertical="center" wrapText="1"/>
    </xf>
    <xf numFmtId="167" fontId="60" fillId="0" borderId="0" xfId="1" applyNumberFormat="1" applyFont="1" applyFill="1" applyAlignment="1" applyProtection="1">
      <alignment wrapText="1"/>
      <protection locked="0"/>
    </xf>
    <xf numFmtId="167" fontId="0" fillId="60" borderId="0" xfId="1" applyNumberFormat="1" applyFont="1" applyFill="1" applyAlignment="1" applyProtection="1">
      <alignment vertical="center"/>
      <protection locked="0"/>
    </xf>
    <xf numFmtId="0" fontId="0" fillId="60" borderId="0" xfId="0" applyFill="1" applyAlignment="1" applyProtection="1">
      <alignment vertical="center"/>
      <protection locked="0"/>
    </xf>
    <xf numFmtId="3" fontId="0" fillId="16" borderId="0" xfId="0" applyNumberFormat="1" applyFill="1" applyAlignment="1">
      <alignment horizontal="center" vertical="center" wrapText="1"/>
    </xf>
    <xf numFmtId="9" fontId="7" fillId="0" borderId="0" xfId="61" applyFont="1"/>
    <xf numFmtId="9" fontId="7" fillId="0" borderId="21" xfId="4" applyFont="1" applyBorder="1"/>
    <xf numFmtId="9" fontId="5" fillId="59" borderId="21" xfId="4" applyFont="1" applyFill="1" applyBorder="1" applyAlignment="1">
      <alignment horizontal="right" vertical="center" wrapText="1"/>
    </xf>
    <xf numFmtId="167" fontId="5" fillId="0" borderId="0" xfId="0" applyNumberFormat="1" applyFont="1" applyAlignment="1">
      <alignment horizontal="left" vertical="center" wrapText="1"/>
    </xf>
    <xf numFmtId="3" fontId="5" fillId="0" borderId="0" xfId="0" applyNumberFormat="1" applyFont="1" applyAlignment="1">
      <alignment horizontal="left" vertical="center" wrapText="1"/>
    </xf>
    <xf numFmtId="0" fontId="0" fillId="63" borderId="0" xfId="0" applyFill="1"/>
    <xf numFmtId="0" fontId="0" fillId="64" borderId="0" xfId="0" applyFill="1" applyProtection="1">
      <protection locked="0"/>
    </xf>
    <xf numFmtId="0" fontId="57" fillId="0" borderId="0" xfId="0" applyFont="1" applyAlignment="1" applyProtection="1">
      <alignment horizontal="left" vertical="top"/>
      <protection locked="0"/>
    </xf>
    <xf numFmtId="0" fontId="70" fillId="0" borderId="0" xfId="0" applyFont="1"/>
    <xf numFmtId="0" fontId="71" fillId="65" borderId="0" xfId="0" applyFont="1" applyFill="1"/>
    <xf numFmtId="0" fontId="0" fillId="0" borderId="38" xfId="0" applyBorder="1" applyAlignment="1">
      <alignment horizontal="left" vertical="top"/>
    </xf>
    <xf numFmtId="0" fontId="0" fillId="0" borderId="38" xfId="0" applyBorder="1" applyAlignment="1">
      <alignment horizontal="left" wrapText="1"/>
    </xf>
    <xf numFmtId="0" fontId="37" fillId="0" borderId="38" xfId="0" applyFont="1" applyBorder="1" applyAlignment="1">
      <alignment horizontal="center" wrapText="1"/>
    </xf>
    <xf numFmtId="0" fontId="0" fillId="0" borderId="38" xfId="0" applyBorder="1" applyAlignment="1">
      <alignment horizontal="center" wrapText="1"/>
    </xf>
    <xf numFmtId="0" fontId="0" fillId="0" borderId="38" xfId="0" applyBorder="1" applyAlignment="1">
      <alignment horizontal="center"/>
    </xf>
    <xf numFmtId="0" fontId="0" fillId="0" borderId="38" xfId="0" applyBorder="1" applyAlignment="1">
      <alignment horizontal="left"/>
    </xf>
    <xf numFmtId="0" fontId="0" fillId="0" borderId="38" xfId="0" applyBorder="1"/>
    <xf numFmtId="167" fontId="14" fillId="0" borderId="38" xfId="1" applyNumberFormat="1" applyFont="1" applyFill="1" applyBorder="1" applyAlignment="1">
      <alignment horizontal="right"/>
    </xf>
    <xf numFmtId="0" fontId="8" fillId="0" borderId="38" xfId="0" applyFont="1" applyBorder="1" applyAlignment="1">
      <alignment horizontal="center" wrapText="1"/>
    </xf>
    <xf numFmtId="0" fontId="14" fillId="0" borderId="38" xfId="0" applyFont="1" applyBorder="1" applyAlignment="1">
      <alignment horizontal="right"/>
    </xf>
    <xf numFmtId="0" fontId="29" fillId="0" borderId="38" xfId="0" applyFont="1" applyBorder="1" applyAlignment="1">
      <alignment horizontal="left" vertical="center"/>
    </xf>
    <xf numFmtId="0" fontId="29" fillId="0" borderId="38" xfId="0" applyFont="1" applyBorder="1" applyAlignment="1">
      <alignment horizontal="center" vertical="center"/>
    </xf>
    <xf numFmtId="0" fontId="0" fillId="0" borderId="38" xfId="0" applyBorder="1" applyAlignment="1">
      <alignment horizontal="left" vertical="top" wrapText="1"/>
    </xf>
    <xf numFmtId="0" fontId="62" fillId="0" borderId="38" xfId="0" applyFont="1" applyBorder="1" applyAlignment="1">
      <alignment horizontal="center" vertical="center" wrapText="1"/>
    </xf>
    <xf numFmtId="49" fontId="55" fillId="0" borderId="38" xfId="0" applyNumberFormat="1" applyFont="1" applyBorder="1" applyAlignment="1">
      <alignment horizontal="center"/>
    </xf>
    <xf numFmtId="0" fontId="0" fillId="0" borderId="38" xfId="0" applyBorder="1" applyAlignment="1">
      <alignment horizontal="center" vertical="top"/>
    </xf>
    <xf numFmtId="0" fontId="0" fillId="0" borderId="38" xfId="0" applyBorder="1" applyAlignment="1">
      <alignment horizontal="right" vertical="center"/>
    </xf>
    <xf numFmtId="0" fontId="0" fillId="0" borderId="38" xfId="0" applyBorder="1" applyAlignment="1">
      <alignment horizontal="right"/>
    </xf>
    <xf numFmtId="0" fontId="61" fillId="0" borderId="38" xfId="0" applyFont="1" applyBorder="1" applyAlignment="1">
      <alignment horizontal="left" vertical="top" wrapText="1"/>
    </xf>
    <xf numFmtId="0" fontId="61" fillId="0" borderId="38" xfId="0" applyFont="1" applyBorder="1" applyAlignment="1">
      <alignment horizontal="center" wrapText="1"/>
    </xf>
    <xf numFmtId="0" fontId="61" fillId="0" borderId="38" xfId="0" applyFont="1" applyBorder="1" applyAlignment="1">
      <alignment horizontal="left"/>
    </xf>
    <xf numFmtId="0" fontId="15" fillId="0" borderId="38" xfId="0" applyFont="1" applyBorder="1" applyAlignment="1">
      <alignment horizontal="center" wrapText="1"/>
    </xf>
    <xf numFmtId="0" fontId="0" fillId="0" borderId="38" xfId="0" applyBorder="1" applyAlignment="1">
      <alignment vertical="top"/>
    </xf>
    <xf numFmtId="0" fontId="61" fillId="0" borderId="38" xfId="0" applyFont="1" applyBorder="1" applyAlignment="1">
      <alignment horizontal="left" wrapText="1"/>
    </xf>
    <xf numFmtId="167" fontId="14" fillId="0" borderId="38" xfId="1" applyNumberFormat="1" applyFont="1" applyFill="1" applyBorder="1" applyAlignment="1">
      <alignment horizontal="right" wrapText="1"/>
    </xf>
    <xf numFmtId="0" fontId="62" fillId="0" borderId="38" xfId="0" applyFont="1" applyBorder="1" applyAlignment="1">
      <alignment horizontal="left" vertical="center" wrapText="1"/>
    </xf>
    <xf numFmtId="0" fontId="0" fillId="0" borderId="38" xfId="0" applyBorder="1" applyAlignment="1">
      <alignment horizontal="left" vertical="center" wrapText="1"/>
    </xf>
    <xf numFmtId="0" fontId="0" fillId="0" borderId="38" xfId="0" applyBorder="1" applyAlignment="1">
      <alignment horizontal="center" vertical="center" wrapText="1"/>
    </xf>
    <xf numFmtId="0" fontId="0" fillId="0" borderId="38" xfId="0" applyBorder="1" applyAlignment="1">
      <alignment horizontal="center" vertical="center"/>
    </xf>
    <xf numFmtId="0" fontId="0" fillId="0" borderId="38" xfId="0" applyBorder="1" applyAlignment="1">
      <alignment horizontal="left" vertical="center"/>
    </xf>
    <xf numFmtId="167" fontId="14" fillId="0" borderId="38" xfId="1" applyNumberFormat="1" applyFont="1" applyFill="1" applyBorder="1" applyAlignment="1">
      <alignment horizontal="right" vertical="center"/>
    </xf>
    <xf numFmtId="0" fontId="66" fillId="0" borderId="38" xfId="0" applyFont="1" applyBorder="1" applyAlignment="1">
      <alignment horizontal="center"/>
    </xf>
    <xf numFmtId="0" fontId="61" fillId="0" borderId="38" xfId="50" applyFont="1" applyBorder="1" applyAlignment="1">
      <alignment horizontal="left" vertical="top"/>
    </xf>
    <xf numFmtId="0" fontId="55" fillId="0" borderId="38" xfId="0" applyFont="1" applyBorder="1" applyAlignment="1">
      <alignment horizontal="center"/>
    </xf>
    <xf numFmtId="0" fontId="29" fillId="0" borderId="38" xfId="0" applyFont="1" applyBorder="1" applyAlignment="1">
      <alignment horizontal="center"/>
    </xf>
    <xf numFmtId="0" fontId="5" fillId="24" borderId="40" xfId="0" applyFont="1" applyFill="1" applyBorder="1" applyAlignment="1">
      <alignment horizontal="left" vertical="top" wrapText="1"/>
    </xf>
    <xf numFmtId="0" fontId="5" fillId="2" borderId="40" xfId="0" applyFont="1" applyFill="1" applyBorder="1" applyAlignment="1">
      <alignment horizontal="left" vertical="center" wrapText="1"/>
    </xf>
    <xf numFmtId="0" fontId="5" fillId="2" borderId="40" xfId="0" applyFont="1" applyFill="1" applyBorder="1" applyAlignment="1">
      <alignment horizontal="center" vertical="center" wrapText="1"/>
    </xf>
    <xf numFmtId="0" fontId="22" fillId="10" borderId="40" xfId="0" applyFont="1" applyFill="1" applyBorder="1" applyAlignment="1">
      <alignment horizontal="center" vertical="center" wrapText="1"/>
    </xf>
    <xf numFmtId="0" fontId="5" fillId="24" borderId="40" xfId="0" applyFont="1" applyFill="1" applyBorder="1" applyAlignment="1">
      <alignment horizontal="center" vertical="center" wrapText="1"/>
    </xf>
    <xf numFmtId="0" fontId="5" fillId="17" borderId="40" xfId="0" applyFont="1" applyFill="1" applyBorder="1" applyAlignment="1">
      <alignment horizontal="center" vertical="center" wrapText="1"/>
    </xf>
    <xf numFmtId="0" fontId="5" fillId="24" borderId="40" xfId="0" applyFont="1" applyFill="1" applyBorder="1" applyAlignment="1">
      <alignment horizontal="left" vertical="center" wrapText="1"/>
    </xf>
    <xf numFmtId="0" fontId="58" fillId="5" borderId="40" xfId="1" applyNumberFormat="1" applyFont="1" applyFill="1" applyBorder="1" applyAlignment="1">
      <alignment horizontal="center" vertical="center" wrapText="1"/>
    </xf>
    <xf numFmtId="0" fontId="58" fillId="5" borderId="41" xfId="1" applyNumberFormat="1" applyFont="1" applyFill="1" applyBorder="1" applyAlignment="1">
      <alignment horizontal="center" vertical="center" wrapText="1"/>
    </xf>
    <xf numFmtId="0" fontId="0" fillId="0" borderId="43" xfId="0" applyBorder="1"/>
    <xf numFmtId="0" fontId="0" fillId="0" borderId="43" xfId="0" applyBorder="1" applyAlignment="1">
      <alignment horizontal="left" wrapText="1"/>
    </xf>
    <xf numFmtId="0" fontId="0" fillId="0" borderId="43" xfId="0" applyBorder="1" applyAlignment="1">
      <alignment horizontal="left" vertical="top" wrapText="1"/>
    </xf>
    <xf numFmtId="0" fontId="0" fillId="0" borderId="43" xfId="0" applyBorder="1" applyAlignment="1">
      <alignment horizontal="left" vertical="top"/>
    </xf>
    <xf numFmtId="0" fontId="61" fillId="0" borderId="43" xfId="0" applyFont="1" applyBorder="1" applyAlignment="1">
      <alignment horizontal="left" vertical="top" wrapText="1"/>
    </xf>
    <xf numFmtId="0" fontId="0" fillId="0" borderId="43" xfId="0" applyBorder="1" applyAlignment="1">
      <alignment vertical="top"/>
    </xf>
    <xf numFmtId="0" fontId="0" fillId="0" borderId="44" xfId="0" applyBorder="1" applyAlignment="1">
      <alignment horizontal="left" vertical="top" wrapText="1"/>
    </xf>
    <xf numFmtId="0" fontId="61" fillId="0" borderId="46" xfId="0" applyFont="1" applyBorder="1" applyAlignment="1">
      <alignment horizontal="left" vertical="top" wrapText="1"/>
    </xf>
    <xf numFmtId="0" fontId="0" fillId="0" borderId="46" xfId="0" applyBorder="1" applyAlignment="1">
      <alignment horizontal="left" wrapText="1"/>
    </xf>
    <xf numFmtId="0" fontId="61" fillId="0" borderId="46" xfId="0" applyFont="1" applyBorder="1" applyAlignment="1">
      <alignment horizontal="center" wrapText="1"/>
    </xf>
    <xf numFmtId="0" fontId="61" fillId="0" borderId="46" xfId="0" applyFont="1" applyBorder="1" applyAlignment="1">
      <alignment horizontal="left"/>
    </xf>
    <xf numFmtId="0" fontId="0" fillId="0" borderId="46" xfId="0" applyBorder="1" applyAlignment="1">
      <alignment horizontal="left"/>
    </xf>
    <xf numFmtId="0" fontId="0" fillId="0" borderId="47" xfId="0" applyBorder="1" applyAlignment="1">
      <alignment horizontal="left" vertical="center"/>
    </xf>
    <xf numFmtId="0" fontId="0" fillId="0" borderId="48" xfId="0" applyBorder="1"/>
    <xf numFmtId="0" fontId="0" fillId="0" borderId="49" xfId="0" applyBorder="1" applyAlignment="1">
      <alignment horizontal="left" vertical="top" wrapText="1"/>
    </xf>
    <xf numFmtId="0" fontId="0" fillId="0" borderId="39" xfId="0" applyBorder="1" applyAlignment="1">
      <alignment horizontal="center"/>
    </xf>
    <xf numFmtId="0" fontId="0" fillId="0" borderId="42" xfId="0" applyBorder="1" applyAlignment="1">
      <alignment horizontal="center"/>
    </xf>
    <xf numFmtId="0" fontId="0" fillId="0" borderId="45" xfId="0" applyBorder="1" applyAlignment="1">
      <alignment horizontal="center"/>
    </xf>
    <xf numFmtId="0" fontId="9" fillId="0" borderId="37" xfId="2" applyNumberFormat="1" applyFill="1" applyBorder="1" applyAlignment="1" applyProtection="1">
      <alignment horizontal="left"/>
      <protection locked="0"/>
    </xf>
    <xf numFmtId="165" fontId="0" fillId="0" borderId="37" xfId="1" applyNumberFormat="1" applyFont="1" applyFill="1" applyBorder="1" applyAlignment="1" applyProtection="1">
      <alignment horizontal="left" wrapText="1"/>
      <protection locked="0"/>
    </xf>
    <xf numFmtId="0" fontId="61" fillId="0" borderId="37" xfId="1" applyNumberFormat="1" applyFont="1" applyFill="1" applyBorder="1" applyAlignment="1" applyProtection="1">
      <alignment horizontal="center" wrapText="1"/>
      <protection locked="0"/>
    </xf>
    <xf numFmtId="165" fontId="0" fillId="0" borderId="37" xfId="1" applyNumberFormat="1" applyFont="1" applyFill="1" applyBorder="1" applyAlignment="1" applyProtection="1">
      <alignment horizontal="left"/>
      <protection locked="0"/>
    </xf>
    <xf numFmtId="0" fontId="58" fillId="0" borderId="37" xfId="1" applyNumberFormat="1" applyFont="1" applyFill="1" applyBorder="1" applyAlignment="1" applyProtection="1">
      <alignment horizontal="center" vertical="center" wrapText="1"/>
      <protection locked="0"/>
    </xf>
    <xf numFmtId="167" fontId="59" fillId="0" borderId="37" xfId="1" applyNumberFormat="1" applyFont="1" applyFill="1" applyBorder="1" applyAlignment="1" applyProtection="1">
      <alignment horizontal="center" vertical="center" wrapText="1"/>
      <protection locked="0"/>
    </xf>
    <xf numFmtId="167" fontId="0" fillId="0" borderId="37" xfId="1" applyNumberFormat="1" applyFont="1" applyFill="1" applyBorder="1" applyAlignment="1" applyProtection="1">
      <alignment horizontal="center" vertical="center" wrapText="1"/>
      <protection locked="0"/>
    </xf>
    <xf numFmtId="165" fontId="0" fillId="0" borderId="37" xfId="1" applyNumberFormat="1" applyFont="1" applyFill="1" applyBorder="1" applyAlignment="1" applyProtection="1">
      <alignment horizontal="center" vertical="center" wrapText="1"/>
      <protection locked="0"/>
    </xf>
    <xf numFmtId="167" fontId="14" fillId="0" borderId="37" xfId="1" applyNumberFormat="1" applyFont="1" applyFill="1" applyBorder="1" applyAlignment="1" applyProtection="1">
      <alignment horizontal="left" wrapText="1"/>
      <protection locked="0"/>
    </xf>
    <xf numFmtId="167" fontId="0" fillId="0" borderId="37" xfId="1" applyNumberFormat="1" applyFont="1" applyFill="1" applyBorder="1" applyAlignment="1" applyProtection="1">
      <alignment horizontal="left" vertical="center"/>
      <protection locked="0"/>
    </xf>
    <xf numFmtId="167" fontId="55" fillId="0" borderId="37" xfId="1" applyNumberFormat="1" applyFont="1" applyFill="1" applyBorder="1" applyAlignment="1" applyProtection="1">
      <alignment horizontal="left" wrapText="1"/>
      <protection locked="0"/>
    </xf>
    <xf numFmtId="167" fontId="55" fillId="0" borderId="37" xfId="1" quotePrefix="1" applyNumberFormat="1" applyFont="1" applyFill="1" applyBorder="1" applyAlignment="1" applyProtection="1">
      <alignment horizontal="left" wrapText="1"/>
      <protection locked="0"/>
    </xf>
    <xf numFmtId="167" fontId="55" fillId="0" borderId="37" xfId="1" applyNumberFormat="1" applyFont="1" applyFill="1" applyBorder="1" applyAlignment="1">
      <alignment horizontal="left" wrapText="1"/>
    </xf>
    <xf numFmtId="167" fontId="14" fillId="0" borderId="37" xfId="1" applyNumberFormat="1" applyFont="1" applyFill="1" applyBorder="1" applyAlignment="1">
      <alignment horizontal="left" wrapText="1"/>
    </xf>
    <xf numFmtId="167" fontId="59" fillId="0" borderId="37" xfId="1" applyNumberFormat="1" applyFont="1" applyFill="1" applyBorder="1" applyAlignment="1" applyProtection="1">
      <alignment horizontal="left" vertical="center" wrapText="1"/>
      <protection locked="0"/>
    </xf>
    <xf numFmtId="167" fontId="0" fillId="0" borderId="37" xfId="1" applyNumberFormat="1" applyFont="1" applyFill="1" applyBorder="1" applyAlignment="1" applyProtection="1">
      <alignment horizontal="left" wrapText="1"/>
      <protection locked="0"/>
    </xf>
    <xf numFmtId="0" fontId="0" fillId="0" borderId="37" xfId="1" applyNumberFormat="1" applyFont="1" applyFill="1" applyBorder="1" applyAlignment="1" applyProtection="1">
      <alignment horizontal="center"/>
      <protection locked="0"/>
    </xf>
    <xf numFmtId="167" fontId="0" fillId="0" borderId="37" xfId="1" applyNumberFormat="1" applyFont="1" applyFill="1" applyBorder="1" applyAlignment="1" applyProtection="1">
      <alignment horizontal="left"/>
      <protection locked="0"/>
    </xf>
    <xf numFmtId="9" fontId="0" fillId="0" borderId="37" xfId="4" applyFont="1" applyFill="1" applyBorder="1" applyAlignment="1" applyProtection="1">
      <alignment horizontal="left"/>
      <protection locked="0"/>
    </xf>
    <xf numFmtId="0" fontId="58" fillId="0" borderId="37" xfId="1" applyNumberFormat="1" applyFont="1" applyFill="1" applyBorder="1" applyAlignment="1" applyProtection="1">
      <alignment horizontal="left" wrapText="1"/>
      <protection locked="0"/>
    </xf>
    <xf numFmtId="167" fontId="0" fillId="0" borderId="37" xfId="1" applyNumberFormat="1" applyFont="1" applyFill="1" applyBorder="1" applyProtection="1">
      <protection locked="0"/>
    </xf>
    <xf numFmtId="0" fontId="61" fillId="0" borderId="37" xfId="1" applyNumberFormat="1" applyFont="1" applyFill="1" applyBorder="1" applyAlignment="1" applyProtection="1">
      <alignment horizontal="left"/>
      <protection locked="0"/>
    </xf>
    <xf numFmtId="167" fontId="0" fillId="0" borderId="37" xfId="1" applyNumberFormat="1" applyFont="1" applyFill="1" applyBorder="1" applyAlignment="1" applyProtection="1">
      <alignment horizontal="right"/>
      <protection locked="0"/>
    </xf>
    <xf numFmtId="0" fontId="0" fillId="0" borderId="37" xfId="4" applyNumberFormat="1" applyFont="1" applyFill="1" applyBorder="1" applyAlignment="1" applyProtection="1">
      <alignment horizontal="left" wrapText="1"/>
      <protection locked="0"/>
    </xf>
    <xf numFmtId="165" fontId="0" fillId="0" borderId="37" xfId="1" applyNumberFormat="1" applyFont="1" applyFill="1" applyBorder="1" applyProtection="1">
      <protection locked="0"/>
    </xf>
    <xf numFmtId="167" fontId="14" fillId="0" borderId="37" xfId="1" applyNumberFormat="1" applyFont="1" applyFill="1" applyBorder="1" applyAlignment="1" applyProtection="1">
      <alignment horizontal="left"/>
      <protection locked="0"/>
    </xf>
    <xf numFmtId="165" fontId="8" fillId="0" borderId="37" xfId="1" applyNumberFormat="1" applyFont="1" applyFill="1" applyBorder="1" applyAlignment="1" applyProtection="1"/>
    <xf numFmtId="167" fontId="0" fillId="0" borderId="37" xfId="1" applyNumberFormat="1" applyFont="1" applyFill="1" applyBorder="1"/>
    <xf numFmtId="167" fontId="0" fillId="0" borderId="37" xfId="1" applyNumberFormat="1" applyFont="1" applyFill="1" applyBorder="1" applyAlignment="1">
      <alignment horizontal="left"/>
    </xf>
    <xf numFmtId="0" fontId="9" fillId="0" borderId="37" xfId="2" applyNumberFormat="1" applyFill="1" applyBorder="1" applyAlignment="1" applyProtection="1">
      <alignment horizontal="left" wrapText="1"/>
      <protection locked="0"/>
    </xf>
    <xf numFmtId="167" fontId="62" fillId="0" borderId="37" xfId="1" applyNumberFormat="1" applyFont="1" applyFill="1" applyBorder="1" applyAlignment="1" applyProtection="1">
      <alignment horizontal="left" vertical="center" wrapText="1"/>
      <protection locked="0"/>
    </xf>
    <xf numFmtId="0" fontId="61" fillId="0" borderId="37" xfId="1" applyNumberFormat="1" applyFont="1" applyFill="1" applyBorder="1" applyAlignment="1" applyProtection="1">
      <alignment horizontal="center"/>
      <protection locked="0"/>
    </xf>
    <xf numFmtId="0" fontId="9" fillId="0" borderId="37" xfId="2" applyFill="1" applyBorder="1" applyAlignment="1" applyProtection="1">
      <alignment horizontal="left"/>
      <protection locked="0"/>
    </xf>
    <xf numFmtId="167" fontId="14" fillId="0" borderId="37" xfId="1" applyNumberFormat="1" applyFont="1" applyFill="1" applyBorder="1" applyAlignment="1" applyProtection="1">
      <alignment horizontal="left" vertical="center"/>
      <protection locked="0"/>
    </xf>
    <xf numFmtId="165" fontId="0" fillId="0" borderId="37" xfId="1" applyNumberFormat="1" applyFont="1" applyFill="1" applyBorder="1" applyAlignment="1" applyProtection="1">
      <alignment horizontal="left" vertical="center"/>
      <protection locked="0"/>
    </xf>
    <xf numFmtId="167" fontId="8" fillId="0" borderId="37" xfId="1" applyNumberFormat="1" applyFont="1" applyFill="1" applyBorder="1" applyAlignment="1">
      <alignment horizontal="left" wrapText="1"/>
    </xf>
    <xf numFmtId="0" fontId="9" fillId="0" borderId="37" xfId="2" applyFill="1" applyBorder="1"/>
    <xf numFmtId="167" fontId="62" fillId="0" borderId="37" xfId="1" applyNumberFormat="1" applyFont="1" applyFill="1" applyBorder="1" applyAlignment="1" applyProtection="1">
      <alignment horizontal="center" vertical="center" wrapText="1"/>
      <protection locked="0"/>
    </xf>
    <xf numFmtId="167" fontId="17" fillId="0" borderId="37" xfId="1" applyNumberFormat="1" applyFont="1" applyFill="1" applyBorder="1" applyAlignment="1" applyProtection="1">
      <alignment horizontal="center" vertical="center" wrapText="1"/>
      <protection locked="0"/>
    </xf>
    <xf numFmtId="165" fontId="17" fillId="0" borderId="37" xfId="1" applyNumberFormat="1" applyFont="1" applyFill="1" applyBorder="1" applyAlignment="1" applyProtection="1">
      <alignment horizontal="center" vertical="center" wrapText="1"/>
      <protection locked="0"/>
    </xf>
    <xf numFmtId="167" fontId="65" fillId="0" borderId="37" xfId="1" applyNumberFormat="1" applyFont="1" applyFill="1" applyBorder="1" applyAlignment="1" applyProtection="1">
      <alignment horizontal="left" wrapText="1"/>
      <protection locked="0"/>
    </xf>
    <xf numFmtId="165" fontId="61" fillId="0" borderId="37" xfId="1" applyNumberFormat="1" applyFont="1" applyFill="1" applyBorder="1" applyAlignment="1" applyProtection="1">
      <alignment horizontal="left" wrapText="1"/>
      <protection locked="0"/>
    </xf>
    <xf numFmtId="165" fontId="61" fillId="0" borderId="37" xfId="1" applyNumberFormat="1" applyFont="1" applyFill="1" applyBorder="1" applyAlignment="1" applyProtection="1">
      <alignment horizontal="left"/>
      <protection locked="0"/>
    </xf>
    <xf numFmtId="0" fontId="0" fillId="0" borderId="37" xfId="1" applyNumberFormat="1" applyFont="1" applyFill="1" applyBorder="1" applyAlignment="1" applyProtection="1">
      <alignment horizontal="left"/>
      <protection locked="0"/>
    </xf>
    <xf numFmtId="165" fontId="0" fillId="0" borderId="37" xfId="1" applyNumberFormat="1" applyFont="1" applyFill="1" applyBorder="1"/>
    <xf numFmtId="0" fontId="9" fillId="0" borderId="37" xfId="2" applyFill="1" applyBorder="1" applyAlignment="1"/>
    <xf numFmtId="165" fontId="0" fillId="0" borderId="37" xfId="1" applyNumberFormat="1" applyFont="1" applyFill="1" applyBorder="1" applyAlignment="1">
      <alignment horizontal="left"/>
    </xf>
    <xf numFmtId="0" fontId="5" fillId="2" borderId="13" xfId="0" applyFont="1" applyFill="1" applyBorder="1" applyAlignment="1" applyProtection="1">
      <alignment horizontal="center" vertical="center" wrapText="1"/>
      <protection locked="0"/>
    </xf>
    <xf numFmtId="0" fontId="0" fillId="0" borderId="50" xfId="0" applyBorder="1" applyAlignment="1" applyProtection="1">
      <alignment horizontal="left"/>
      <protection locked="0"/>
    </xf>
    <xf numFmtId="0" fontId="0" fillId="0" borderId="37" xfId="0" applyBorder="1" applyAlignment="1" applyProtection="1">
      <alignment horizontal="left"/>
      <protection locked="0"/>
    </xf>
    <xf numFmtId="0" fontId="61" fillId="0" borderId="37" xfId="0" applyFont="1" applyBorder="1" applyAlignment="1" applyProtection="1">
      <alignment horizontal="left"/>
      <protection locked="0"/>
    </xf>
    <xf numFmtId="0" fontId="61" fillId="0" borderId="37" xfId="0" applyFont="1" applyBorder="1" applyAlignment="1" applyProtection="1">
      <alignment horizontal="left" wrapText="1"/>
      <protection locked="0"/>
    </xf>
    <xf numFmtId="0" fontId="61" fillId="0" borderId="37" xfId="0" applyFont="1" applyBorder="1" applyAlignment="1" applyProtection="1">
      <alignment horizontal="left" vertical="top" wrapText="1"/>
      <protection locked="0"/>
    </xf>
    <xf numFmtId="0" fontId="0" fillId="0" borderId="37" xfId="0" applyBorder="1" applyAlignment="1" applyProtection="1">
      <alignment horizontal="left" wrapText="1"/>
      <protection locked="0"/>
    </xf>
    <xf numFmtId="0" fontId="61" fillId="0" borderId="37" xfId="0" applyFont="1" applyBorder="1" applyAlignment="1" applyProtection="1">
      <alignment horizontal="center" wrapText="1"/>
      <protection locked="0"/>
    </xf>
    <xf numFmtId="14" fontId="61" fillId="0" borderId="37" xfId="0" applyNumberFormat="1" applyFont="1" applyBorder="1" applyAlignment="1" applyProtection="1">
      <alignment horizontal="center"/>
      <protection locked="0"/>
    </xf>
    <xf numFmtId="14" fontId="5" fillId="0" borderId="37" xfId="0" applyNumberFormat="1" applyFont="1" applyBorder="1" applyAlignment="1" applyProtection="1">
      <alignment horizontal="center"/>
      <protection locked="0"/>
    </xf>
    <xf numFmtId="0" fontId="0" fillId="0" borderId="37" xfId="0" applyBorder="1" applyAlignment="1">
      <alignment wrapText="1"/>
    </xf>
    <xf numFmtId="0" fontId="13" fillId="0" borderId="37" xfId="0" applyFont="1" applyBorder="1" applyAlignment="1" applyProtection="1">
      <alignment horizontal="left"/>
      <protection locked="0"/>
    </xf>
    <xf numFmtId="0" fontId="14" fillId="0" borderId="37" xfId="0" applyFont="1" applyBorder="1" applyAlignment="1">
      <alignment horizontal="left" wrapText="1"/>
    </xf>
    <xf numFmtId="0" fontId="14" fillId="0" borderId="37" xfId="0" applyFont="1" applyBorder="1" applyAlignment="1" applyProtection="1">
      <alignment horizontal="left" wrapText="1"/>
      <protection locked="0"/>
    </xf>
    <xf numFmtId="0" fontId="11" fillId="0" borderId="37" xfId="0" applyFont="1" applyBorder="1" applyAlignment="1" applyProtection="1">
      <alignment horizontal="left" wrapText="1"/>
      <protection locked="0"/>
    </xf>
    <xf numFmtId="0" fontId="11" fillId="0" borderId="37" xfId="0" applyFont="1" applyBorder="1" applyAlignment="1" applyProtection="1">
      <alignment horizontal="center" vertical="center" wrapText="1"/>
      <protection locked="0"/>
    </xf>
    <xf numFmtId="0" fontId="14" fillId="0" borderId="37" xfId="1" applyNumberFormat="1" applyFont="1" applyFill="1" applyBorder="1" applyAlignment="1" applyProtection="1">
      <alignment horizontal="left" wrapText="1"/>
      <protection locked="0"/>
    </xf>
    <xf numFmtId="3" fontId="0" fillId="0" borderId="37" xfId="0" applyNumberFormat="1" applyBorder="1"/>
    <xf numFmtId="0" fontId="0" fillId="0" borderId="37" xfId="0" applyBorder="1" applyAlignment="1" applyProtection="1">
      <alignment horizontal="left" vertical="top"/>
      <protection locked="0"/>
    </xf>
    <xf numFmtId="0" fontId="0" fillId="0" borderId="37" xfId="0" applyBorder="1" applyAlignment="1" applyProtection="1">
      <alignment horizontal="center" wrapText="1"/>
      <protection locked="0"/>
    </xf>
    <xf numFmtId="14" fontId="0" fillId="0" borderId="37" xfId="0" applyNumberFormat="1" applyBorder="1" applyAlignment="1" applyProtection="1">
      <alignment horizontal="center"/>
      <protection locked="0"/>
    </xf>
    <xf numFmtId="0" fontId="0" fillId="0" borderId="37" xfId="0" applyBorder="1" applyAlignment="1" applyProtection="1">
      <alignment horizontal="center"/>
      <protection locked="0"/>
    </xf>
    <xf numFmtId="0" fontId="0" fillId="0" borderId="37" xfId="0" applyBorder="1" applyAlignment="1" applyProtection="1">
      <alignment horizontal="left" vertical="top" wrapText="1"/>
      <protection locked="0"/>
    </xf>
    <xf numFmtId="0" fontId="0" fillId="0" borderId="37" xfId="0" applyBorder="1" applyProtection="1">
      <protection locked="0"/>
    </xf>
    <xf numFmtId="3" fontId="8" fillId="0" borderId="37" xfId="0" applyNumberFormat="1" applyFont="1" applyBorder="1"/>
    <xf numFmtId="0" fontId="0" fillId="0" borderId="37" xfId="0" applyBorder="1"/>
    <xf numFmtId="0" fontId="10" fillId="0" borderId="37" xfId="0" applyFont="1" applyBorder="1" applyAlignment="1">
      <alignment horizontal="left" wrapText="1"/>
    </xf>
    <xf numFmtId="0" fontId="14" fillId="0" borderId="37" xfId="0" applyFont="1" applyBorder="1" applyAlignment="1">
      <alignment horizontal="left"/>
    </xf>
    <xf numFmtId="0" fontId="14" fillId="0" borderId="37" xfId="0" applyFont="1" applyBorder="1" applyAlignment="1">
      <alignment wrapText="1"/>
    </xf>
    <xf numFmtId="0" fontId="27" fillId="0" borderId="37" xfId="0" applyFont="1" applyBorder="1" applyAlignment="1" applyProtection="1">
      <alignment horizontal="left" wrapText="1"/>
      <protection locked="0"/>
    </xf>
    <xf numFmtId="0" fontId="29" fillId="0" borderId="37" xfId="0" applyFont="1" applyBorder="1" applyAlignment="1">
      <alignment horizontal="center" vertical="center"/>
    </xf>
    <xf numFmtId="0" fontId="29" fillId="0" borderId="37" xfId="0" applyFont="1" applyBorder="1" applyAlignment="1">
      <alignment horizontal="center"/>
    </xf>
    <xf numFmtId="0" fontId="0" fillId="0" borderId="37" xfId="0" applyBorder="1" applyAlignment="1">
      <alignment horizontal="center" vertical="top"/>
    </xf>
    <xf numFmtId="0" fontId="0" fillId="0" borderId="37" xfId="0" applyBorder="1" applyAlignment="1" applyProtection="1">
      <alignment horizontal="left" vertical="center"/>
      <protection locked="0"/>
    </xf>
    <xf numFmtId="0" fontId="0" fillId="0" borderId="37" xfId="0" applyBorder="1" applyAlignment="1">
      <alignment horizontal="left"/>
    </xf>
    <xf numFmtId="0" fontId="0" fillId="0" borderId="37" xfId="0" applyBorder="1" applyAlignment="1">
      <alignment horizontal="left" wrapText="1"/>
    </xf>
    <xf numFmtId="2" fontId="61" fillId="0" borderId="37" xfId="0" quotePrefix="1" applyNumberFormat="1" applyFont="1" applyBorder="1" applyAlignment="1" applyProtection="1">
      <alignment horizontal="left" wrapText="1"/>
      <protection locked="0"/>
    </xf>
    <xf numFmtId="0" fontId="13" fillId="0" borderId="37" xfId="0" applyFont="1" applyBorder="1"/>
    <xf numFmtId="0" fontId="0" fillId="0" borderId="37" xfId="0" applyBorder="1" applyAlignment="1">
      <alignment horizontal="left" vertical="top"/>
    </xf>
    <xf numFmtId="0" fontId="63" fillId="0" borderId="37" xfId="0" applyFont="1" applyBorder="1" applyAlignment="1" applyProtection="1">
      <alignment horizontal="left" wrapText="1"/>
      <protection locked="0"/>
    </xf>
    <xf numFmtId="165" fontId="8" fillId="0" borderId="37" xfId="66" applyNumberFormat="1" applyBorder="1" applyAlignment="1" applyProtection="1">
      <alignment horizontal="right"/>
    </xf>
    <xf numFmtId="0" fontId="0" fillId="0" borderId="37" xfId="0" applyBorder="1" applyAlignment="1">
      <alignment vertical="center"/>
    </xf>
    <xf numFmtId="0" fontId="0" fillId="0" borderId="37" xfId="0" applyBorder="1" applyAlignment="1" applyProtection="1">
      <alignment horizontal="left" vertical="center" wrapText="1"/>
      <protection locked="0"/>
    </xf>
    <xf numFmtId="0" fontId="0" fillId="0" borderId="37" xfId="0" applyBorder="1" applyAlignment="1">
      <alignment horizontal="center" vertical="center" wrapText="1"/>
    </xf>
    <xf numFmtId="14" fontId="0" fillId="0" borderId="37" xfId="0" applyNumberFormat="1" applyBorder="1" applyAlignment="1" applyProtection="1">
      <alignment horizontal="center" vertical="center"/>
      <protection locked="0"/>
    </xf>
    <xf numFmtId="9" fontId="61" fillId="0" borderId="37" xfId="0" applyNumberFormat="1" applyFont="1" applyBorder="1" applyAlignment="1" applyProtection="1">
      <alignment horizontal="left"/>
      <protection locked="0"/>
    </xf>
    <xf numFmtId="14" fontId="55" fillId="0" borderId="37" xfId="0" applyNumberFormat="1" applyFont="1" applyBorder="1" applyAlignment="1" applyProtection="1">
      <alignment horizontal="center"/>
      <protection locked="0"/>
    </xf>
    <xf numFmtId="0" fontId="55" fillId="0" borderId="37" xfId="0" applyFont="1" applyBorder="1"/>
    <xf numFmtId="0" fontId="56" fillId="0" borderId="37" xfId="0" applyFont="1" applyBorder="1" applyAlignment="1" applyProtection="1">
      <alignment horizontal="left" wrapText="1"/>
      <protection locked="0"/>
    </xf>
    <xf numFmtId="9" fontId="0" fillId="0" borderId="37" xfId="0" applyNumberFormat="1" applyBorder="1" applyAlignment="1" applyProtection="1">
      <alignment horizontal="left"/>
      <protection locked="0"/>
    </xf>
    <xf numFmtId="0" fontId="0" fillId="0" borderId="37" xfId="0" applyBorder="1" applyAlignment="1" applyProtection="1">
      <alignment wrapText="1"/>
      <protection locked="0"/>
    </xf>
    <xf numFmtId="0" fontId="55" fillId="0" borderId="37" xfId="0" applyFont="1" applyBorder="1" applyAlignment="1" applyProtection="1">
      <alignment horizontal="left" wrapText="1"/>
      <protection locked="0"/>
    </xf>
    <xf numFmtId="0" fontId="8" fillId="0" borderId="37" xfId="0" applyFont="1" applyBorder="1" applyAlignment="1">
      <alignment horizontal="center" wrapText="1"/>
    </xf>
    <xf numFmtId="0" fontId="0" fillId="0" borderId="37" xfId="0" applyBorder="1" applyAlignment="1">
      <alignment horizontal="center"/>
    </xf>
    <xf numFmtId="14" fontId="0" fillId="0" borderId="37" xfId="0" applyNumberFormat="1" applyBorder="1" applyAlignment="1">
      <alignment horizontal="center"/>
    </xf>
    <xf numFmtId="0" fontId="35" fillId="0" borderId="37" xfId="0" applyFont="1" applyBorder="1" applyAlignment="1">
      <alignment horizontal="left"/>
    </xf>
    <xf numFmtId="0" fontId="35" fillId="0" borderId="37" xfId="0" applyFont="1" applyBorder="1"/>
    <xf numFmtId="0" fontId="55" fillId="0" borderId="37" xfId="0" applyFont="1" applyBorder="1" applyAlignment="1">
      <alignment horizontal="center"/>
    </xf>
    <xf numFmtId="165" fontId="8" fillId="0" borderId="37" xfId="63" applyNumberFormat="1" applyBorder="1" applyAlignment="1" applyProtection="1">
      <alignment horizontal="right"/>
    </xf>
    <xf numFmtId="165" fontId="8" fillId="0" borderId="37" xfId="63" applyNumberFormat="1" applyBorder="1" applyProtection="1"/>
    <xf numFmtId="49" fontId="55" fillId="0" borderId="37" xfId="0" applyNumberFormat="1" applyFont="1" applyBorder="1" applyAlignment="1">
      <alignment horizontal="center"/>
    </xf>
    <xf numFmtId="0" fontId="66" fillId="0" borderId="37" xfId="0" applyFont="1" applyBorder="1" applyAlignment="1">
      <alignment horizontal="center"/>
    </xf>
    <xf numFmtId="3" fontId="0" fillId="0" borderId="37" xfId="0" applyNumberFormat="1" applyBorder="1" applyAlignment="1">
      <alignment horizontal="right"/>
    </xf>
    <xf numFmtId="0" fontId="15" fillId="0" borderId="37" xfId="0" applyFont="1" applyBorder="1" applyAlignment="1">
      <alignment horizontal="center" wrapText="1"/>
    </xf>
    <xf numFmtId="0" fontId="37" fillId="0" borderId="37" xfId="0" applyFont="1" applyBorder="1" applyAlignment="1">
      <alignment horizontal="center"/>
    </xf>
    <xf numFmtId="0" fontId="21" fillId="0" borderId="37" xfId="0" applyFont="1" applyBorder="1" applyAlignment="1">
      <alignment horizontal="left"/>
    </xf>
    <xf numFmtId="0" fontId="21" fillId="0" borderId="37" xfId="0" applyFont="1" applyBorder="1"/>
    <xf numFmtId="0" fontId="29" fillId="0" borderId="37" xfId="0" applyFont="1" applyBorder="1" applyAlignment="1">
      <alignment horizontal="center" wrapText="1"/>
    </xf>
    <xf numFmtId="0" fontId="56" fillId="0" borderId="37" xfId="0" applyFont="1" applyBorder="1" applyAlignment="1">
      <alignment vertical="center"/>
    </xf>
    <xf numFmtId="0" fontId="0" fillId="0" borderId="37" xfId="0" applyBorder="1" applyAlignment="1" applyProtection="1">
      <alignment vertical="top"/>
      <protection locked="0"/>
    </xf>
    <xf numFmtId="0" fontId="0" fillId="0" borderId="37" xfId="0" applyBorder="1" applyAlignment="1">
      <alignment vertical="top"/>
    </xf>
    <xf numFmtId="0" fontId="29" fillId="0" borderId="37" xfId="0" applyFont="1" applyBorder="1" applyAlignment="1" applyProtection="1">
      <alignment horizontal="left"/>
      <protection locked="0"/>
    </xf>
    <xf numFmtId="0" fontId="29" fillId="0" borderId="37" xfId="0" applyFont="1" applyBorder="1" applyAlignment="1" applyProtection="1">
      <alignment horizontal="left" vertical="top"/>
      <protection locked="0"/>
    </xf>
    <xf numFmtId="0" fontId="14" fillId="0" borderId="37" xfId="0" applyFont="1" applyBorder="1" applyAlignment="1" applyProtection="1">
      <alignment horizontal="left"/>
      <protection locked="0"/>
    </xf>
    <xf numFmtId="0" fontId="30" fillId="0" borderId="37" xfId="0" applyFont="1" applyBorder="1"/>
    <xf numFmtId="0" fontId="61" fillId="0" borderId="37" xfId="50" applyFont="1" applyBorder="1" applyAlignment="1" applyProtection="1">
      <alignment horizontal="left" vertical="top" wrapText="1"/>
      <protection locked="0"/>
    </xf>
    <xf numFmtId="0" fontId="31" fillId="0" borderId="37" xfId="0" applyFont="1" applyBorder="1" applyAlignment="1">
      <alignment horizontal="left"/>
    </xf>
    <xf numFmtId="0" fontId="29" fillId="0" borderId="37" xfId="0" applyFont="1" applyBorder="1" applyAlignment="1">
      <alignment wrapText="1"/>
    </xf>
    <xf numFmtId="0" fontId="29" fillId="0" borderId="37" xfId="0" applyFont="1" applyBorder="1"/>
    <xf numFmtId="167" fontId="29" fillId="0" borderId="37" xfId="1" applyNumberFormat="1" applyFont="1" applyFill="1" applyBorder="1" applyAlignment="1">
      <alignment horizontal="center"/>
    </xf>
    <xf numFmtId="0" fontId="32" fillId="0" borderId="37" xfId="0" applyFont="1" applyBorder="1" applyAlignment="1">
      <alignment wrapText="1"/>
    </xf>
    <xf numFmtId="0" fontId="32" fillId="0" borderId="37" xfId="0" applyFont="1" applyBorder="1"/>
    <xf numFmtId="0" fontId="33" fillId="0" borderId="37" xfId="0" applyFont="1" applyBorder="1" applyAlignment="1">
      <alignment wrapText="1"/>
    </xf>
    <xf numFmtId="0" fontId="34" fillId="0" borderId="37" xfId="0" applyFont="1" applyBorder="1" applyAlignment="1">
      <alignment horizontal="left"/>
    </xf>
    <xf numFmtId="0" fontId="0" fillId="0" borderId="37" xfId="0" applyBorder="1" applyAlignment="1">
      <alignment horizontal="center" wrapText="1"/>
    </xf>
    <xf numFmtId="0" fontId="53" fillId="0" borderId="37" xfId="0" applyFont="1" applyBorder="1" applyAlignment="1" applyProtection="1">
      <alignment horizontal="left" wrapText="1"/>
      <protection locked="0"/>
    </xf>
    <xf numFmtId="0" fontId="0" fillId="0" borderId="37" xfId="0" applyBorder="1" applyAlignment="1">
      <alignment horizontal="left" vertical="top" wrapText="1"/>
    </xf>
    <xf numFmtId="0" fontId="0" fillId="0" borderId="52" xfId="0" applyBorder="1" applyAlignment="1" applyProtection="1">
      <alignment horizontal="left"/>
      <protection locked="0"/>
    </xf>
    <xf numFmtId="0" fontId="0" fillId="63" borderId="52" xfId="0" applyFill="1" applyBorder="1" applyAlignment="1" applyProtection="1">
      <alignment horizontal="left"/>
      <protection locked="0"/>
    </xf>
    <xf numFmtId="165" fontId="1" fillId="0" borderId="37" xfId="1" applyNumberFormat="1" applyFont="1" applyFill="1" applyBorder="1" applyAlignment="1" applyProtection="1">
      <alignment horizontal="left"/>
      <protection locked="0"/>
    </xf>
    <xf numFmtId="167" fontId="1" fillId="0" borderId="37" xfId="1" applyNumberFormat="1" applyFont="1" applyFill="1" applyBorder="1" applyProtection="1">
      <protection locked="0"/>
    </xf>
    <xf numFmtId="165" fontId="1" fillId="0" borderId="37" xfId="1" applyNumberFormat="1" applyFont="1" applyFill="1" applyBorder="1" applyProtection="1">
      <protection locked="0"/>
    </xf>
    <xf numFmtId="167" fontId="1" fillId="0" borderId="37" xfId="1" applyNumberFormat="1" applyFont="1" applyFill="1" applyBorder="1" applyAlignment="1" applyProtection="1">
      <alignment horizontal="left"/>
      <protection locked="0"/>
    </xf>
    <xf numFmtId="165" fontId="1" fillId="0" borderId="37" xfId="1" applyNumberFormat="1" applyFont="1" applyFill="1" applyBorder="1" applyAlignment="1" applyProtection="1">
      <alignment horizontal="left" wrapText="1"/>
      <protection locked="0"/>
    </xf>
    <xf numFmtId="0" fontId="1" fillId="0" borderId="37" xfId="0" applyFont="1" applyBorder="1" applyAlignment="1" applyProtection="1">
      <alignment horizontal="left"/>
      <protection locked="0"/>
    </xf>
    <xf numFmtId="0" fontId="7" fillId="0" borderId="13" xfId="0" applyFont="1" applyBorder="1"/>
    <xf numFmtId="167" fontId="7" fillId="0" borderId="13" xfId="0" applyNumberFormat="1" applyFont="1" applyBorder="1"/>
    <xf numFmtId="0" fontId="51" fillId="0" borderId="0" xfId="0" applyFont="1" applyProtection="1">
      <protection locked="0"/>
    </xf>
    <xf numFmtId="9" fontId="1" fillId="0" borderId="37" xfId="4" applyFont="1" applyFill="1" applyBorder="1" applyAlignment="1" applyProtection="1">
      <alignment horizontal="left"/>
      <protection locked="0"/>
    </xf>
    <xf numFmtId="0" fontId="1" fillId="0" borderId="37" xfId="0" applyFont="1" applyBorder="1"/>
    <xf numFmtId="167" fontId="1" fillId="0" borderId="37" xfId="1" applyNumberFormat="1" applyFont="1" applyFill="1" applyBorder="1"/>
    <xf numFmtId="167" fontId="1" fillId="0" borderId="37" xfId="1" applyNumberFormat="1" applyFont="1" applyFill="1" applyBorder="1" applyAlignment="1">
      <alignment horizontal="left"/>
    </xf>
    <xf numFmtId="0" fontId="1" fillId="0" borderId="37" xfId="0" applyFont="1" applyBorder="1" applyAlignment="1">
      <alignment horizontal="center" wrapText="1"/>
    </xf>
    <xf numFmtId="14" fontId="1" fillId="0" borderId="37" xfId="0" applyNumberFormat="1" applyFont="1" applyBorder="1" applyAlignment="1">
      <alignment horizontal="center"/>
    </xf>
    <xf numFmtId="165" fontId="1" fillId="0" borderId="37" xfId="1" applyNumberFormat="1" applyFont="1" applyFill="1" applyBorder="1" applyAlignment="1">
      <alignment horizontal="left"/>
    </xf>
    <xf numFmtId="0" fontId="51" fillId="0" borderId="37" xfId="0" applyFont="1" applyBorder="1" applyAlignment="1" applyProtection="1">
      <alignment horizontal="left"/>
      <protection locked="0"/>
    </xf>
    <xf numFmtId="0" fontId="51" fillId="0" borderId="37" xfId="0" applyFont="1" applyBorder="1" applyAlignment="1" applyProtection="1">
      <alignment horizontal="left" vertical="top"/>
      <protection locked="0"/>
    </xf>
    <xf numFmtId="0" fontId="51" fillId="0" borderId="37" xfId="0" applyFont="1" applyBorder="1" applyAlignment="1" applyProtection="1">
      <alignment horizontal="left" vertical="top" wrapText="1"/>
      <protection locked="0"/>
    </xf>
    <xf numFmtId="167" fontId="51" fillId="0" borderId="37" xfId="1" applyNumberFormat="1" applyFont="1" applyFill="1" applyBorder="1" applyProtection="1">
      <protection locked="0"/>
    </xf>
    <xf numFmtId="165" fontId="51" fillId="0" borderId="37" xfId="1" applyNumberFormat="1" applyFont="1" applyFill="1" applyBorder="1" applyProtection="1">
      <protection locked="0"/>
    </xf>
    <xf numFmtId="167" fontId="73" fillId="0" borderId="37" xfId="1" applyNumberFormat="1" applyFont="1" applyFill="1" applyBorder="1" applyAlignment="1" applyProtection="1">
      <alignment horizontal="left" wrapText="1"/>
      <protection locked="0"/>
    </xf>
    <xf numFmtId="167" fontId="51" fillId="0" borderId="37" xfId="1" applyNumberFormat="1" applyFont="1" applyFill="1" applyBorder="1" applyAlignment="1" applyProtection="1">
      <alignment horizontal="left" wrapText="1"/>
      <protection locked="0"/>
    </xf>
    <xf numFmtId="167" fontId="51" fillId="0" borderId="37" xfId="1" applyNumberFormat="1" applyFont="1" applyFill="1" applyBorder="1" applyAlignment="1" applyProtection="1">
      <alignment horizontal="left" vertical="center" wrapText="1"/>
      <protection locked="0"/>
    </xf>
    <xf numFmtId="165" fontId="74" fillId="0" borderId="37" xfId="1" applyNumberFormat="1" applyFont="1" applyFill="1" applyBorder="1" applyAlignment="1" applyProtection="1">
      <alignment vertical="center"/>
    </xf>
    <xf numFmtId="167" fontId="51" fillId="0" borderId="37" xfId="1" applyNumberFormat="1" applyFont="1" applyFill="1" applyBorder="1" applyAlignment="1" applyProtection="1">
      <alignment horizontal="left" vertical="center"/>
      <protection locked="0"/>
    </xf>
    <xf numFmtId="3" fontId="51" fillId="0" borderId="37" xfId="0" applyNumberFormat="1" applyFont="1" applyBorder="1" applyAlignment="1">
      <alignment vertical="center"/>
    </xf>
    <xf numFmtId="167" fontId="51" fillId="0" borderId="37" xfId="1" applyNumberFormat="1" applyFont="1" applyFill="1" applyBorder="1" applyAlignment="1">
      <alignment horizontal="left" wrapText="1"/>
    </xf>
    <xf numFmtId="0" fontId="51" fillId="0" borderId="37" xfId="0" applyFont="1" applyBorder="1" applyAlignment="1" applyProtection="1">
      <alignment horizontal="center"/>
      <protection locked="0"/>
    </xf>
    <xf numFmtId="165" fontId="74" fillId="0" borderId="37" xfId="1" applyNumberFormat="1" applyFont="1" applyFill="1" applyBorder="1" applyAlignment="1" applyProtection="1"/>
    <xf numFmtId="167" fontId="51" fillId="0" borderId="37" xfId="1" applyNumberFormat="1" applyFont="1" applyFill="1" applyBorder="1" applyAlignment="1" applyProtection="1">
      <alignment horizontal="left"/>
      <protection locked="0"/>
    </xf>
    <xf numFmtId="165" fontId="51" fillId="0" borderId="37" xfId="1" applyNumberFormat="1" applyFont="1" applyFill="1" applyBorder="1" applyAlignment="1" applyProtection="1">
      <alignment horizontal="left"/>
      <protection locked="0"/>
    </xf>
    <xf numFmtId="165" fontId="51" fillId="0" borderId="37" xfId="1" applyNumberFormat="1" applyFont="1" applyFill="1" applyBorder="1" applyAlignment="1" applyProtection="1">
      <alignment horizontal="left" wrapText="1"/>
      <protection locked="0"/>
    </xf>
    <xf numFmtId="0" fontId="51" fillId="0" borderId="37" xfId="4" applyNumberFormat="1" applyFont="1" applyFill="1" applyBorder="1" applyAlignment="1" applyProtection="1">
      <alignment horizontal="left" wrapText="1"/>
      <protection locked="0"/>
    </xf>
    <xf numFmtId="0" fontId="51" fillId="0" borderId="37" xfId="1" applyNumberFormat="1" applyFont="1" applyFill="1" applyBorder="1" applyAlignment="1" applyProtection="1">
      <alignment horizontal="left"/>
      <protection locked="0"/>
    </xf>
    <xf numFmtId="0" fontId="51" fillId="0" borderId="37" xfId="0" applyFont="1" applyBorder="1" applyAlignment="1" applyProtection="1">
      <alignment horizontal="left" wrapText="1"/>
      <protection locked="0"/>
    </xf>
    <xf numFmtId="0" fontId="51" fillId="0" borderId="37" xfId="1" applyNumberFormat="1" applyFont="1" applyFill="1" applyBorder="1" applyAlignment="1" applyProtection="1">
      <alignment horizontal="center"/>
      <protection locked="0"/>
    </xf>
    <xf numFmtId="167" fontId="51" fillId="0" borderId="37" xfId="1" applyNumberFormat="1" applyFont="1" applyFill="1" applyBorder="1" applyAlignment="1" applyProtection="1">
      <alignment horizontal="right"/>
      <protection locked="0"/>
    </xf>
    <xf numFmtId="9" fontId="51" fillId="0" borderId="37" xfId="4" applyFont="1" applyFill="1" applyBorder="1" applyAlignment="1" applyProtection="1">
      <alignment horizontal="left"/>
      <protection locked="0"/>
    </xf>
    <xf numFmtId="9" fontId="51" fillId="0" borderId="37" xfId="0" applyNumberFormat="1" applyFont="1" applyBorder="1" applyAlignment="1" applyProtection="1">
      <alignment horizontal="left"/>
      <protection locked="0"/>
    </xf>
    <xf numFmtId="167" fontId="5" fillId="59" borderId="21" xfId="0" applyNumberFormat="1" applyFont="1" applyFill="1" applyBorder="1" applyAlignment="1">
      <alignment horizontal="left" vertical="center" wrapText="1"/>
    </xf>
    <xf numFmtId="167" fontId="0" fillId="0" borderId="37" xfId="1" applyNumberFormat="1" applyFont="1" applyBorder="1"/>
    <xf numFmtId="0" fontId="61" fillId="0" borderId="37" xfId="50" applyFont="1" applyBorder="1" applyAlignment="1" applyProtection="1">
      <alignment horizontal="left"/>
      <protection locked="0"/>
    </xf>
    <xf numFmtId="0" fontId="61" fillId="0" borderId="37" xfId="50" applyFont="1" applyBorder="1" applyAlignment="1">
      <alignment horizontal="left" vertical="top"/>
    </xf>
    <xf numFmtId="0" fontId="0" fillId="66" borderId="37" xfId="0" applyFill="1" applyBorder="1" applyAlignment="1" applyProtection="1">
      <alignment horizontal="left"/>
      <protection locked="0"/>
    </xf>
    <xf numFmtId="167" fontId="75" fillId="0" borderId="37" xfId="1" applyNumberFormat="1" applyFont="1" applyFill="1" applyBorder="1" applyAlignment="1">
      <alignment horizontal="left" wrapText="1"/>
    </xf>
    <xf numFmtId="0" fontId="7" fillId="0" borderId="0" xfId="0" applyFont="1" applyAlignment="1">
      <alignment horizontal="center"/>
    </xf>
    <xf numFmtId="167" fontId="7" fillId="0" borderId="0" xfId="1" applyNumberFormat="1" applyFont="1" applyFill="1" applyProtection="1">
      <protection locked="0"/>
    </xf>
    <xf numFmtId="167" fontId="7" fillId="0" borderId="0" xfId="1" applyNumberFormat="1" applyFont="1" applyProtection="1">
      <protection locked="0"/>
    </xf>
    <xf numFmtId="0" fontId="61" fillId="6" borderId="37" xfId="0" applyFont="1" applyFill="1" applyBorder="1" applyAlignment="1" applyProtection="1">
      <alignment horizontal="left" wrapText="1"/>
      <protection locked="0"/>
    </xf>
    <xf numFmtId="0" fontId="61" fillId="6" borderId="37" xfId="0" applyFont="1" applyFill="1" applyBorder="1" applyAlignment="1" applyProtection="1">
      <alignment horizontal="left" vertical="top" wrapText="1"/>
      <protection locked="0"/>
    </xf>
    <xf numFmtId="14" fontId="61" fillId="6" borderId="37" xfId="0" applyNumberFormat="1" applyFont="1" applyFill="1" applyBorder="1" applyAlignment="1" applyProtection="1">
      <alignment horizontal="center"/>
      <protection locked="0"/>
    </xf>
    <xf numFmtId="0" fontId="61" fillId="6" borderId="37" xfId="0" applyFont="1" applyFill="1" applyBorder="1" applyAlignment="1" applyProtection="1">
      <alignment horizontal="center" wrapText="1"/>
      <protection locked="0"/>
    </xf>
    <xf numFmtId="0" fontId="61" fillId="6" borderId="37" xfId="0" applyFont="1" applyFill="1" applyBorder="1" applyAlignment="1" applyProtection="1">
      <alignment horizontal="left"/>
      <protection locked="0"/>
    </xf>
    <xf numFmtId="165" fontId="0" fillId="6" borderId="37" xfId="1" applyNumberFormat="1" applyFont="1" applyFill="1" applyBorder="1" applyAlignment="1" applyProtection="1">
      <alignment horizontal="left" wrapText="1"/>
      <protection locked="0"/>
    </xf>
    <xf numFmtId="0" fontId="61" fillId="6" borderId="37" xfId="1" applyNumberFormat="1" applyFont="1" applyFill="1" applyBorder="1" applyAlignment="1" applyProtection="1">
      <alignment horizontal="center" wrapText="1"/>
      <protection locked="0"/>
    </xf>
    <xf numFmtId="165" fontId="0" fillId="6" borderId="37" xfId="1" applyNumberFormat="1" applyFont="1" applyFill="1" applyBorder="1" applyAlignment="1" applyProtection="1">
      <alignment horizontal="left"/>
      <protection locked="0"/>
    </xf>
    <xf numFmtId="167" fontId="14" fillId="6" borderId="37" xfId="1" applyNumberFormat="1" applyFont="1" applyFill="1" applyBorder="1" applyAlignment="1" applyProtection="1">
      <alignment horizontal="left" wrapText="1"/>
      <protection locked="0"/>
    </xf>
    <xf numFmtId="3" fontId="0" fillId="6" borderId="37" xfId="0" applyNumberFormat="1" applyFill="1" applyBorder="1"/>
    <xf numFmtId="167" fontId="59" fillId="6" borderId="37" xfId="1" applyNumberFormat="1" applyFont="1" applyFill="1" applyBorder="1" applyAlignment="1" applyProtection="1">
      <alignment horizontal="left" vertical="center" wrapText="1"/>
      <protection locked="0"/>
    </xf>
    <xf numFmtId="0" fontId="58" fillId="6" borderId="37" xfId="1" applyNumberFormat="1" applyFont="1" applyFill="1" applyBorder="1" applyAlignment="1" applyProtection="1">
      <alignment horizontal="center"/>
      <protection locked="0"/>
    </xf>
    <xf numFmtId="167" fontId="0" fillId="6" borderId="37" xfId="1" applyNumberFormat="1" applyFont="1" applyFill="1" applyBorder="1" applyAlignment="1" applyProtection="1">
      <alignment horizontal="left"/>
      <protection locked="0"/>
    </xf>
    <xf numFmtId="0" fontId="0" fillId="6" borderId="37" xfId="0" applyFill="1" applyBorder="1" applyAlignment="1" applyProtection="1">
      <alignment horizontal="left" wrapText="1"/>
      <protection locked="0"/>
    </xf>
    <xf numFmtId="9" fontId="0" fillId="6" borderId="37" xfId="4" applyFont="1" applyFill="1" applyBorder="1" applyAlignment="1" applyProtection="1">
      <alignment horizontal="left"/>
      <protection locked="0"/>
    </xf>
    <xf numFmtId="0" fontId="58" fillId="6" borderId="37" xfId="1" applyNumberFormat="1" applyFont="1" applyFill="1" applyBorder="1" applyAlignment="1" applyProtection="1">
      <alignment horizontal="left" wrapText="1"/>
      <protection locked="0"/>
    </xf>
    <xf numFmtId="0" fontId="0" fillId="6" borderId="37" xfId="0" applyFill="1" applyBorder="1" applyAlignment="1" applyProtection="1">
      <alignment horizontal="center"/>
      <protection locked="0"/>
    </xf>
    <xf numFmtId="167" fontId="62" fillId="6" borderId="37" xfId="1" applyNumberFormat="1" applyFont="1" applyFill="1" applyBorder="1" applyAlignment="1" applyProtection="1">
      <alignment horizontal="left" vertical="center" wrapText="1"/>
      <protection locked="0"/>
    </xf>
    <xf numFmtId="0" fontId="1" fillId="6" borderId="37" xfId="1" applyNumberFormat="1" applyFont="1" applyFill="1" applyBorder="1" applyAlignment="1" applyProtection="1">
      <alignment horizontal="center"/>
      <protection locked="0"/>
    </xf>
    <xf numFmtId="0" fontId="0" fillId="6" borderId="37" xfId="1" applyNumberFormat="1" applyFont="1" applyFill="1" applyBorder="1" applyAlignment="1" applyProtection="1">
      <alignment horizontal="center"/>
      <protection locked="0"/>
    </xf>
    <xf numFmtId="0" fontId="0" fillId="6" borderId="37" xfId="0" applyFill="1" applyBorder="1" applyAlignment="1" applyProtection="1">
      <alignment horizontal="left" vertical="top"/>
      <protection locked="0"/>
    </xf>
    <xf numFmtId="165" fontId="1" fillId="6" borderId="37" xfId="1" applyNumberFormat="1" applyFont="1" applyFill="1" applyBorder="1" applyAlignment="1" applyProtection="1">
      <alignment horizontal="left"/>
      <protection locked="0"/>
    </xf>
    <xf numFmtId="165" fontId="8" fillId="6" borderId="37" xfId="1" applyNumberFormat="1" applyFont="1" applyFill="1" applyBorder="1" applyAlignment="1" applyProtection="1"/>
    <xf numFmtId="0" fontId="0" fillId="6" borderId="37" xfId="0" applyFill="1" applyBorder="1" applyAlignment="1">
      <alignment horizontal="left"/>
    </xf>
    <xf numFmtId="167" fontId="1" fillId="6" borderId="37" xfId="1" applyNumberFormat="1" applyFont="1" applyFill="1" applyBorder="1" applyAlignment="1" applyProtection="1">
      <alignment horizontal="left"/>
      <protection locked="0"/>
    </xf>
    <xf numFmtId="0" fontId="1" fillId="6" borderId="37" xfId="0" applyFont="1" applyFill="1" applyBorder="1" applyAlignment="1" applyProtection="1">
      <alignment horizontal="left"/>
      <protection locked="0"/>
    </xf>
    <xf numFmtId="0" fontId="0" fillId="6" borderId="37" xfId="0" applyFill="1" applyBorder="1" applyAlignment="1" applyProtection="1">
      <alignment horizontal="left"/>
      <protection locked="0"/>
    </xf>
    <xf numFmtId="14" fontId="0" fillId="6" borderId="37" xfId="0" applyNumberFormat="1" applyFill="1" applyBorder="1" applyAlignment="1" applyProtection="1">
      <alignment horizontal="center"/>
      <protection locked="0"/>
    </xf>
    <xf numFmtId="0" fontId="0" fillId="6" borderId="37" xfId="0" applyFill="1" applyBorder="1" applyAlignment="1" applyProtection="1">
      <alignment horizontal="center" wrapText="1"/>
      <protection locked="0"/>
    </xf>
    <xf numFmtId="167" fontId="14" fillId="6" borderId="37" xfId="1" applyNumberFormat="1" applyFont="1" applyFill="1" applyBorder="1" applyAlignment="1">
      <alignment horizontal="left" wrapText="1"/>
    </xf>
    <xf numFmtId="167" fontId="0" fillId="6" borderId="37" xfId="1" applyNumberFormat="1" applyFont="1" applyFill="1" applyBorder="1" applyAlignment="1" applyProtection="1">
      <alignment horizontal="right"/>
      <protection locked="0"/>
    </xf>
    <xf numFmtId="9" fontId="61" fillId="6" borderId="37" xfId="0" applyNumberFormat="1" applyFont="1" applyFill="1" applyBorder="1" applyAlignment="1" applyProtection="1">
      <alignment horizontal="left"/>
      <protection locked="0"/>
    </xf>
    <xf numFmtId="0" fontId="61" fillId="6" borderId="37" xfId="1" applyNumberFormat="1" applyFont="1" applyFill="1" applyBorder="1" applyAlignment="1" applyProtection="1">
      <alignment horizontal="center"/>
      <protection locked="0"/>
    </xf>
    <xf numFmtId="0" fontId="0" fillId="6" borderId="37" xfId="0" applyFill="1" applyBorder="1" applyAlignment="1" applyProtection="1">
      <alignment horizontal="left" vertical="top" wrapText="1"/>
      <protection locked="0"/>
    </xf>
    <xf numFmtId="165" fontId="1" fillId="6" borderId="37" xfId="1" applyNumberFormat="1" applyFont="1" applyFill="1" applyBorder="1" applyAlignment="1" applyProtection="1">
      <alignment horizontal="left" wrapText="1"/>
      <protection locked="0"/>
    </xf>
    <xf numFmtId="0" fontId="0" fillId="6" borderId="37" xfId="4" applyNumberFormat="1" applyFont="1" applyFill="1" applyBorder="1" applyAlignment="1" applyProtection="1">
      <alignment horizontal="left" wrapText="1"/>
      <protection locked="0"/>
    </xf>
    <xf numFmtId="0" fontId="61" fillId="6" borderId="37" xfId="1" applyNumberFormat="1" applyFont="1" applyFill="1" applyBorder="1" applyAlignment="1" applyProtection="1">
      <alignment horizontal="left"/>
      <protection locked="0"/>
    </xf>
    <xf numFmtId="167" fontId="0" fillId="6" borderId="37" xfId="1" applyNumberFormat="1" applyFont="1" applyFill="1" applyBorder="1" applyProtection="1">
      <protection locked="0"/>
    </xf>
    <xf numFmtId="0" fontId="51" fillId="6" borderId="37" xfId="0" applyFont="1" applyFill="1" applyBorder="1" applyAlignment="1" applyProtection="1">
      <alignment horizontal="left" vertical="center"/>
      <protection locked="0"/>
    </xf>
    <xf numFmtId="0" fontId="51" fillId="6" borderId="37" xfId="0" applyFont="1" applyFill="1" applyBorder="1" applyAlignment="1" applyProtection="1">
      <alignment horizontal="left" vertical="top"/>
      <protection locked="0"/>
    </xf>
    <xf numFmtId="14" fontId="0" fillId="6" borderId="37" xfId="0" applyNumberFormat="1" applyFill="1" applyBorder="1" applyAlignment="1" applyProtection="1">
      <alignment horizontal="center" vertical="center"/>
      <protection locked="0"/>
    </xf>
    <xf numFmtId="0" fontId="0" fillId="6" borderId="37" xfId="0" applyFill="1" applyBorder="1" applyAlignment="1" applyProtection="1">
      <alignment horizontal="center" vertical="center"/>
      <protection locked="0"/>
    </xf>
    <xf numFmtId="0" fontId="51" fillId="6" borderId="37" xfId="0" applyFont="1" applyFill="1" applyBorder="1" applyAlignment="1" applyProtection="1">
      <alignment horizontal="center" vertical="center"/>
      <protection locked="0"/>
    </xf>
    <xf numFmtId="0" fontId="0" fillId="6" borderId="37" xfId="0" applyFill="1" applyBorder="1" applyAlignment="1" applyProtection="1">
      <alignment horizontal="left" vertical="center"/>
      <protection locked="0"/>
    </xf>
    <xf numFmtId="0" fontId="51" fillId="6" borderId="37" xfId="0" applyFont="1" applyFill="1" applyBorder="1" applyAlignment="1" applyProtection="1">
      <alignment horizontal="left" vertical="top" wrapText="1"/>
      <protection locked="0"/>
    </xf>
    <xf numFmtId="165" fontId="1" fillId="6" borderId="37" xfId="1" applyNumberFormat="1" applyFont="1" applyFill="1" applyBorder="1" applyAlignment="1" applyProtection="1">
      <alignment horizontal="left" vertical="center"/>
      <protection locked="0"/>
    </xf>
    <xf numFmtId="167" fontId="51" fillId="6" borderId="37" xfId="1" applyNumberFormat="1" applyFont="1" applyFill="1" applyBorder="1" applyAlignment="1" applyProtection="1">
      <alignment horizontal="left" vertical="center"/>
      <protection locked="0"/>
    </xf>
    <xf numFmtId="165" fontId="51" fillId="6" borderId="37" xfId="1" applyNumberFormat="1" applyFont="1" applyFill="1" applyBorder="1" applyAlignment="1" applyProtection="1">
      <alignment horizontal="left" vertical="center"/>
      <protection locked="0"/>
    </xf>
    <xf numFmtId="0" fontId="51" fillId="6" borderId="37" xfId="4" applyNumberFormat="1" applyFont="1" applyFill="1" applyBorder="1" applyAlignment="1" applyProtection="1">
      <alignment horizontal="left" vertical="center" wrapText="1"/>
      <protection locked="0"/>
    </xf>
    <xf numFmtId="9" fontId="51" fillId="6" borderId="37" xfId="4" applyFont="1" applyFill="1" applyBorder="1" applyAlignment="1" applyProtection="1">
      <alignment horizontal="left" vertical="center"/>
      <protection locked="0"/>
    </xf>
    <xf numFmtId="0" fontId="51" fillId="6" borderId="37" xfId="1" applyNumberFormat="1" applyFont="1" applyFill="1" applyBorder="1" applyAlignment="1" applyProtection="1">
      <alignment horizontal="left" vertical="center"/>
      <protection locked="0"/>
    </xf>
    <xf numFmtId="0" fontId="8" fillId="9" borderId="37" xfId="0" applyFont="1" applyFill="1" applyBorder="1" applyAlignment="1">
      <alignment horizontal="center" wrapText="1"/>
    </xf>
    <xf numFmtId="0" fontId="0" fillId="9" borderId="37" xfId="0" applyFill="1" applyBorder="1" applyAlignment="1">
      <alignment horizontal="center" wrapText="1"/>
    </xf>
    <xf numFmtId="167" fontId="0" fillId="10" borderId="37" xfId="1" applyNumberFormat="1" applyFont="1" applyFill="1" applyBorder="1" applyProtection="1">
      <protection locked="0"/>
    </xf>
    <xf numFmtId="167" fontId="6" fillId="24" borderId="53" xfId="1" applyNumberFormat="1" applyFont="1" applyFill="1" applyBorder="1" applyAlignment="1" applyProtection="1">
      <alignment horizontal="center" vertical="center" wrapText="1"/>
      <protection locked="0"/>
    </xf>
    <xf numFmtId="167" fontId="5" fillId="0" borderId="0" xfId="0" applyNumberFormat="1" applyFont="1" applyAlignment="1">
      <alignment horizontal="right" vertical="center" wrapText="1"/>
    </xf>
    <xf numFmtId="9" fontId="5" fillId="0" borderId="0" xfId="4" applyFont="1" applyFill="1" applyBorder="1" applyAlignment="1">
      <alignment horizontal="right" vertical="center" wrapText="1"/>
    </xf>
    <xf numFmtId="167" fontId="5" fillId="0" borderId="0" xfId="1" applyNumberFormat="1" applyFont="1" applyFill="1" applyAlignment="1">
      <alignment horizontal="left" vertical="center" wrapText="1"/>
    </xf>
    <xf numFmtId="0" fontId="7" fillId="0" borderId="20" xfId="0" applyFont="1" applyBorder="1"/>
    <xf numFmtId="0" fontId="0" fillId="0" borderId="0" xfId="0" pivotButton="1" applyAlignment="1">
      <alignment horizontal="center" vertical="center"/>
    </xf>
    <xf numFmtId="167" fontId="14" fillId="0" borderId="37" xfId="1" applyNumberFormat="1" applyFont="1" applyFill="1" applyBorder="1" applyAlignment="1" applyProtection="1">
      <alignment horizontal="left" vertical="top" wrapText="1"/>
      <protection locked="0"/>
    </xf>
    <xf numFmtId="0" fontId="14" fillId="0" borderId="37" xfId="0" applyFont="1" applyBorder="1" applyAlignment="1">
      <alignment horizontal="left" vertical="top" wrapText="1"/>
    </xf>
    <xf numFmtId="167" fontId="14" fillId="0" borderId="37" xfId="1" applyNumberFormat="1" applyFont="1" applyFill="1" applyBorder="1" applyAlignment="1" applyProtection="1">
      <alignment horizontal="left" vertical="top"/>
      <protection locked="0"/>
    </xf>
    <xf numFmtId="0" fontId="14" fillId="0" borderId="37" xfId="0" applyFont="1" applyBorder="1" applyAlignment="1">
      <alignment horizontal="left" vertical="top"/>
    </xf>
    <xf numFmtId="167" fontId="14" fillId="6" borderId="37" xfId="1" applyNumberFormat="1" applyFont="1" applyFill="1" applyBorder="1" applyAlignment="1" applyProtection="1">
      <alignment horizontal="left" vertical="top" wrapText="1"/>
      <protection locked="0"/>
    </xf>
    <xf numFmtId="167" fontId="14" fillId="6" borderId="37" xfId="1" applyNumberFormat="1" applyFont="1" applyFill="1" applyBorder="1" applyAlignment="1" applyProtection="1">
      <alignment horizontal="left" vertical="top"/>
      <protection locked="0"/>
    </xf>
    <xf numFmtId="0" fontId="14" fillId="6" borderId="37" xfId="0" applyFont="1" applyFill="1" applyBorder="1" applyAlignment="1">
      <alignment horizontal="left" vertical="top"/>
    </xf>
    <xf numFmtId="0" fontId="14" fillId="0" borderId="37" xfId="0" applyFont="1" applyBorder="1" applyAlignment="1" applyProtection="1">
      <alignment horizontal="left" vertical="top" wrapText="1"/>
      <protection locked="0"/>
    </xf>
    <xf numFmtId="167" fontId="0" fillId="0" borderId="0" xfId="1" applyNumberFormat="1" applyFont="1" applyAlignment="1" applyProtection="1">
      <alignment horizontal="left" vertical="top" wrapText="1"/>
      <protection locked="0"/>
    </xf>
    <xf numFmtId="167" fontId="60" fillId="0" borderId="0" xfId="1" applyNumberFormat="1" applyFont="1" applyFill="1" applyAlignment="1" applyProtection="1">
      <alignment horizontal="left" vertical="top" wrapText="1"/>
      <protection locked="0"/>
    </xf>
    <xf numFmtId="0" fontId="1" fillId="0" borderId="37" xfId="0" applyFont="1" applyBorder="1" applyAlignment="1">
      <alignment horizontal="left" vertical="top"/>
    </xf>
    <xf numFmtId="0" fontId="76" fillId="0" borderId="0" xfId="0" applyFont="1"/>
    <xf numFmtId="0" fontId="5" fillId="67" borderId="20" xfId="0" applyFont="1" applyFill="1" applyBorder="1" applyAlignment="1">
      <alignment horizontal="center" vertical="center"/>
    </xf>
    <xf numFmtId="0" fontId="5" fillId="67" borderId="20" xfId="0" applyFont="1" applyFill="1" applyBorder="1" applyAlignment="1">
      <alignment horizontal="center" vertical="center" wrapText="1"/>
    </xf>
    <xf numFmtId="0" fontId="5" fillId="67" borderId="20" xfId="0" applyFont="1" applyFill="1" applyBorder="1"/>
    <xf numFmtId="9" fontId="7" fillId="0" borderId="13" xfId="4" applyFont="1" applyBorder="1"/>
    <xf numFmtId="9" fontId="5" fillId="59" borderId="0" xfId="4" applyFont="1" applyFill="1" applyBorder="1" applyAlignment="1">
      <alignment horizontal="right" vertical="center" wrapText="1"/>
    </xf>
    <xf numFmtId="167" fontId="5" fillId="59" borderId="0" xfId="4" applyNumberFormat="1" applyFont="1" applyFill="1" applyBorder="1" applyAlignment="1">
      <alignment horizontal="right" vertical="center" wrapText="1"/>
    </xf>
    <xf numFmtId="167" fontId="22" fillId="0" borderId="0" xfId="0" applyNumberFormat="1" applyFont="1" applyAlignment="1">
      <alignment horizontal="left" vertical="center" wrapText="1"/>
    </xf>
    <xf numFmtId="0" fontId="5" fillId="67" borderId="0" xfId="0" applyFont="1" applyFill="1" applyAlignment="1">
      <alignment horizontal="center" vertical="center" wrapText="1"/>
    </xf>
    <xf numFmtId="167" fontId="0" fillId="0" borderId="0" xfId="4" applyNumberFormat="1" applyFont="1"/>
    <xf numFmtId="0" fontId="0" fillId="0" borderId="37" xfId="0" applyBorder="1" applyAlignment="1">
      <alignment horizontal="left" vertical="center"/>
    </xf>
    <xf numFmtId="167" fontId="0" fillId="0" borderId="37" xfId="0" applyNumberFormat="1" applyBorder="1" applyAlignment="1">
      <alignment vertical="center"/>
    </xf>
    <xf numFmtId="3" fontId="0" fillId="0" borderId="37" xfId="0" applyNumberFormat="1" applyBorder="1" applyAlignment="1">
      <alignment vertical="center"/>
    </xf>
    <xf numFmtId="9" fontId="0" fillId="0" borderId="37" xfId="4" applyFont="1" applyFill="1" applyBorder="1" applyAlignment="1">
      <alignment vertical="center"/>
    </xf>
    <xf numFmtId="9" fontId="0" fillId="0" borderId="37" xfId="4" applyFont="1" applyBorder="1" applyAlignment="1">
      <alignment vertical="center"/>
    </xf>
    <xf numFmtId="0" fontId="0" fillId="0" borderId="51" xfId="0" applyBorder="1" applyAlignment="1">
      <alignment vertical="center" wrapText="1"/>
    </xf>
    <xf numFmtId="0" fontId="0" fillId="0" borderId="51" xfId="0" quotePrefix="1" applyBorder="1" applyAlignment="1">
      <alignment wrapText="1"/>
    </xf>
    <xf numFmtId="167" fontId="0" fillId="0" borderId="51" xfId="0" applyNumberFormat="1" applyBorder="1" applyAlignment="1">
      <alignment wrapText="1"/>
    </xf>
    <xf numFmtId="9" fontId="0" fillId="0" borderId="13" xfId="4" applyFont="1" applyBorder="1" applyAlignment="1">
      <alignment vertical="center"/>
    </xf>
    <xf numFmtId="0" fontId="0" fillId="10" borderId="0" xfId="0" applyFill="1"/>
    <xf numFmtId="167" fontId="0" fillId="0" borderId="37" xfId="1" applyNumberFormat="1" applyFont="1" applyBorder="1" applyProtection="1">
      <protection locked="0"/>
    </xf>
    <xf numFmtId="167" fontId="0" fillId="0" borderId="37" xfId="1" applyNumberFormat="1" applyFont="1" applyBorder="1" applyAlignment="1" applyProtection="1">
      <alignment horizontal="left"/>
      <protection locked="0"/>
    </xf>
    <xf numFmtId="0" fontId="0" fillId="0" borderId="54" xfId="0" applyBorder="1"/>
    <xf numFmtId="0" fontId="0" fillId="0" borderId="51" xfId="0" applyBorder="1"/>
    <xf numFmtId="0" fontId="0" fillId="0" borderId="51" xfId="0" applyBorder="1" applyAlignment="1" applyProtection="1">
      <alignment horizontal="left"/>
      <protection locked="0"/>
    </xf>
    <xf numFmtId="0" fontId="61" fillId="0" borderId="51" xfId="0" applyFont="1" applyBorder="1" applyAlignment="1" applyProtection="1">
      <alignment horizontal="left"/>
      <protection locked="0"/>
    </xf>
    <xf numFmtId="0" fontId="0" fillId="0" borderId="51" xfId="0" applyBorder="1" applyAlignment="1">
      <alignment vertical="center"/>
    </xf>
    <xf numFmtId="0" fontId="0" fillId="0" borderId="55" xfId="0" applyBorder="1" applyAlignment="1" applyProtection="1">
      <alignment horizontal="left"/>
      <protection locked="0"/>
    </xf>
    <xf numFmtId="0" fontId="0" fillId="63" borderId="55" xfId="0" applyFill="1" applyBorder="1" applyAlignment="1" applyProtection="1">
      <alignment horizontal="left"/>
      <protection locked="0"/>
    </xf>
    <xf numFmtId="0" fontId="5" fillId="24" borderId="53" xfId="0" applyFont="1" applyFill="1" applyBorder="1" applyAlignment="1" applyProtection="1">
      <alignment horizontal="center" vertical="center" wrapText="1"/>
      <protection locked="0"/>
    </xf>
    <xf numFmtId="0" fontId="5" fillId="2" borderId="53" xfId="0" applyFont="1" applyFill="1" applyBorder="1" applyAlignment="1" applyProtection="1">
      <alignment horizontal="center" vertical="center" wrapText="1"/>
      <protection locked="0"/>
    </xf>
    <xf numFmtId="14" fontId="5" fillId="2" borderId="53" xfId="0" applyNumberFormat="1" applyFont="1" applyFill="1" applyBorder="1" applyAlignment="1" applyProtection="1">
      <alignment horizontal="center" vertical="center" wrapText="1"/>
      <protection locked="0"/>
    </xf>
    <xf numFmtId="0" fontId="22" fillId="10" borderId="53" xfId="0" applyFont="1" applyFill="1" applyBorder="1" applyAlignment="1" applyProtection="1">
      <alignment horizontal="center" vertical="center" wrapText="1"/>
      <protection locked="0"/>
    </xf>
    <xf numFmtId="0" fontId="5" fillId="17" borderId="53" xfId="0" applyFont="1" applyFill="1" applyBorder="1" applyAlignment="1" applyProtection="1">
      <alignment horizontal="center" vertical="center" wrapText="1"/>
      <protection locked="0"/>
    </xf>
    <xf numFmtId="0" fontId="5" fillId="24" borderId="53" xfId="0" applyFont="1" applyFill="1" applyBorder="1" applyAlignment="1" applyProtection="1">
      <alignment horizontal="left" vertical="center" wrapText="1"/>
      <protection locked="0"/>
    </xf>
    <xf numFmtId="0" fontId="28" fillId="2" borderId="53" xfId="0" applyFont="1" applyFill="1" applyBorder="1" applyAlignment="1" applyProtection="1">
      <alignment horizontal="center" vertical="center" wrapText="1"/>
      <protection locked="0"/>
    </xf>
    <xf numFmtId="0" fontId="5" fillId="24" borderId="53" xfId="1" applyNumberFormat="1" applyFont="1" applyFill="1" applyBorder="1" applyAlignment="1" applyProtection="1">
      <alignment horizontal="center" vertical="center" wrapText="1"/>
      <protection locked="0"/>
    </xf>
    <xf numFmtId="0" fontId="11" fillId="4" borderId="53" xfId="0" applyFont="1" applyFill="1" applyBorder="1" applyAlignment="1">
      <alignment horizontal="center" vertical="center" wrapText="1"/>
    </xf>
    <xf numFmtId="0" fontId="11" fillId="6" borderId="53" xfId="0" applyFont="1" applyFill="1" applyBorder="1" applyAlignment="1" applyProtection="1">
      <alignment horizontal="center" vertical="center" wrapText="1"/>
      <protection locked="0"/>
    </xf>
    <xf numFmtId="0" fontId="11" fillId="11" borderId="53" xfId="0" applyFont="1" applyFill="1" applyBorder="1" applyAlignment="1" applyProtection="1">
      <alignment horizontal="center" vertical="center" wrapText="1"/>
      <protection locked="0"/>
    </xf>
    <xf numFmtId="0" fontId="11" fillId="5" borderId="53" xfId="0" applyFont="1" applyFill="1" applyBorder="1" applyAlignment="1" applyProtection="1">
      <alignment horizontal="center" vertical="center" wrapText="1"/>
      <protection locked="0"/>
    </xf>
    <xf numFmtId="0" fontId="11" fillId="10" borderId="53" xfId="0" applyFont="1" applyFill="1" applyBorder="1" applyAlignment="1" applyProtection="1">
      <alignment horizontal="center" vertical="center" wrapText="1"/>
      <protection locked="0"/>
    </xf>
    <xf numFmtId="0" fontId="11" fillId="18" borderId="53" xfId="0" applyFont="1" applyFill="1" applyBorder="1" applyAlignment="1" applyProtection="1">
      <alignment horizontal="center" vertical="center" wrapText="1"/>
      <protection locked="0"/>
    </xf>
    <xf numFmtId="0" fontId="11" fillId="19" borderId="53" xfId="0" applyFont="1" applyFill="1" applyBorder="1" applyAlignment="1" applyProtection="1">
      <alignment horizontal="center" vertical="center" wrapText="1"/>
      <protection locked="0"/>
    </xf>
    <xf numFmtId="0" fontId="58" fillId="10" borderId="53" xfId="1" applyNumberFormat="1" applyFont="1" applyFill="1" applyBorder="1" applyAlignment="1" applyProtection="1">
      <alignment horizontal="center" vertical="center" wrapText="1"/>
      <protection locked="0"/>
    </xf>
    <xf numFmtId="0" fontId="58" fillId="5" borderId="53" xfId="1" applyNumberFormat="1" applyFont="1" applyFill="1" applyBorder="1" applyAlignment="1" applyProtection="1">
      <alignment horizontal="center" vertical="center" wrapText="1"/>
      <protection locked="0"/>
    </xf>
    <xf numFmtId="0" fontId="58" fillId="11" borderId="53" xfId="1" applyNumberFormat="1" applyFont="1" applyFill="1" applyBorder="1" applyAlignment="1" applyProtection="1">
      <alignment horizontal="center" vertical="center" wrapText="1"/>
      <protection locked="0"/>
    </xf>
    <xf numFmtId="0" fontId="58" fillId="5" borderId="53" xfId="1" applyNumberFormat="1" applyFont="1" applyFill="1" applyBorder="1" applyAlignment="1" applyProtection="1">
      <alignment horizontal="left" vertical="top" wrapText="1"/>
      <protection locked="0"/>
    </xf>
    <xf numFmtId="167" fontId="59" fillId="58" borderId="53" xfId="1" applyNumberFormat="1" applyFont="1" applyFill="1" applyBorder="1" applyAlignment="1" applyProtection="1">
      <alignment horizontal="center" vertical="center" wrapText="1"/>
      <protection locked="0"/>
    </xf>
    <xf numFmtId="17" fontId="59" fillId="58" borderId="53" xfId="1" applyNumberFormat="1" applyFont="1" applyFill="1" applyBorder="1" applyAlignment="1" applyProtection="1">
      <alignment horizontal="center" vertical="center" wrapText="1"/>
      <protection locked="0"/>
    </xf>
    <xf numFmtId="17" fontId="59" fillId="58" borderId="53" xfId="1" quotePrefix="1" applyNumberFormat="1" applyFont="1" applyFill="1" applyBorder="1" applyAlignment="1" applyProtection="1">
      <alignment horizontal="center" vertical="center" wrapText="1"/>
      <protection locked="0"/>
    </xf>
    <xf numFmtId="17" fontId="60" fillId="58" borderId="53" xfId="1" quotePrefix="1" applyNumberFormat="1" applyFont="1" applyFill="1" applyBorder="1" applyAlignment="1" applyProtection="1">
      <alignment horizontal="center" vertical="center" wrapText="1"/>
      <protection locked="0"/>
    </xf>
    <xf numFmtId="17" fontId="60" fillId="4" borderId="53" xfId="1" quotePrefix="1" applyNumberFormat="1" applyFont="1" applyFill="1" applyBorder="1" applyAlignment="1" applyProtection="1">
      <alignment horizontal="center" vertical="center" wrapText="1"/>
      <protection locked="0"/>
    </xf>
    <xf numFmtId="167" fontId="60" fillId="58" borderId="53" xfId="1" applyNumberFormat="1" applyFont="1" applyFill="1" applyBorder="1" applyAlignment="1" applyProtection="1">
      <alignment horizontal="center" vertical="center" wrapText="1"/>
      <protection locked="0"/>
    </xf>
    <xf numFmtId="167" fontId="59" fillId="4" borderId="53" xfId="1" applyNumberFormat="1" applyFont="1" applyFill="1" applyBorder="1" applyAlignment="1" applyProtection="1">
      <alignment horizontal="center" vertical="center" wrapText="1"/>
      <protection locked="0"/>
    </xf>
    <xf numFmtId="0" fontId="6" fillId="24" borderId="53" xfId="1" applyNumberFormat="1" applyFont="1" applyFill="1" applyBorder="1" applyAlignment="1" applyProtection="1">
      <alignment horizontal="center" vertical="center" wrapText="1"/>
      <protection locked="0"/>
    </xf>
    <xf numFmtId="167" fontId="5" fillId="24" borderId="53" xfId="1" applyNumberFormat="1" applyFont="1" applyFill="1" applyBorder="1" applyAlignment="1" applyProtection="1">
      <alignment horizontal="center" vertical="center" wrapText="1"/>
      <protection locked="0"/>
    </xf>
    <xf numFmtId="0" fontId="6" fillId="3" borderId="53" xfId="0" applyFont="1" applyFill="1" applyBorder="1" applyAlignment="1" applyProtection="1">
      <alignment horizontal="center" vertical="center" wrapText="1"/>
      <protection locked="0"/>
    </xf>
    <xf numFmtId="9" fontId="6" fillId="3" borderId="53" xfId="4" applyFont="1" applyFill="1" applyBorder="1" applyAlignment="1" applyProtection="1">
      <alignment horizontal="center" vertical="center" wrapText="1"/>
      <protection locked="0"/>
    </xf>
    <xf numFmtId="0" fontId="6" fillId="3" borderId="53" xfId="1" applyNumberFormat="1" applyFont="1" applyFill="1" applyBorder="1" applyAlignment="1" applyProtection="1">
      <alignment horizontal="center" vertical="center" wrapText="1"/>
      <protection locked="0"/>
    </xf>
    <xf numFmtId="0" fontId="14" fillId="0" borderId="37" xfId="0" applyFont="1" applyBorder="1" applyAlignment="1" applyProtection="1">
      <alignment wrapText="1"/>
      <protection locked="0"/>
    </xf>
    <xf numFmtId="0" fontId="14" fillId="0" borderId="37" xfId="0" applyFont="1" applyBorder="1" applyAlignment="1" applyProtection="1">
      <alignment horizontal="center" wrapText="1"/>
      <protection locked="0"/>
    </xf>
    <xf numFmtId="0" fontId="14" fillId="0" borderId="37" xfId="0" applyFont="1" applyBorder="1" applyAlignment="1">
      <alignment horizontal="center" wrapText="1"/>
    </xf>
    <xf numFmtId="0" fontId="8" fillId="0" borderId="37" xfId="0" applyFont="1" applyBorder="1" applyAlignment="1">
      <alignment horizontal="left" wrapText="1"/>
    </xf>
    <xf numFmtId="14" fontId="0" fillId="0" borderId="37" xfId="0" applyNumberFormat="1" applyBorder="1" applyAlignment="1" applyProtection="1">
      <alignment horizontal="left" wrapText="1"/>
      <protection locked="0"/>
    </xf>
    <xf numFmtId="0" fontId="14" fillId="0" borderId="37" xfId="0" applyFont="1" applyBorder="1" applyAlignment="1" applyProtection="1">
      <alignment vertical="center" wrapText="1"/>
      <protection locked="0"/>
    </xf>
    <xf numFmtId="0" fontId="29" fillId="0" borderId="37" xfId="0" applyFont="1" applyBorder="1" applyAlignment="1">
      <alignment vertical="center" wrapText="1"/>
    </xf>
    <xf numFmtId="0" fontId="64" fillId="0" borderId="37" xfId="0" applyFont="1" applyBorder="1" applyAlignment="1" applyProtection="1">
      <alignment horizontal="center" wrapText="1"/>
      <protection locked="0"/>
    </xf>
    <xf numFmtId="0" fontId="14" fillId="0" borderId="37" xfId="0" applyFont="1" applyBorder="1" applyProtection="1">
      <protection locked="0"/>
    </xf>
    <xf numFmtId="0" fontId="8" fillId="0" borderId="37" xfId="0" applyFont="1" applyBorder="1" applyAlignment="1" applyProtection="1">
      <alignment horizontal="center" wrapText="1"/>
      <protection locked="0"/>
    </xf>
    <xf numFmtId="0" fontId="72" fillId="0" borderId="37" xfId="0" applyFont="1" applyBorder="1" applyAlignment="1">
      <alignment horizontal="left"/>
    </xf>
    <xf numFmtId="14" fontId="0" fillId="0" borderId="37" xfId="0" applyNumberFormat="1" applyBorder="1" applyProtection="1">
      <protection locked="0"/>
    </xf>
    <xf numFmtId="0" fontId="27" fillId="0" borderId="37" xfId="0" applyFont="1" applyBorder="1" applyProtection="1">
      <protection locked="0"/>
    </xf>
    <xf numFmtId="167" fontId="0" fillId="0" borderId="37" xfId="1" applyNumberFormat="1" applyFont="1" applyBorder="1" applyAlignment="1" applyProtection="1">
      <alignment horizontal="left" vertical="top" wrapText="1"/>
      <protection locked="0"/>
    </xf>
    <xf numFmtId="167" fontId="0" fillId="0" borderId="37" xfId="1" applyNumberFormat="1" applyFont="1" applyBorder="1" applyAlignment="1" applyProtection="1">
      <alignment wrapText="1"/>
      <protection locked="0"/>
    </xf>
    <xf numFmtId="9" fontId="0" fillId="0" borderId="37" xfId="4" applyFont="1" applyBorder="1" applyAlignment="1" applyProtection="1">
      <alignment wrapText="1"/>
      <protection locked="0"/>
    </xf>
    <xf numFmtId="0" fontId="0" fillId="0" borderId="13" xfId="0" applyBorder="1" applyAlignment="1">
      <alignment horizontal="left"/>
    </xf>
    <xf numFmtId="0" fontId="0" fillId="0" borderId="53" xfId="0" applyBorder="1" applyAlignment="1">
      <alignment horizontal="left"/>
    </xf>
    <xf numFmtId="169" fontId="0" fillId="0" borderId="13" xfId="0" applyNumberFormat="1" applyBorder="1" applyAlignment="1">
      <alignment horizontal="left"/>
    </xf>
    <xf numFmtId="0" fontId="0" fillId="10" borderId="37" xfId="0" applyFill="1" applyBorder="1" applyAlignment="1" applyProtection="1">
      <alignment horizontal="left"/>
      <protection locked="0"/>
    </xf>
    <xf numFmtId="0" fontId="0" fillId="10" borderId="37" xfId="0" applyFill="1" applyBorder="1" applyAlignment="1" applyProtection="1">
      <alignment horizontal="left" vertical="top"/>
      <protection locked="0"/>
    </xf>
    <xf numFmtId="0" fontId="0" fillId="10" borderId="37" xfId="0" applyFill="1" applyBorder="1" applyAlignment="1" applyProtection="1">
      <alignment horizontal="left" wrapText="1"/>
      <protection locked="0"/>
    </xf>
    <xf numFmtId="0" fontId="8" fillId="10" borderId="37" xfId="0" applyFont="1" applyFill="1" applyBorder="1" applyAlignment="1">
      <alignment horizontal="center" wrapText="1"/>
    </xf>
    <xf numFmtId="0" fontId="14" fillId="10" borderId="37" xfId="0" applyFont="1" applyFill="1" applyBorder="1" applyAlignment="1">
      <alignment horizontal="left" wrapText="1"/>
    </xf>
    <xf numFmtId="0" fontId="0" fillId="10" borderId="37" xfId="0" applyFill="1" applyBorder="1" applyAlignment="1" applyProtection="1">
      <alignment horizontal="center" wrapText="1"/>
      <protection locked="0"/>
    </xf>
    <xf numFmtId="14" fontId="0" fillId="10" borderId="37" xfId="0" applyNumberFormat="1" applyFill="1" applyBorder="1" applyAlignment="1" applyProtection="1">
      <alignment horizontal="center"/>
      <protection locked="0"/>
    </xf>
    <xf numFmtId="0" fontId="0" fillId="10" borderId="37" xfId="0" applyFill="1" applyBorder="1" applyAlignment="1" applyProtection="1">
      <alignment horizontal="center"/>
      <protection locked="0"/>
    </xf>
    <xf numFmtId="0" fontId="0" fillId="10" borderId="37" xfId="0" applyFill="1" applyBorder="1" applyAlignment="1" applyProtection="1">
      <alignment horizontal="left" vertical="top" wrapText="1"/>
      <protection locked="0"/>
    </xf>
    <xf numFmtId="165" fontId="0" fillId="10" borderId="37" xfId="1" applyNumberFormat="1" applyFont="1" applyFill="1" applyBorder="1" applyAlignment="1" applyProtection="1">
      <alignment horizontal="left"/>
      <protection locked="0"/>
    </xf>
    <xf numFmtId="0" fontId="0" fillId="10" borderId="37" xfId="1" applyNumberFormat="1" applyFont="1" applyFill="1" applyBorder="1" applyAlignment="1" applyProtection="1">
      <alignment horizontal="center"/>
      <protection locked="0"/>
    </xf>
    <xf numFmtId="0" fontId="14" fillId="10" borderId="37" xfId="0" applyFont="1" applyFill="1" applyBorder="1" applyAlignment="1">
      <alignment horizontal="left" vertical="top" wrapText="1"/>
    </xf>
    <xf numFmtId="167" fontId="55" fillId="10" borderId="37" xfId="1" applyNumberFormat="1" applyFont="1" applyFill="1" applyBorder="1" applyAlignment="1">
      <alignment horizontal="left" wrapText="1"/>
    </xf>
    <xf numFmtId="3" fontId="0" fillId="10" borderId="37" xfId="0" applyNumberFormat="1" applyFill="1" applyBorder="1"/>
    <xf numFmtId="167" fontId="0" fillId="10" borderId="37" xfId="1" applyNumberFormat="1" applyFont="1" applyFill="1" applyBorder="1" applyAlignment="1" applyProtection="1">
      <alignment horizontal="right"/>
      <protection locked="0"/>
    </xf>
    <xf numFmtId="167" fontId="0" fillId="10" borderId="37" xfId="1" applyNumberFormat="1" applyFont="1" applyFill="1" applyBorder="1" applyAlignment="1" applyProtection="1">
      <alignment horizontal="left"/>
      <protection locked="0"/>
    </xf>
    <xf numFmtId="9" fontId="0" fillId="10" borderId="37" xfId="4" applyFont="1" applyFill="1" applyBorder="1" applyAlignment="1" applyProtection="1">
      <alignment horizontal="left"/>
      <protection locked="0"/>
    </xf>
    <xf numFmtId="0" fontId="61" fillId="10" borderId="37" xfId="0" applyFont="1" applyFill="1" applyBorder="1" applyAlignment="1" applyProtection="1">
      <alignment horizontal="left"/>
      <protection locked="0"/>
    </xf>
    <xf numFmtId="0" fontId="77" fillId="0" borderId="13" xfId="0" applyFont="1" applyBorder="1" applyAlignment="1">
      <alignment horizontal="center"/>
    </xf>
    <xf numFmtId="0" fontId="0" fillId="0" borderId="51" xfId="0" applyBorder="1" applyAlignment="1">
      <alignment horizontal="left" vertical="center"/>
    </xf>
    <xf numFmtId="0" fontId="58" fillId="10" borderId="53" xfId="1" applyNumberFormat="1" applyFont="1" applyFill="1" applyBorder="1" applyAlignment="1" applyProtection="1">
      <alignment horizontal="left" vertical="top" wrapText="1"/>
      <protection locked="0"/>
    </xf>
    <xf numFmtId="0" fontId="0" fillId="0" borderId="0" xfId="0" applyAlignment="1">
      <alignment vertical="top"/>
    </xf>
    <xf numFmtId="3" fontId="0" fillId="0" borderId="51" xfId="0" applyNumberFormat="1" applyBorder="1" applyAlignment="1">
      <alignment vertical="center"/>
    </xf>
    <xf numFmtId="167" fontId="5" fillId="0" borderId="0" xfId="0" applyNumberFormat="1" applyFont="1" applyAlignment="1">
      <alignment horizontal="center" vertical="center" wrapText="1"/>
    </xf>
    <xf numFmtId="167" fontId="53" fillId="0" borderId="0" xfId="0" applyNumberFormat="1" applyFont="1" applyAlignment="1">
      <alignment horizontal="right"/>
    </xf>
    <xf numFmtId="167" fontId="5" fillId="0" borderId="0" xfId="1" applyNumberFormat="1" applyFont="1" applyFill="1" applyAlignment="1">
      <alignment horizontal="center" vertical="center" wrapText="1"/>
    </xf>
    <xf numFmtId="9" fontId="5" fillId="0" borderId="0" xfId="4" applyFont="1" applyFill="1" applyAlignment="1">
      <alignment horizontal="right" vertical="center" wrapText="1"/>
    </xf>
    <xf numFmtId="3" fontId="5" fillId="0" borderId="0" xfId="0" applyNumberFormat="1" applyFont="1" applyAlignment="1">
      <alignment vertical="center" wrapText="1"/>
    </xf>
    <xf numFmtId="9" fontId="1" fillId="0" borderId="0" xfId="4" applyFont="1"/>
    <xf numFmtId="167" fontId="78" fillId="0" borderId="0" xfId="0" applyNumberFormat="1" applyFont="1" applyAlignment="1">
      <alignment horizontal="left"/>
    </xf>
    <xf numFmtId="167" fontId="62" fillId="0" borderId="0" xfId="0" applyNumberFormat="1" applyFont="1" applyAlignment="1">
      <alignment horizontal="left"/>
    </xf>
    <xf numFmtId="0" fontId="38" fillId="0" borderId="0" xfId="0" applyFont="1" applyAlignment="1">
      <alignment horizontal="center"/>
    </xf>
  </cellXfs>
  <cellStyles count="127">
    <cellStyle name="20% - Accent1" xfId="23" builtinId="30" customBuiltin="1"/>
    <cellStyle name="20% - Accent1 2" xfId="68" xr:uid="{EDB8DDC5-520B-4DAD-834C-C33150B76654}"/>
    <cellStyle name="20% - Accent1 3" xfId="96" xr:uid="{985B0452-6273-460D-8ED0-BBA965E421EA}"/>
    <cellStyle name="20% - Accent2" xfId="27" builtinId="34" customBuiltin="1"/>
    <cellStyle name="20% - Accent2 2" xfId="71" xr:uid="{234BF1A7-7641-4394-B6B4-52D24A6CBD81}"/>
    <cellStyle name="20% - Accent2 3" xfId="99" xr:uid="{42D40EDD-6F1D-43FA-BC35-480EC96DB0A7}"/>
    <cellStyle name="20% - Accent3" xfId="31" builtinId="38" customBuiltin="1"/>
    <cellStyle name="20% - Accent3 2" xfId="74" xr:uid="{7618E936-11AB-4C82-A264-CDAF950FB555}"/>
    <cellStyle name="20% - Accent3 3" xfId="102" xr:uid="{0A6A5D5D-D2EC-4DF1-9DED-7BCFC3E86277}"/>
    <cellStyle name="20% - Accent4" xfId="35" builtinId="42" customBuiltin="1"/>
    <cellStyle name="20% - Accent4 2" xfId="77" xr:uid="{D9633F86-A4FF-4690-92E8-5A1BBBFC9D24}"/>
    <cellStyle name="20% - Accent4 3" xfId="105" xr:uid="{50AC4A6A-40E3-4CCB-9800-40280A93B70B}"/>
    <cellStyle name="20% - Accent5" xfId="39" builtinId="46" customBuiltin="1"/>
    <cellStyle name="20% - Accent5 2" xfId="80" xr:uid="{EAF24C53-D794-4E90-BCE4-76BFDD4F777D}"/>
    <cellStyle name="20% - Accent5 3" xfId="108" xr:uid="{82874E74-ED5D-469E-9FBE-FB9D5A6398D0}"/>
    <cellStyle name="20% - Accent6" xfId="43" builtinId="50" customBuiltin="1"/>
    <cellStyle name="20% - Accent6 2" xfId="83" xr:uid="{9219CC35-869B-455F-BA73-468F200E457B}"/>
    <cellStyle name="20% - Accent6 3" xfId="111" xr:uid="{DBA0F5BA-1097-426A-A4AF-CFA59FE3640C}"/>
    <cellStyle name="40% - Accent1" xfId="24" builtinId="31" customBuiltin="1"/>
    <cellStyle name="40% - Accent1 2" xfId="69" xr:uid="{2F0B70BE-45D6-4F1F-8DB8-B008B0AF4339}"/>
    <cellStyle name="40% - Accent1 3" xfId="97" xr:uid="{C715918D-EE77-49C7-934F-AF9D37739A0F}"/>
    <cellStyle name="40% - Accent2" xfId="28" builtinId="35" customBuiltin="1"/>
    <cellStyle name="40% - Accent2 2" xfId="72" xr:uid="{BB5F8DC7-6FA7-43C3-AE4D-5C3521DD065F}"/>
    <cellStyle name="40% - Accent2 3" xfId="100" xr:uid="{6831C528-9AF6-485B-B876-610DCA11B669}"/>
    <cellStyle name="40% - Accent3" xfId="32" builtinId="39" customBuiltin="1"/>
    <cellStyle name="40% - Accent3 2" xfId="75" xr:uid="{5B629DA4-6B40-41A4-9B04-24E200C5684B}"/>
    <cellStyle name="40% - Accent3 3" xfId="103" xr:uid="{14C83A73-CD8F-4AA3-AD8A-56D3F2AD65AD}"/>
    <cellStyle name="40% - Accent4" xfId="36" builtinId="43" customBuiltin="1"/>
    <cellStyle name="40% - Accent4 2" xfId="78" xr:uid="{05C34842-494A-4B2F-B51D-B8BB89E98FC8}"/>
    <cellStyle name="40% - Accent4 3" xfId="106" xr:uid="{75C9308D-9499-4667-9064-AC2F50DF15CF}"/>
    <cellStyle name="40% - Accent5" xfId="40" builtinId="47" customBuiltin="1"/>
    <cellStyle name="40% - Accent5 2" xfId="81" xr:uid="{7C65D1F2-EA6C-418A-8165-A19AE79ACF10}"/>
    <cellStyle name="40% - Accent5 3" xfId="109" xr:uid="{9D8EFCD7-D1A0-4C25-B244-B86E9A625485}"/>
    <cellStyle name="40% - Accent6" xfId="44" builtinId="51" customBuiltin="1"/>
    <cellStyle name="40% - Accent6 2" xfId="84" xr:uid="{BA6F3D30-2AC5-4EC5-81E8-A413E6685551}"/>
    <cellStyle name="40% - Accent6 3" xfId="112" xr:uid="{BDA63EC5-E845-432B-9599-6ECC14CD9751}"/>
    <cellStyle name="60% - Accent1" xfId="25" builtinId="32" customBuiltin="1"/>
    <cellStyle name="60% - Accent1 2" xfId="70" xr:uid="{3A161C19-3CC3-410F-9088-B57E5879A7BC}"/>
    <cellStyle name="60% - Accent1 3" xfId="98" xr:uid="{3A6E8799-BCC5-4819-B37C-FA3DDF957715}"/>
    <cellStyle name="60% - Accent2" xfId="29" builtinId="36" customBuiltin="1"/>
    <cellStyle name="60% - Accent2 2" xfId="73" xr:uid="{BCAB1771-1D6D-4216-8D9A-89058628A6C9}"/>
    <cellStyle name="60% - Accent2 3" xfId="101" xr:uid="{59685AE6-2BC9-4E7F-B65F-88C79E302B6B}"/>
    <cellStyle name="60% - Accent3" xfId="33" builtinId="40" customBuiltin="1"/>
    <cellStyle name="60% - Accent3 2" xfId="76" xr:uid="{ADE69D5D-FCE4-4006-A883-AF7D5AA0439C}"/>
    <cellStyle name="60% - Accent3 3" xfId="104" xr:uid="{12D6DC58-B5D5-4465-80AF-36D34FD39DB0}"/>
    <cellStyle name="60% - Accent4" xfId="37" builtinId="44" customBuiltin="1"/>
    <cellStyle name="60% - Accent4 2" xfId="79" xr:uid="{AC394973-043F-47DD-8923-E12867D8CAF7}"/>
    <cellStyle name="60% - Accent4 3" xfId="107" xr:uid="{D7C83363-4C89-4E04-B431-6DD3C5E9483F}"/>
    <cellStyle name="60% - Accent5" xfId="41" builtinId="48" customBuiltin="1"/>
    <cellStyle name="60% - Accent5 2" xfId="82" xr:uid="{BE282966-AD80-46D0-94EC-C594FDA758C3}"/>
    <cellStyle name="60% - Accent5 3" xfId="110" xr:uid="{266DE5A7-3FB9-4745-BE52-35098DD4FF75}"/>
    <cellStyle name="60% - Accent6" xfId="45" builtinId="52" customBuiltin="1"/>
    <cellStyle name="60% - Accent6 2" xfId="85" xr:uid="{5A94CD66-DCC8-46BC-B76E-67BDFA337675}"/>
    <cellStyle name="60% - Accent6 3" xfId="113" xr:uid="{BD6E2BD2-2F66-404B-8144-B0479206F938}"/>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Comma" xfId="1" builtinId="3"/>
    <cellStyle name="Comma 10" xfId="88" xr:uid="{E62927A8-C7D5-4C28-83FA-D352BD4722FE}"/>
    <cellStyle name="Comma 11" xfId="116" xr:uid="{FF9DBEF0-4763-44E0-BFB4-B9E4F69E5F95}"/>
    <cellStyle name="Comma 2" xfId="3" xr:uid="{00000000-0005-0000-0000-00001C000000}"/>
    <cellStyle name="Comma 2 2" xfId="58" xr:uid="{00000000-0005-0000-0000-00001D000000}"/>
    <cellStyle name="Comma 2 2 2" xfId="94" xr:uid="{1B1A677C-43D1-458D-A905-A2B7DA1DF8FF}"/>
    <cellStyle name="Comma 2 2 2 2" xfId="125" xr:uid="{93D992C9-BE94-4196-B361-4480C0073F12}"/>
    <cellStyle name="Comma 2 2 3" xfId="121" xr:uid="{2E193BE8-6173-473D-8F24-1D2C7B09386D}"/>
    <cellStyle name="Comma 2 3" xfId="56" xr:uid="{00000000-0005-0000-0000-00001E000000}"/>
    <cellStyle name="Comma 2 3 2" xfId="92" xr:uid="{F3C78A3D-A0DA-47E4-B2B5-7BD5A1FA32DF}"/>
    <cellStyle name="Comma 2 3 3" xfId="119" xr:uid="{2CBABBC7-8EEF-417D-9E16-0CCC8FEFA85B}"/>
    <cellStyle name="Comma 2 4" xfId="87" xr:uid="{7EFC0ADB-E35F-466A-84C3-44BFC9DB3BE2}"/>
    <cellStyle name="Comma 2 4 2" xfId="124" xr:uid="{7E851B8B-EBB3-4B09-A952-9858EB8BBC40}"/>
    <cellStyle name="Comma 2 5" xfId="115" xr:uid="{ABFCB10D-4BCE-4F54-8F5A-CBE0A9873034}"/>
    <cellStyle name="Comma 3" xfId="46" xr:uid="{00000000-0005-0000-0000-00001F000000}"/>
    <cellStyle name="Comma 3 2" xfId="86" xr:uid="{78E7C724-33F7-46C1-85C1-6A01734DCCA3}"/>
    <cellStyle name="Comma 3 3" xfId="114" xr:uid="{F489F4DF-D080-40DD-9239-A142611B761A}"/>
    <cellStyle name="Comma 4" xfId="52" xr:uid="{00000000-0005-0000-0000-000020000000}"/>
    <cellStyle name="Comma 5" xfId="59" xr:uid="{00000000-0005-0000-0000-000021000000}"/>
    <cellStyle name="Comma 6" xfId="60" xr:uid="{00000000-0005-0000-0000-000022000000}"/>
    <cellStyle name="Comma 7" xfId="63" xr:uid="{645C7985-F4E4-4B1E-A798-4C4DEE241C45}"/>
    <cellStyle name="Comma 8" xfId="65" xr:uid="{E39B6518-6BD6-47B6-AAB0-7752B9AAA449}"/>
    <cellStyle name="Comma 9" xfId="66" xr:uid="{321BFE05-D68D-4E21-A947-060D9586B7D7}"/>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2" builtinId="8"/>
    <cellStyle name="Input" xfId="13" builtinId="20" customBuiltin="1"/>
    <cellStyle name="Linked Cell" xfId="16" builtinId="24" customBuiltin="1"/>
    <cellStyle name="Neutral" xfId="12" builtinId="28" customBuiltin="1"/>
    <cellStyle name="Normal" xfId="0" builtinId="0"/>
    <cellStyle name="Normal 2" xfId="47" xr:uid="{00000000-0005-0000-0000-00002E000000}"/>
    <cellStyle name="Normal 2 2" xfId="51" xr:uid="{00000000-0005-0000-0000-00002F000000}"/>
    <cellStyle name="Normal 2 2 2" xfId="90" xr:uid="{CB3F9A5C-9D2B-469C-8DB7-BF2FBB6091F9}"/>
    <cellStyle name="Normal 2 2 3" xfId="117" xr:uid="{EDC6F5FC-93B8-45E9-B703-8F656122FF29}"/>
    <cellStyle name="Normal 3" xfId="48" xr:uid="{00000000-0005-0000-0000-000030000000}"/>
    <cellStyle name="Normal 3 2" xfId="54" xr:uid="{00000000-0005-0000-0000-000031000000}"/>
    <cellStyle name="Normal 4" xfId="49" xr:uid="{00000000-0005-0000-0000-000032000000}"/>
    <cellStyle name="Normal 4 2" xfId="57" xr:uid="{00000000-0005-0000-0000-000033000000}"/>
    <cellStyle name="Normal 4 2 2" xfId="93" xr:uid="{E35DC626-4FD0-4C3C-B897-F788DDA069CC}"/>
    <cellStyle name="Normal 4 2 3" xfId="120" xr:uid="{22C208C9-23AF-4348-8AFC-5362D5AEF86B}"/>
    <cellStyle name="Normal 4 3" xfId="55" xr:uid="{00000000-0005-0000-0000-000034000000}"/>
    <cellStyle name="Normal 4 3 2" xfId="91" xr:uid="{3E098CA2-1648-4282-861A-AEDA3ACB3ABB}"/>
    <cellStyle name="Normal 4 3 3" xfId="118" xr:uid="{E985EF81-7E01-4786-B1A3-A86530A4034F}"/>
    <cellStyle name="Normal 4 4" xfId="122" xr:uid="{2255F45A-0111-4FFE-BBF0-2A0AC3124F16}"/>
    <cellStyle name="Normal 5" xfId="50" xr:uid="{00000000-0005-0000-0000-000035000000}"/>
    <cellStyle name="Normal 5 2" xfId="126" xr:uid="{0661A3AB-D1DB-4623-9BDD-B75BFCBF94F3}"/>
    <cellStyle name="Normal 5 3" xfId="123" xr:uid="{A72525F0-75E8-4733-8EF7-04461D0BCFAD}"/>
    <cellStyle name="Normal 6" xfId="62" xr:uid="{0C3CB27E-356D-4818-A0F1-85D39F3CD10B}"/>
    <cellStyle name="Normal 7" xfId="64" xr:uid="{90EDD67E-5D57-46C6-A9A3-ED85EAC67715}"/>
    <cellStyle name="Note" xfId="19" builtinId="10" customBuiltin="1"/>
    <cellStyle name="Note 2" xfId="67" xr:uid="{FD9905E7-A828-452B-954F-75C8AD03865C}"/>
    <cellStyle name="Note 3" xfId="95" xr:uid="{44EE9A25-BC97-4E86-8B5D-E9A5C559C342}"/>
    <cellStyle name="Output" xfId="14" builtinId="21" customBuiltin="1"/>
    <cellStyle name="Percent" xfId="4" builtinId="5"/>
    <cellStyle name="Percent 2" xfId="53" xr:uid="{00000000-0005-0000-0000-000039000000}"/>
    <cellStyle name="Percent 3" xfId="61" xr:uid="{00000000-0005-0000-0000-00003A000000}"/>
    <cellStyle name="Percent 4" xfId="89" xr:uid="{C1B41041-A119-47C5-A115-AF3AEF9F0D9D}"/>
    <cellStyle name="Title" xfId="5" builtinId="15" customBuiltin="1"/>
    <cellStyle name="Total" xfId="21" builtinId="25" customBuiltin="1"/>
    <cellStyle name="Warning Text" xfId="18" builtinId="11" customBuiltin="1"/>
  </cellStyles>
  <dxfs count="855">
    <dxf>
      <font>
        <b/>
        <i val="0"/>
      </font>
      <fill>
        <patternFill>
          <bgColor theme="5" tint="0.79998168889431442"/>
        </patternFill>
      </fill>
    </dxf>
    <dxf>
      <font>
        <b/>
        <i val="0"/>
      </font>
      <fill>
        <patternFill>
          <bgColor theme="5" tint="0.79998168889431442"/>
        </patternFill>
      </fill>
    </dxf>
    <dxf>
      <font>
        <color rgb="FF9C0006"/>
      </font>
      <fill>
        <patternFill>
          <bgColor rgb="FFFFC7CE"/>
        </patternFill>
      </fill>
    </dxf>
    <dxf>
      <font>
        <b/>
        <i val="0"/>
        <color theme="4"/>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4"/>
      </font>
    </dxf>
    <dxf>
      <font>
        <b/>
        <i val="0"/>
        <color theme="4"/>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7" formatCode="_(* #,##0_);_(* \(#,##0\);_(* &quot;-&quot;??_);_(@_)"/>
    </dxf>
    <dxf>
      <font>
        <color theme="0"/>
      </font>
    </dxf>
    <dxf>
      <fill>
        <patternFill>
          <bgColor rgb="FF800020"/>
        </patternFill>
      </fill>
    </dxf>
    <dxf>
      <fill>
        <patternFill>
          <bgColor rgb="FF800020"/>
        </patternFill>
      </fill>
    </dxf>
    <dxf>
      <numFmt numFmtId="167" formatCode="_(* #,##0_);_(* \(#,##0\);_(* &quot;-&quot;??_);_(@_)"/>
    </dxf>
    <dxf>
      <numFmt numFmtId="13" formatCode="0%"/>
      <fill>
        <patternFill>
          <fgColor indexed="64"/>
          <bgColor rgb="FF800020"/>
        </patternFill>
      </fill>
      <alignment horizontal="right"/>
    </dxf>
    <dxf>
      <numFmt numFmtId="167" formatCode="_(* #,##0_);_(* \(#,##0\);_(* &quot;-&quot;??_);_(@_)"/>
    </dxf>
    <dxf>
      <font>
        <b/>
        <color theme="0"/>
      </font>
      <numFmt numFmtId="0" formatCode="General"/>
      <fill>
        <patternFill>
          <fgColor rgb="FF800020"/>
        </patternFill>
      </fill>
      <alignment horizontal="center" vertical="center" wrapText="1"/>
    </dxf>
    <dxf>
      <font>
        <color theme="0"/>
      </font>
    </dxf>
    <dxf>
      <font>
        <color theme="0"/>
      </font>
    </dxf>
    <dxf>
      <fill>
        <patternFill>
          <bgColor rgb="FF800020"/>
        </patternFill>
      </fill>
    </dxf>
    <dxf>
      <fill>
        <patternFill>
          <b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167" formatCode="_(* #,##0_);_(* \(#,##0\);_(* &quot;-&quot;??_);_(@_)"/>
    </dxf>
    <dxf>
      <numFmt numFmtId="167" formatCode="_(* #,##0_);_(* \(#,##0\);_(* &quot;-&quot;??_);_(@_)"/>
    </dxf>
    <dxf>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numFmt numFmtId="13" formatCode="0%"/>
      <fill>
        <patternFill>
          <fgColor indexed="64"/>
          <bgColor rgb="FF800020"/>
        </patternFill>
      </fill>
      <alignment horizontal="right"/>
    </dxf>
    <dxf>
      <numFmt numFmtId="13" formatCode="0%"/>
      <fill>
        <patternFill>
          <fgColor indexed="64"/>
          <bgColor rgb="FF800020"/>
        </patternFill>
      </fill>
      <alignment horizontal="right"/>
    </dxf>
    <dxf>
      <fill>
        <patternFill>
          <fgColor indexed="64"/>
          <bgColor rgb="FF800020"/>
        </patternFill>
      </fill>
    </dxf>
    <dxf>
      <fill>
        <patternFill>
          <fgColor indexed="64"/>
          <bgColor rgb="FF800020"/>
        </patternFill>
      </fill>
    </dxf>
    <dxf>
      <font>
        <b/>
        <color theme="0"/>
      </font>
      <fill>
        <patternFill>
          <fgColor rgb="FF800020"/>
        </patternFill>
      </fill>
      <alignment horizontal="left" vertical="center" wrapText="1"/>
    </dxf>
    <dxf>
      <font>
        <b/>
        <color theme="0"/>
      </font>
      <fill>
        <patternFill>
          <fgColor rgb="FF800020"/>
        </patternFill>
      </fill>
      <alignment horizontal="left" vertical="center" wrapText="1"/>
    </dxf>
    <dxf>
      <font>
        <color theme="0"/>
      </font>
      <fill>
        <patternFill>
          <fgColor rgb="FF800020"/>
        </patternFill>
      </fill>
    </dxf>
    <dxf>
      <font>
        <color theme="0"/>
      </font>
      <fill>
        <patternFill>
          <f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167" formatCode="_(* #,##0_);_(* \(#,##0\);_(* &quot;-&quot;??_);_(@_)"/>
    </dxf>
    <dxf>
      <numFmt numFmtId="167" formatCode="_(* #,##0_);_(* \(#,##0\);_(* &quot;-&quot;??_);_(@_)"/>
    </dxf>
    <dxf>
      <numFmt numFmtId="167" formatCode="_(* #,##0_);_(* \(#,##0\);_(* &quot;-&quot;??_);_(@_)"/>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fill>
        <patternFill>
          <fgColor indexed="64"/>
          <bgColor rgb="FF800020"/>
        </patternFill>
      </fill>
    </dxf>
    <dxf>
      <font>
        <color theme="0"/>
      </font>
      <fill>
        <patternFill>
          <fgColor rgb="FF800020"/>
        </patternFill>
      </fill>
    </dxf>
    <dxf>
      <fill>
        <patternFill>
          <bgColor rgb="FFFFFF00"/>
        </patternFill>
      </fill>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ill>
        <patternFill>
          <bgColor theme="0"/>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3" formatCode="#,##0"/>
    </dxf>
    <dxf>
      <font>
        <b val="0"/>
        <i val="0"/>
        <strike val="0"/>
        <condense val="0"/>
        <extend val="0"/>
        <outline val="0"/>
        <shadow val="0"/>
        <u val="none"/>
        <vertAlign val="baseline"/>
        <sz val="11"/>
        <color theme="1"/>
        <name val="Calibri"/>
        <family val="2"/>
        <scheme val="minor"/>
      </font>
      <numFmt numFmtId="167" formatCode="_(* #,##0_);_(* \(#,##0\);_(* &quot;-&quot;??_);_(@_)"/>
      <fill>
        <patternFill patternType="none">
          <fgColor indexed="64"/>
          <bgColor indexed="65"/>
        </patternFill>
      </fill>
      <alignment horizontal="general" vertical="bottom" textRotation="0" wrapText="0" indent="0" justifyLastLine="0" shrinkToFit="0" readingOrder="0"/>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numFmt numFmtId="3" formatCode="#,##0"/>
    </dxf>
    <dxf>
      <font>
        <b/>
        <color theme="0"/>
      </font>
      <alignment horizontal="center" vertical="center" wrapText="1"/>
    </dxf>
    <dxf>
      <fill>
        <patternFill>
          <fgColor indexed="64"/>
          <bgColor rgb="FF800020"/>
        </patternFill>
      </fill>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numFmt numFmtId="167" formatCode="_(* #,##0_);_(* \(#,##0\);_(* &quot;-&quot;??_);_(@_)"/>
    </dxf>
    <dxf>
      <font>
        <b/>
      </font>
      <fill>
        <patternFill patternType="solid">
          <fgColor indexed="64"/>
          <bgColor theme="5" tint="0.39997558519241921"/>
        </patternFill>
      </fill>
      <alignment horizontal="center" vertical="center" wrapText="1"/>
    </dxf>
    <dxf>
      <font>
        <b/>
      </font>
    </dxf>
    <dxf>
      <font>
        <b/>
      </font>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3" formatCode="#,##0"/>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ill>
        <patternFill>
          <fgColor indexed="64"/>
          <bgColor rgb="FF800020"/>
        </patternFill>
      </fill>
    </dxf>
    <dxf>
      <numFmt numFmtId="3" formatCode="#,##0"/>
    </dxf>
    <dxf>
      <font>
        <b/>
        <color theme="0"/>
      </font>
      <alignment horizontal="center" vertical="center" wrapText="1"/>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horizontal="lef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font>
        <b/>
      </font>
    </dxf>
    <dxf>
      <font>
        <b/>
      </font>
    </dxf>
    <dxf>
      <fill>
        <patternFill patternType="solid">
          <fgColor indexed="64"/>
          <bgColor theme="5" tint="0.39997558519241921"/>
        </patternFill>
      </fill>
      <alignment horizontal="center" vertical="center" wrapText="1"/>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3" formatCode="#,##0"/>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167" formatCode="_(* #,##0_);_(* \(#,##0\);_(* &quot;-&quot;??_);_(@_)"/>
    </dxf>
    <dxf>
      <fill>
        <patternFill>
          <fgColor indexed="64"/>
          <bgColor rgb="FF800020"/>
        </patternFill>
      </fill>
    </dxf>
    <dxf>
      <numFmt numFmtId="3" formatCode="#,##0"/>
    </dxf>
    <dxf>
      <font>
        <b/>
        <color theme="0"/>
      </font>
      <alignment horizontal="center" vertical="center" wrapText="1"/>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horizontal="lef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font>
        <b/>
      </font>
    </dxf>
    <dxf>
      <font>
        <b/>
      </font>
    </dxf>
    <dxf>
      <fill>
        <patternFill patternType="solid">
          <fgColor indexed="64"/>
          <bgColor theme="5" tint="0.39997558519241921"/>
        </patternFill>
      </fill>
      <alignment horizontal="center" vertical="center" wrapText="1"/>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numFmt numFmtId="13" formatCode="0%"/>
      <fill>
        <patternFill>
          <fgColor indexed="64"/>
          <bgColor rgb="FF800020"/>
        </patternFill>
      </fill>
      <alignment horizontal="right"/>
    </dxf>
    <dxf>
      <numFmt numFmtId="13" formatCode="0%"/>
      <fill>
        <patternFill>
          <fgColor indexed="64"/>
          <bgColor rgb="FF800020"/>
        </patternFill>
      </fill>
      <alignment horizontal="right"/>
    </dxf>
    <dxf>
      <fill>
        <patternFill>
          <fgColor indexed="64"/>
          <bgColor rgb="FF800020"/>
        </patternFill>
      </fill>
    </dxf>
    <dxf>
      <fill>
        <patternFill>
          <fgColor indexed="64"/>
          <bgColor rgb="FF800020"/>
        </patternFill>
      </fill>
    </dxf>
    <dxf>
      <font>
        <b/>
        <color theme="0"/>
      </font>
      <fill>
        <patternFill>
          <fgColor rgb="FF800020"/>
        </patternFill>
      </fill>
      <alignment horizontal="left" vertical="center" wrapText="1"/>
    </dxf>
    <dxf>
      <font>
        <b/>
        <color theme="0"/>
      </font>
      <fill>
        <patternFill>
          <fgColor rgb="FF800020"/>
        </patternFill>
      </fill>
      <alignment horizontal="left" vertical="center" wrapText="1"/>
    </dxf>
    <dxf>
      <font>
        <color theme="0"/>
      </font>
      <fill>
        <patternFill>
          <fgColor rgb="FF800020"/>
        </patternFill>
      </fill>
    </dxf>
    <dxf>
      <font>
        <color theme="0"/>
      </font>
      <fill>
        <patternFill>
          <f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167" formatCode="_(* #,##0_);_(* \(#,##0\);_(* &quot;-&quot;??_);_(@_)"/>
    </dxf>
    <dxf>
      <numFmt numFmtId="167" formatCode="_(* #,##0_);_(* \(#,##0\);_(* &quot;-&quot;??_);_(@_)"/>
    </dxf>
    <dxf>
      <numFmt numFmtId="167" formatCode="_(* #,##0_);_(* \(#,##0\);_(* &quot;-&quot;??_);_(@_)"/>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0" formatCode="General"/>
      <alignment horizontal="general" vertical="bottom" textRotation="0" wrapText="1" indent="0" justifyLastLine="0" shrinkToFit="0" readingOrder="0"/>
      <border diagonalUp="0" diagonalDown="0" outline="0">
        <left/>
        <right style="thick">
          <color auto="1"/>
        </right>
        <top/>
        <bottom/>
      </border>
      <protection locked="0" hidden="0"/>
    </dxf>
    <dxf>
      <font>
        <b val="0"/>
        <i val="0"/>
        <strike val="0"/>
        <condense val="0"/>
        <extend val="0"/>
        <outline val="0"/>
        <shadow val="0"/>
        <u val="none"/>
        <vertAlign val="baseline"/>
        <sz val="11"/>
        <color theme="1"/>
        <name val="Calibri"/>
        <scheme val="minor"/>
      </font>
      <numFmt numFmtId="166" formatCode="#,##0_ ;[Red]\-#,##0\ "/>
      <alignment horizontal="right" textRotation="0" wrapText="0" indent="0" justifyLastLine="0" shrinkToFit="0" readingOrder="0"/>
      <protection locked="0" hidden="0"/>
    </dxf>
    <dxf>
      <font>
        <b val="0"/>
        <i val="0"/>
        <strike val="0"/>
        <condense val="0"/>
        <extend val="0"/>
        <outline val="0"/>
        <shadow val="0"/>
        <u val="none"/>
        <vertAlign val="baseline"/>
        <sz val="11"/>
        <color theme="1"/>
        <name val="Calibri"/>
        <scheme val="minor"/>
      </font>
      <numFmt numFmtId="165" formatCode="_-* #,##0_-;\-* #,##0_-;_-* &quot;-&quot;??_-;_-@_-"/>
      <protection locked="0" hidden="0"/>
    </dxf>
    <dxf>
      <font>
        <b val="0"/>
        <i val="0"/>
        <strike val="0"/>
        <condense val="0"/>
        <extend val="0"/>
        <outline val="0"/>
        <shadow val="0"/>
        <u val="none"/>
        <vertAlign val="baseline"/>
        <sz val="11"/>
        <color theme="1"/>
        <name val="Calibri"/>
        <scheme val="minor"/>
      </font>
      <numFmt numFmtId="165" formatCode="_-* #,##0_-;\-* #,##0_-;_-* &quot;-&quot;??_-;_-@_-"/>
      <protection locked="0" hidden="0"/>
    </dxf>
    <dxf>
      <numFmt numFmtId="0" formatCode="General"/>
      <protection locked="0" hidden="0"/>
    </dxf>
    <dxf>
      <font>
        <b val="0"/>
        <i val="0"/>
        <strike val="0"/>
        <condense val="0"/>
        <extend val="0"/>
        <outline val="0"/>
        <shadow val="0"/>
        <u val="none"/>
        <vertAlign val="baseline"/>
        <sz val="11"/>
        <color theme="1"/>
        <name val="Calibri"/>
        <scheme val="minor"/>
      </font>
      <numFmt numFmtId="165" formatCode="_-* #,##0_-;\-* #,##0_-;_-* &quot;-&quot;??_-;_-@_-"/>
      <border diagonalUp="0" diagonalDown="0" outline="0">
        <left style="thick">
          <color auto="1"/>
        </left>
        <right/>
        <top/>
        <bottom/>
      </border>
      <protection locked="0" hidden="0"/>
    </dxf>
    <dxf>
      <protection locked="0" hidden="0"/>
    </dxf>
    <dxf>
      <font>
        <b val="0"/>
        <i val="0"/>
        <strike val="0"/>
        <condense val="0"/>
        <extend val="0"/>
        <outline val="0"/>
        <shadow val="0"/>
        <u val="none"/>
        <vertAlign val="baseline"/>
        <sz val="10"/>
        <color rgb="FF000000"/>
        <name val="Calibri"/>
        <scheme val="none"/>
      </font>
      <numFmt numFmtId="0" formatCode="General"/>
      <alignment horizontal="general" vertical="bottom" textRotation="0" wrapText="1" indent="0" justifyLastLine="0" shrinkToFit="0" readingOrder="0"/>
      <protection locked="0" hidden="0"/>
    </dxf>
    <dxf>
      <font>
        <b val="0"/>
        <i val="0"/>
        <strike val="0"/>
        <condense val="0"/>
        <extend val="0"/>
        <outline val="0"/>
        <shadow val="0"/>
        <u val="none"/>
        <vertAlign val="baseline"/>
        <sz val="10"/>
        <color rgb="FF000000"/>
        <name val="Calibri"/>
        <scheme val="none"/>
      </font>
      <numFmt numFmtId="0" formatCode="General"/>
      <alignment horizontal="general" vertical="bottom" textRotation="0" wrapText="1" indent="0" justifyLastLine="0" shrinkToFit="0" readingOrder="0"/>
      <protection locked="1" hidden="0"/>
    </dxf>
    <dxf>
      <numFmt numFmtId="0" formatCode="General"/>
      <protection locked="0" hidden="0"/>
    </dxf>
    <dxf>
      <font>
        <b val="0"/>
        <i val="0"/>
        <strike val="0"/>
        <condense val="0"/>
        <extend val="0"/>
        <outline val="0"/>
        <shadow val="0"/>
        <u val="none"/>
        <vertAlign val="baseline"/>
        <sz val="11"/>
        <color theme="1"/>
        <name val="Calibri"/>
        <scheme val="minor"/>
      </font>
      <numFmt numFmtId="165" formatCode="_-* #,##0_-;\-* #,##0_-;_-* &quot;-&quot;??_-;_-@_-"/>
      <protection locked="0" hidden="0"/>
    </dxf>
    <dxf>
      <font>
        <b val="0"/>
        <i val="0"/>
        <strike val="0"/>
        <condense val="0"/>
        <extend val="0"/>
        <outline val="0"/>
        <shadow val="0"/>
        <u val="none"/>
        <vertAlign val="baseline"/>
        <sz val="11"/>
        <color theme="1"/>
        <name val="Calibri"/>
        <scheme val="minor"/>
      </font>
      <numFmt numFmtId="165" formatCode="_-* #,##0_-;\-* #,##0_-;_-* &quot;-&quot;??_-;_-@_-"/>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protection locked="0" hidden="0"/>
    </dxf>
    <dxf>
      <numFmt numFmtId="0" formatCode="General"/>
      <alignment horizontal="general" vertical="bottom" textRotation="0" wrapText="1" indent="0" justifyLastLine="0" shrinkToFit="0" readingOrder="0"/>
      <protection locked="0" hidden="0"/>
    </dxf>
    <dxf>
      <numFmt numFmtId="0" formatCode="General"/>
      <fill>
        <patternFill patternType="none">
          <fgColor indexed="64"/>
          <bgColor auto="1"/>
        </patternFill>
      </fil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fill>
        <patternFill patternType="none">
          <fgColor indexed="64"/>
          <bgColor auto="1"/>
        </patternFill>
      </fill>
      <protection locked="0" hidden="0"/>
    </dxf>
    <dxf>
      <numFmt numFmtId="19" formatCode="m/d/yyyy"/>
      <protection locked="0" hidden="0"/>
    </dxf>
    <dxf>
      <numFmt numFmtId="19" formatCode="m/d/yyyy"/>
      <protection locked="0" hidden="0"/>
    </dxf>
    <dxf>
      <numFmt numFmtId="0" formatCode="General"/>
      <protection locked="0" hidden="0"/>
    </dxf>
    <dxf>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font>
        <b/>
        <i val="0"/>
        <strike val="0"/>
        <condense val="0"/>
        <extend val="0"/>
        <outline val="0"/>
        <shadow val="0"/>
        <u val="none"/>
        <vertAlign val="baseline"/>
        <sz val="11"/>
        <color theme="7" tint="0.79998168889431442"/>
        <name val="Calibri"/>
        <scheme val="minor"/>
      </font>
      <numFmt numFmtId="0" formatCode="General"/>
      <fill>
        <patternFill patternType="solid">
          <fgColor indexed="64"/>
          <bgColor theme="3"/>
        </patternFill>
      </fill>
      <alignment horizontal="center" vertical="center" textRotation="0" wrapText="1" indent="0" justifyLastLine="0" shrinkToFit="0" readingOrder="0"/>
      <protection locked="0" hidden="0"/>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numFmt numFmtId="165" formatCode="_-* #,##0_-;\-* #,##0_-;_-* &quot;-&quot;??_-;_-@_-"/>
    </dxf>
    <dxf>
      <font>
        <strike val="0"/>
        <outline val="0"/>
        <shadow val="0"/>
        <u val="none"/>
        <vertAlign val="baseline"/>
        <sz val="11"/>
        <color auto="1"/>
        <name val="Calibri"/>
        <family val="2"/>
        <scheme val="minor"/>
      </font>
      <numFmt numFmtId="0" formatCode="General"/>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67" formatCode="_(* #,##0_);_(* \(#,##0\);_(* &quot;-&quot;??_);_(@_)"/>
      <fill>
        <patternFill patternType="none">
          <bgColor auto="1"/>
        </patternFill>
      </fil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fill>
        <patternFill patternType="none">
          <bgColor auto="1"/>
        </patternFill>
      </fil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67" formatCode="_(* #,##0_);_(* \(#,##0\);_(* &quot;-&quot;??_);_(@_)"/>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7" formatCode="_(* #,##0_);_(* \(#,##0\);_(* &quot;-&quot;??_);_(@_)"/>
      <fill>
        <patternFill patternType="none">
          <bgColor auto="1"/>
        </patternFill>
      </fil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5" formatCode="_-* #,##0_-;\-* #,##0_-;_-* &quot;-&quot;??_-;_-@_-"/>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5" formatCode="_-* #,##0_-;\-* #,##0_-;_-* &quot;-&quot;??_-;_-@_-"/>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3" formatCode="#,##0"/>
      <fill>
        <patternFill patternType="none">
          <bgColor auto="1"/>
        </patternFill>
      </fill>
      <alignment horizontal="left"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sz val="10"/>
        <color rgb="FF000000"/>
      </font>
      <numFmt numFmtId="167" formatCode="_(* #,##0_);_(* \(#,##0\);_(* &quot;-&quot;??_);_(@_)"/>
      <fill>
        <patternFill patternType="none">
          <fgColor indexed="64"/>
          <bgColor indexed="65"/>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family val="2"/>
        <scheme val="minor"/>
      </font>
      <numFmt numFmtId="167" formatCode="_(* #,##0_);_(* \(#,##0\);_(* &quot;-&quot;??_);_(@_)"/>
      <fill>
        <patternFill patternType="none">
          <fgColor indexed="64"/>
          <bgColor indexed="65"/>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family val="2"/>
        <scheme val="minor"/>
      </font>
      <numFmt numFmtId="167" formatCode="_(* #,##0_);_(* \(#,##0\);_(* &quot;-&quot;??_);_(@_)"/>
      <fill>
        <patternFill patternType="none">
          <fgColor indexed="64"/>
          <bgColor indexed="65"/>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rgb="FF000000"/>
        <name val="Calibri"/>
        <family val="2"/>
        <scheme val="minor"/>
      </font>
      <numFmt numFmtId="167" formatCode="_(* #,##0_);_(* \(#,##0\);_(* &quot;-&quot;??_);_(@_)"/>
      <fill>
        <patternFill patternType="none">
          <fgColor indexed="64"/>
          <bgColor indexed="65"/>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rgb="FF000000"/>
        <name val="Calibri"/>
        <scheme val="minor"/>
      </font>
      <numFmt numFmtId="167" formatCode="_(* #,##0_);_(* \(#,##0\);_(* &quot;-&quot;??_);_(@_)"/>
      <fill>
        <patternFill patternType="none">
          <fgColor indexed="64"/>
          <bgColor indexed="65"/>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family val="2"/>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scheme val="none"/>
      </font>
      <numFmt numFmtId="165" formatCode="_-* #,##0_-;\-* #,##0_-;_-* &quot;-&quot;??_-;_-@_-"/>
      <fill>
        <patternFill patternType="none">
          <bgColor auto="1"/>
        </patternFill>
      </fill>
      <alignment horizontal="general"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rgb="FF000000"/>
        <name val="Calibri"/>
        <scheme val="minor"/>
      </font>
      <numFmt numFmtId="167" formatCode="_(* #,##0_);_(* \(#,##0\);_(* &quot;-&quot;??_);_(@_)"/>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rgb="FF000000"/>
        <name val="Calibri"/>
        <scheme val="minor"/>
      </font>
      <numFmt numFmtId="167" formatCode="_(* #,##0_);_(* \(#,##0\);_(* &quot;-&quot;??_);_(@_)"/>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1"/>
        <color rgb="FF000000"/>
        <name val="Calibri"/>
        <scheme val="minor"/>
      </font>
      <numFmt numFmtId="167" formatCode="_(* #,##0_);_(* \(#,##0\);_(* &quot;-&quot;??_);_(@_)"/>
      <fill>
        <patternFill patternType="none">
          <fgColor indexed="64"/>
          <bgColor indexed="65"/>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scheme val="minor"/>
      </font>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rgb="FF000000"/>
        <name val="Calibri"/>
        <scheme val="none"/>
      </font>
      <numFmt numFmtId="167" formatCode="_(* #,##0_);_(* \(#,##0\);_(* &quot;-&quot;??_);_(@_)"/>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rgb="FF000000"/>
        <name val="Calibri"/>
        <scheme val="none"/>
      </font>
      <numFmt numFmtId="167" formatCode="_(* #,##0_);_(* \(#,##0\);_(* &quot;-&quot;??_);_(@_)"/>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scheme val="minor"/>
      </font>
      <numFmt numFmtId="165" formatCode="_-* #,##0_-;\-* #,##0_-;_-* &quot;-&quot;??_-;_-@_-"/>
      <fill>
        <patternFill patternType="none">
          <fgColor indexed="64"/>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1"/>
        <color theme="1"/>
        <name val="Calibri"/>
        <scheme val="minor"/>
      </font>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67" formatCode="_(* #,##0_);_(* \(#,##0\);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rgb="FF000000"/>
        <name val="Calibri"/>
        <family val="2"/>
        <scheme val="none"/>
      </font>
      <numFmt numFmtId="167" formatCode="_(* #,##0_);_(* \(#,##0\);_(* &quot;-&quot;??_);_(@_)"/>
      <fill>
        <patternFill patternType="none">
          <fgColor theme="0" tint="-0.14999847407452621"/>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0"/>
        <color rgb="FF000000"/>
        <name val="Calibri"/>
        <family val="2"/>
        <scheme val="none"/>
      </font>
      <numFmt numFmtId="167" formatCode="_(* #,##0_);_(* \(#,##0\);_(* &quot;-&quot;??_);_(@_)"/>
      <fill>
        <patternFill patternType="none">
          <fgColor theme="0" tint="-0.14999847407452621"/>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0"/>
        <color rgb="FF000000"/>
        <name val="Calibri"/>
        <scheme val="none"/>
      </font>
      <numFmt numFmtId="167" formatCode="_(* #,##0_);_(* \(#,##0\);_(* &quot;-&quot;??_);_(@_)"/>
      <fill>
        <patternFill patternType="none">
          <bgColor auto="1"/>
        </patternFill>
      </fill>
      <alignment horizontal="left" vertical="top"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0"/>
        <color rgb="FF000000"/>
        <name val="Calibri"/>
        <scheme val="none"/>
      </font>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0" formatCode="General"/>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rgb="FF000000"/>
        <name val="Calibri"/>
        <scheme val="none"/>
      </font>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0"/>
        <color rgb="FF000000"/>
        <name val="Calibri"/>
        <scheme val="none"/>
      </font>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1" hidden="0"/>
    </dxf>
    <dxf>
      <font>
        <b val="0"/>
        <i val="0"/>
        <strike val="0"/>
        <condense val="0"/>
        <extend val="0"/>
        <outline val="0"/>
        <shadow val="0"/>
        <u val="none"/>
        <vertAlign val="baseline"/>
        <sz val="11"/>
        <color theme="1"/>
        <name val="Calibri"/>
        <scheme val="minor"/>
      </font>
      <numFmt numFmtId="165" formatCode="_-* #,##0_-;\-* #,##0_-;_-* &quot;-&quot;??_-;_-@_-"/>
      <fill>
        <patternFill patternType="none">
          <fgColor indexed="64"/>
          <bgColor auto="1"/>
        </patternFill>
      </fill>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center"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1"/>
        <color theme="1"/>
        <name val="Calibri"/>
        <scheme val="minor"/>
      </font>
      <numFmt numFmtId="165" formatCode="_-* #,##0_-;\-* #,##0_-;_-* &quot;-&quot;??_-;_-@_-"/>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fgColor indexed="64"/>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fgColor indexed="64"/>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center"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center" vertical="bottom"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9" formatCode="m/d/yyyy"/>
      <fill>
        <patternFill patternType="none">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9" formatCode="m/d/yyyy"/>
      <fill>
        <patternFill patternType="none">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70" formatCode="dd/mm/yyyy"/>
      <fill>
        <patternFill patternType="none">
          <fgColor indexed="64"/>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9" formatCode="m/d/yyyy"/>
      <fill>
        <patternFill patternType="none">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19" formatCode="m/d/yyyy"/>
      <fill>
        <patternFill patternType="none">
          <bgColor auto="1"/>
        </patternFill>
      </fill>
      <alignment horizontal="center"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center"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ont>
        <b val="0"/>
        <i val="0"/>
        <strike val="0"/>
        <condense val="0"/>
        <extend val="0"/>
        <outline val="0"/>
        <shadow val="0"/>
        <u val="none"/>
        <vertAlign val="baseline"/>
        <sz val="10"/>
        <color rgb="FF000000"/>
        <name val="Calibri"/>
        <scheme val="none"/>
      </font>
      <fill>
        <patternFill patternType="none">
          <bgColor auto="1"/>
        </patternFill>
      </fill>
      <alignmen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bgColor auto="1"/>
        </patternFill>
      </fill>
      <alignment horizontal="center"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bottom"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numFmt numFmtId="0" formatCode="General"/>
      <fill>
        <patternFill patternType="none">
          <bgColor auto="1"/>
        </patternFill>
      </fill>
      <alignment horizontal="left" vertical="top"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border diagonalUp="0" diagonalDown="0">
        <left style="hair">
          <color auto="1"/>
        </left>
        <right style="hair">
          <color auto="1"/>
        </right>
        <top style="hair">
          <color auto="1"/>
        </top>
        <bottom style="hair">
          <color auto="1"/>
        </bottom>
        <vertical style="hair">
          <color auto="1"/>
        </vertical>
        <horizontal style="hair">
          <color auto="1"/>
        </horizontal>
      </border>
      <protection locked="0" hidden="0"/>
    </dxf>
    <dxf>
      <fill>
        <patternFill patternType="none">
          <bgColor auto="1"/>
        </patternFill>
      </fill>
      <alignment horizontal="left"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numFmt numFmtId="0" formatCode="General"/>
      <fill>
        <patternFill patternType="none">
          <bgColor auto="1"/>
        </patternFill>
      </fill>
      <alignment horizontal="left" vertical="bottom"/>
      <border diagonalUp="0" diagonalDown="0" outline="0">
        <left style="hair">
          <color auto="1"/>
        </left>
        <right style="hair">
          <color auto="1"/>
        </right>
        <top style="hair">
          <color auto="1"/>
        </top>
        <bottom style="hair">
          <color auto="1"/>
        </bottom>
      </border>
      <protection locked="0" hidden="0"/>
    </dxf>
    <dxf>
      <numFmt numFmtId="0" formatCode="General"/>
      <fill>
        <patternFill patternType="none">
          <bgColor auto="1"/>
        </patternFill>
      </fill>
      <alignment horizontal="left" vertical="bottom"/>
      <protection locked="0" hidden="0"/>
    </dxf>
    <dxf>
      <border>
        <bottom style="thin">
          <color indexed="64"/>
        </bottom>
      </border>
    </dxf>
    <dxf>
      <font>
        <b/>
        <i val="0"/>
        <strike val="0"/>
        <condense val="0"/>
        <extend val="0"/>
        <outline val="0"/>
        <shadow val="0"/>
        <u val="none"/>
        <vertAlign val="baseline"/>
        <sz val="11"/>
        <color theme="7" tint="0.79998168889431442"/>
        <name val="Calibri"/>
        <scheme val="minor"/>
      </font>
      <numFmt numFmtId="0" formatCode="General"/>
      <fill>
        <patternFill patternType="solid">
          <fgColor indexed="64"/>
          <bgColor theme="3"/>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color theme="0"/>
      </font>
      <fill>
        <patternFill patternType="solid">
          <fgColor theme="4" tint="0.79998168889431442"/>
          <bgColor rgb="FF800020"/>
        </patternFill>
      </fill>
      <alignment horizontal="center" vertical="center" wrapText="1"/>
    </dxf>
    <dxf>
      <font>
        <b/>
        <color theme="0"/>
      </font>
      <fill>
        <patternFill patternType="solid">
          <fgColor theme="4" tint="0.79998168889431442"/>
          <bgColor rgb="FF800020"/>
        </patternFill>
      </fill>
      <alignment horizontal="center" vertical="center" wrapText="1"/>
    </dxf>
    <dxf>
      <fill>
        <patternFill patternType="none">
          <bgColor auto="1"/>
        </patternFill>
      </fill>
    </dxf>
    <dxf>
      <font>
        <b/>
        <color theme="0"/>
      </font>
      <fill>
        <patternFill patternType="solid">
          <fgColor theme="4" tint="0.79998168889431442"/>
          <bgColor rgb="FF800020"/>
        </patternFill>
      </fill>
      <alignment wrapText="1"/>
    </dxf>
    <dxf>
      <font>
        <b/>
        <color theme="0"/>
      </font>
      <fill>
        <patternFill patternType="solid">
          <fgColor theme="4" tint="0.79998168889431442"/>
          <bgColor rgb="FF800020"/>
        </patternFill>
      </fill>
      <alignment wrapText="1"/>
    </dxf>
    <dxf>
      <font>
        <b/>
        <color theme="0"/>
      </font>
      <fill>
        <patternFill patternType="solid">
          <fgColor theme="4" tint="0.79998168889431442"/>
          <bgColor rgb="FF800020"/>
        </patternFill>
      </fill>
      <alignment horizontal="center" vertical="center" wrapText="1"/>
    </dxf>
    <dxf>
      <font>
        <b/>
        <color theme="0"/>
      </font>
      <fill>
        <patternFill patternType="solid">
          <fgColor theme="4" tint="0.79998168889431442"/>
          <bgColor rgb="FF800020"/>
        </patternFill>
      </fill>
      <alignment horizontal="center" vertical="center" wrapText="1"/>
    </dxf>
    <dxf>
      <alignment horizontal="center"/>
    </dxf>
    <dxf>
      <alignment horizontal="center"/>
    </dxf>
    <dxf>
      <alignment vertical="center"/>
    </dxf>
    <dxf>
      <alignment vertical="center"/>
    </dxf>
    <dxf>
      <numFmt numFmtId="167" formatCode="_(* #,##0_);_(* \(#,##0\);_(* &quot;-&quot;??_);_(@_)"/>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vertical="center"/>
    </dxf>
    <dxf>
      <alignment vertical="center"/>
    </dxf>
    <dxf>
      <alignment vertical="center"/>
    </dxf>
    <dxf>
      <alignment wrapText="1"/>
    </dxf>
    <dxf>
      <numFmt numFmtId="167" formatCode="_(* #,##0_);_(* \(#,##0\);_(* &quot;-&quot;??_);_(@_)"/>
    </dxf>
    <dxf>
      <numFmt numFmtId="167" formatCode="_(* #,##0_);_(* \(#,##0\);_(* &quot;-&quot;??_);_(@_)"/>
    </dxf>
    <dxf>
      <font>
        <color theme="0"/>
      </font>
    </dxf>
    <dxf>
      <fill>
        <patternFill>
          <bgColor rgb="FF800020"/>
        </patternFill>
      </fill>
    </dxf>
    <dxf>
      <fill>
        <patternFill>
          <bgColor rgb="FF800020"/>
        </patternFill>
      </fill>
    </dxf>
    <dxf>
      <numFmt numFmtId="167" formatCode="_(* #,##0_);_(* \(#,##0\);_(* &quot;-&quot;??_);_(@_)"/>
    </dxf>
    <dxf>
      <numFmt numFmtId="13" formatCode="0%"/>
      <fill>
        <patternFill>
          <fgColor indexed="64"/>
          <bgColor rgb="FF800020"/>
        </patternFill>
      </fill>
      <alignment horizontal="right"/>
    </dxf>
    <dxf>
      <numFmt numFmtId="167" formatCode="_(* #,##0_);_(* \(#,##0\);_(* &quot;-&quot;??_);_(@_)"/>
    </dxf>
    <dxf>
      <font>
        <b/>
        <color theme="0"/>
      </font>
      <numFmt numFmtId="0" formatCode="General"/>
      <fill>
        <patternFill>
          <fgColor rgb="FF800020"/>
        </patternFill>
      </fill>
      <alignment horizontal="center" vertical="center" wrapText="1"/>
    </dxf>
    <dxf>
      <font>
        <color theme="0"/>
      </font>
    </dxf>
    <dxf>
      <font>
        <color theme="0"/>
      </font>
    </dxf>
    <dxf>
      <fill>
        <patternFill>
          <bgColor rgb="FF800020"/>
        </patternFill>
      </fill>
    </dxf>
    <dxf>
      <fill>
        <patternFill>
          <b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numFmt numFmtId="13" formatCode="0%"/>
      <fill>
        <patternFill>
          <fgColor indexed="64"/>
          <bgColor rgb="FF800020"/>
        </patternFill>
      </fill>
      <alignment horizontal="right"/>
    </dxf>
    <dxf>
      <numFmt numFmtId="13" formatCode="0%"/>
      <fill>
        <patternFill>
          <fgColor indexed="64"/>
          <bgColor rgb="FF800020"/>
        </patternFill>
      </fill>
      <alignment horizontal="right"/>
    </dxf>
    <dxf>
      <fill>
        <patternFill>
          <fgColor indexed="64"/>
          <bgColor rgb="FF800020"/>
        </patternFill>
      </fill>
    </dxf>
    <dxf>
      <fill>
        <patternFill>
          <fgColor indexed="64"/>
          <bgColor rgb="FF800020"/>
        </patternFill>
      </fill>
    </dxf>
    <dxf>
      <font>
        <b/>
        <color theme="0"/>
      </font>
      <fill>
        <patternFill>
          <fgColor rgb="FF800020"/>
        </patternFill>
      </fill>
      <alignment horizontal="left" vertical="center" wrapText="1"/>
    </dxf>
    <dxf>
      <font>
        <b/>
        <color theme="0"/>
      </font>
      <fill>
        <patternFill>
          <fgColor rgb="FF800020"/>
        </patternFill>
      </fill>
      <alignment horizontal="left" vertical="center" wrapText="1"/>
    </dxf>
    <dxf>
      <font>
        <color theme="0"/>
      </font>
      <fill>
        <patternFill>
          <fgColor rgb="FF800020"/>
        </patternFill>
      </fill>
    </dxf>
    <dxf>
      <font>
        <color theme="0"/>
      </font>
      <fill>
        <patternFill>
          <f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alignment vertical="center"/>
    </dxf>
    <dxf>
      <alignment vertical="center"/>
    </dxf>
    <dxf>
      <alignment horizontal="center"/>
    </dxf>
    <dxf>
      <alignment horizontal="center"/>
    </dxf>
    <dxf>
      <alignment wrapText="1"/>
    </dxf>
    <dxf>
      <alignment wrapText="1"/>
    </dxf>
    <dxf>
      <numFmt numFmtId="167" formatCode="_(* #,##0_);_(* \(#,##0\);_(* &quot;-&quot;??_);_(@_)"/>
    </dxf>
    <dxf>
      <numFmt numFmtId="3" formatCode="#,##0"/>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ill>
        <patternFill>
          <fgColor indexed="64"/>
          <bgColor rgb="FF800020"/>
        </patternFill>
      </fill>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numFmt numFmtId="167" formatCode="_(* #,##0_);_(* \(#,##0\);_(* &quot;-&quot;??_);_(@_)"/>
    </dxf>
    <dxf>
      <font>
        <b/>
      </font>
      <fill>
        <patternFill patternType="solid">
          <fgColor indexed="64"/>
          <bgColor theme="5" tint="0.39997558519241921"/>
        </patternFill>
      </fill>
      <alignment horizontal="center" vertical="center" wrapText="1"/>
    </dxf>
    <dxf>
      <font>
        <b/>
      </font>
    </dxf>
    <dxf>
      <font>
        <b/>
      </font>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vertical="center"/>
    </dxf>
    <dxf>
      <alignment vertical="center"/>
    </dxf>
    <dxf>
      <alignment horizontal="center"/>
    </dxf>
    <dxf>
      <alignment horizontal="center"/>
    </dxf>
    <dxf>
      <alignment wrapText="1"/>
    </dxf>
    <dxf>
      <alignment wrapText="1"/>
    </dxf>
    <dxf>
      <numFmt numFmtId="167" formatCode="_(* #,##0_);_(* \(#,##0\);_(* &quot;-&quot;??_);_(@_)"/>
    </dxf>
    <dxf>
      <alignment vertical="center"/>
    </dxf>
    <dxf>
      <alignment vertical="center"/>
    </dxf>
    <dxf>
      <border>
        <left style="hair">
          <color indexed="64"/>
        </left>
        <top style="hair">
          <color indexed="64"/>
        </top>
        <bottom style="hair">
          <color indexed="64"/>
        </bottom>
        <vertical style="hair">
          <color indexed="64"/>
        </vertical>
        <horizontal style="hair">
          <color indexed="64"/>
        </horizontal>
      </border>
    </dxf>
    <dxf>
      <border>
        <left style="hair">
          <color indexed="64"/>
        </left>
        <top style="hair">
          <color indexed="64"/>
        </top>
        <bottom style="hair">
          <color indexed="64"/>
        </bottom>
        <vertical style="hair">
          <color indexed="64"/>
        </vertical>
        <horizontal style="hair">
          <color indexed="64"/>
        </horizontal>
      </border>
    </dxf>
    <dxf>
      <numFmt numFmtId="3" formatCode="#,##0"/>
    </dxf>
    <dxf>
      <numFmt numFmtId="167" formatCode="_(* #,##0_);_(* \(#,##0\);_(* &quot;-&quot;??_);_(@_)"/>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167" formatCode="_(* #,##0_);_(* \(#,##0\);_(* &quot;-&quot;??_);_(@_)"/>
    </dxf>
    <dxf>
      <fill>
        <patternFill>
          <fgColor indexed="64"/>
          <bgColor rgb="FF800020"/>
        </patternFill>
      </fill>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horizontal="lef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font>
        <b/>
      </font>
    </dxf>
    <dxf>
      <font>
        <b/>
      </font>
    </dxf>
    <dxf>
      <fill>
        <patternFill patternType="solid">
          <fgColor indexed="64"/>
          <bgColor theme="5" tint="0.39997558519241921"/>
        </patternFill>
      </fill>
      <alignment horizontal="center" vertical="center" wrapText="1"/>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alignment horizontal="center"/>
    </dxf>
    <dxf>
      <alignment vertical="center"/>
    </dxf>
    <dxf>
      <alignment wrapText="1"/>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alignment horizontal="center"/>
    </dxf>
    <dxf>
      <alignment vertical="center"/>
    </dxf>
    <dxf>
      <numFmt numFmtId="167" formatCode="_(* #,##0_);_(* \(#,##0\);_(* &quot;-&quot;??_);_(@_)"/>
    </dxf>
    <dxf>
      <numFmt numFmtId="167" formatCode="_(* #,##0_);_(* \(#,##0\);_(* &quot;-&quot;??_);_(@_)"/>
    </dxf>
    <dxf>
      <alignment horizontal="center"/>
    </dxf>
    <dxf>
      <alignment vertical="center"/>
    </dxf>
    <dxf>
      <alignment wrapText="1"/>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numFmt numFmtId="167" formatCode="_(* #,##0_);_(* \(#,##0\);_(* &quot;-&quot;??_);_(@_)"/>
    </dxf>
    <dxf>
      <numFmt numFmtId="13" formatCode="0%"/>
      <fill>
        <patternFill>
          <fgColor indexed="64"/>
          <bgColor rgb="FF800020"/>
        </patternFill>
      </fill>
      <alignment horizontal="right"/>
    </dxf>
    <dxf>
      <numFmt numFmtId="13" formatCode="0%"/>
      <fill>
        <patternFill>
          <fgColor indexed="64"/>
          <bgColor rgb="FF800020"/>
        </patternFill>
      </fill>
      <alignment horizontal="right"/>
    </dxf>
    <dxf>
      <fill>
        <patternFill>
          <fgColor indexed="64"/>
          <bgColor rgb="FF800020"/>
        </patternFill>
      </fill>
    </dxf>
    <dxf>
      <fill>
        <patternFill>
          <fgColor indexed="64"/>
          <bgColor rgb="FF800020"/>
        </patternFill>
      </fill>
    </dxf>
    <dxf>
      <font>
        <b/>
        <color theme="0"/>
      </font>
      <fill>
        <patternFill>
          <fgColor rgb="FF800020"/>
        </patternFill>
      </fill>
      <alignment horizontal="left" vertical="center" wrapText="1"/>
    </dxf>
    <dxf>
      <font>
        <b/>
        <color theme="0"/>
      </font>
      <fill>
        <patternFill>
          <fgColor rgb="FF800020"/>
        </patternFill>
      </fill>
      <alignment horizontal="left" vertical="center" wrapText="1"/>
    </dxf>
    <dxf>
      <font>
        <color theme="0"/>
      </font>
      <fill>
        <patternFill>
          <fgColor rgb="FF800020"/>
        </patternFill>
      </fill>
    </dxf>
    <dxf>
      <font>
        <color theme="0"/>
      </font>
      <fill>
        <patternFill>
          <f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167" formatCode="_(* #,##0_);_(* \(#,##0\);_(* &quot;-&quot;??_);_(@_)"/>
    </dxf>
    <dxf>
      <numFmt numFmtId="167" formatCode="_(* #,##0_);_(* \(#,##0\);_(* &quot;-&quot;??_);_(@_)"/>
    </dxf>
    <dxf>
      <numFmt numFmtId="167" formatCode="_(* #,##0_);_(* \(#,##0\);_(* &quot;-&quot;??_);_(@_)"/>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numFmt numFmtId="167" formatCode="_(* #,##0_);_(* \(#,##0\);_(* &quot;-&quot;??_);_(@_)"/>
    </dxf>
    <dxf>
      <font>
        <color theme="0"/>
      </font>
    </dxf>
    <dxf>
      <fill>
        <patternFill>
          <bgColor rgb="FF800020"/>
        </patternFill>
      </fill>
    </dxf>
    <dxf>
      <fill>
        <patternFill>
          <bgColor rgb="FF800020"/>
        </patternFill>
      </fill>
    </dxf>
    <dxf>
      <numFmt numFmtId="167" formatCode="_(* #,##0_);_(* \(#,##0\);_(* &quot;-&quot;??_);_(@_)"/>
    </dxf>
    <dxf>
      <numFmt numFmtId="13" formatCode="0%"/>
      <fill>
        <patternFill>
          <fgColor indexed="64"/>
          <bgColor rgb="FF800020"/>
        </patternFill>
      </fill>
      <alignment horizontal="right"/>
    </dxf>
    <dxf>
      <numFmt numFmtId="167" formatCode="_(* #,##0_);_(* \(#,##0\);_(* &quot;-&quot;??_);_(@_)"/>
    </dxf>
    <dxf>
      <font>
        <b/>
        <color theme="0"/>
      </font>
      <numFmt numFmtId="0" formatCode="General"/>
      <fill>
        <patternFill>
          <fgColor rgb="FF800020"/>
        </patternFill>
      </fill>
      <alignment horizontal="center" vertical="center" wrapText="1"/>
    </dxf>
    <dxf>
      <font>
        <color theme="0"/>
      </font>
    </dxf>
    <dxf>
      <font>
        <color theme="0"/>
      </font>
    </dxf>
    <dxf>
      <fill>
        <patternFill>
          <bgColor rgb="FF800020"/>
        </patternFill>
      </fill>
    </dxf>
    <dxf>
      <fill>
        <patternFill>
          <bgColor rgb="FF800020"/>
        </patternFill>
      </fill>
    </dxf>
    <dxf>
      <font>
        <b/>
      </font>
    </dxf>
    <dxf>
      <font>
        <b/>
      </font>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numFmt numFmtId="167" formatCode="_(* #,##0_);_(* \(#,##0\);_(* &quot;-&quot;??_);_(@_)"/>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theme="5" tint="0.39997558519241921"/>
        </patternFill>
      </fill>
    </dxf>
    <dxf>
      <fill>
        <patternFill patternType="solid">
          <fgColor indexed="64"/>
          <bgColor theme="5" tint="0.39997558519241921"/>
        </patternFill>
      </fill>
    </dxf>
    <dxf>
      <numFmt numFmtId="167" formatCode="_(* #,##0_);_(* \(#,##0\);_(* &quot;-&quot;??_);_(@_)"/>
    </dxf>
    <dxf>
      <numFmt numFmtId="167" formatCode="_(* #,##0_);_(* \(#,##0\);_(* &quot;-&quot;??_);_(@_)"/>
    </dxf>
    <dxf>
      <alignment horizontal="center" vertical="center" wrapText="1"/>
    </dxf>
    <dxf>
      <alignment vertical="center"/>
    </dxf>
    <dxf>
      <alignment vertical="center"/>
    </dxf>
    <dxf>
      <alignment horizontal="center"/>
    </dxf>
    <dxf>
      <alignment horizontal="center"/>
    </dxf>
    <dxf>
      <alignment wrapText="1"/>
    </dxf>
    <dxf>
      <alignment wrapText="1"/>
    </dxf>
    <dxf>
      <numFmt numFmtId="167" formatCode="_(* #,##0_);_(* \(#,##0\);_(* &quot;-&quot;??_);_(@_)"/>
    </dxf>
    <dxf>
      <font>
        <b/>
        <color theme="0"/>
      </font>
      <fill>
        <patternFill patternType="solid">
          <fgColor indexed="64"/>
          <bgColor rgb="FF800020"/>
        </patternFill>
      </fill>
      <alignment horizontal="center" vertical="center" wrapText="1"/>
    </dxf>
    <dxf>
      <numFmt numFmtId="3" formatCode="#,##0"/>
    </dxf>
    <dxf>
      <numFmt numFmtId="167" formatCode="_(* #,##0_);_(* \(#,##0\);_(* &quot;-&quot;??_);_(@_)"/>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167" formatCode="_(* #,##0_);_(* \(#,##0\);_(* &quot;-&quot;??_);_(@_)"/>
    </dxf>
    <dxf>
      <fill>
        <patternFill>
          <fgColor indexed="64"/>
          <bgColor rgb="FF800020"/>
        </patternFill>
      </fill>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horizontal="lef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font>
        <b/>
      </font>
    </dxf>
    <dxf>
      <font>
        <b/>
      </font>
    </dxf>
    <dxf>
      <fill>
        <patternFill patternType="solid">
          <fgColor indexed="64"/>
          <bgColor theme="5" tint="0.39997558519241921"/>
        </patternFill>
      </fill>
      <alignment horizontal="center" vertical="center" wrapText="1"/>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alignment vertical="center"/>
    </dxf>
    <dxf>
      <alignment wrapText="1"/>
    </dxf>
    <dxf>
      <numFmt numFmtId="167" formatCode="_(* #,##0_);_(* \(#,##0\);_(* &quot;-&quot;??_);_(@_)"/>
    </dxf>
    <dxf>
      <numFmt numFmtId="167" formatCode="_(* #,##0_);_(* \(#,##0\);_(* &quot;-&quot;??_);_(@_)"/>
    </dxf>
    <dxf>
      <alignment vertical="center"/>
    </dxf>
    <dxf>
      <alignment vertical="center"/>
    </dxf>
    <dxf>
      <alignment horizontal="center"/>
    </dxf>
    <dxf>
      <alignment horizontal="center"/>
    </dxf>
    <dxf>
      <alignment wrapText="1"/>
    </dxf>
    <dxf>
      <alignment wrapText="1"/>
    </dxf>
    <dxf>
      <numFmt numFmtId="167" formatCode="_(* #,##0_);_(* \(#,##0\);_(* &quot;-&quot;??_);_(@_)"/>
    </dxf>
    <dxf>
      <numFmt numFmtId="3" formatCode="#,##0"/>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numFmt numFmtId="167" formatCode="_(* #,##0_);_(* \(#,##0\);_(* &quot;-&quot;??_);_(@_)"/>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ont>
        <b/>
        <color theme="0"/>
      </font>
      <fill>
        <patternFill patternType="solid">
          <fgColor indexed="64"/>
          <bgColor rgb="FF800020"/>
        </patternFill>
      </fill>
      <alignment horizontal="center" vertical="center" wrapText="1"/>
    </dxf>
    <dxf>
      <fill>
        <patternFill>
          <fgColor indexed="64"/>
          <bgColor rgb="FF800020"/>
        </patternFill>
      </fill>
    </dxf>
    <dxf>
      <fill>
        <patternFill>
          <fgColor indexed="64"/>
          <bgColor rgb="FF800020"/>
        </patternFill>
      </fill>
    </dxf>
    <dxf>
      <fill>
        <patternFill>
          <fgColor indexed="64"/>
          <bgColor rgb="FF800020"/>
        </patternFill>
      </fill>
    </dxf>
    <dxf>
      <fill>
        <patternFill>
          <fgColor indexed="64"/>
          <bgColor rgb="FF800020"/>
        </patternFill>
      </fill>
    </dxf>
    <dxf>
      <font>
        <b/>
        <color theme="0"/>
      </font>
      <numFmt numFmtId="167" formatCode="_(* #,##0_);_(* \(#,##0\);_(* &quot;-&quot;??_);_(@_)"/>
      <fill>
        <patternFill>
          <fgColor rgb="FF800020"/>
        </patternFill>
      </fill>
      <alignment vertical="center" wrapText="1"/>
    </dxf>
    <dxf>
      <font>
        <b/>
        <color theme="0"/>
      </font>
      <numFmt numFmtId="167" formatCode="_(* #,##0_);_(* \(#,##0\);_(* &quot;-&quot;??_);_(@_)"/>
      <fill>
        <patternFill>
          <fgColor rgb="FF800020"/>
        </patternFill>
      </fill>
      <alignment vertical="center" wrapText="1"/>
    </dxf>
    <dxf>
      <font>
        <color theme="0"/>
      </font>
      <fill>
        <patternFill>
          <fgColor rgb="FF800020"/>
        </patternFill>
      </fill>
    </dxf>
    <dxf>
      <font>
        <color theme="0"/>
      </font>
      <fill>
        <patternFill>
          <fgColor rgb="FF800020"/>
        </patternFill>
      </fill>
    </dxf>
    <dxf>
      <numFmt numFmtId="167" formatCode="_(* #,##0_);_(* \(#,##0\);_(* &quot;-&quot;??_);_(@_)"/>
    </dxf>
    <dxf>
      <font>
        <b/>
      </font>
      <fill>
        <patternFill patternType="solid">
          <fgColor indexed="64"/>
          <bgColor theme="5" tint="0.39997558519241921"/>
        </patternFill>
      </fill>
      <alignment horizontal="center" vertical="center" wrapText="1"/>
    </dxf>
    <dxf>
      <font>
        <b/>
      </font>
    </dxf>
    <dxf>
      <font>
        <b/>
      </font>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vertical="center"/>
    </dxf>
    <dxf>
      <alignment vertical="center"/>
    </dxf>
    <dxf>
      <alignment horizontal="center"/>
    </dxf>
    <dxf>
      <alignment horizontal="center"/>
    </dxf>
    <dxf>
      <alignment wrapText="1"/>
    </dxf>
    <dxf>
      <alignment wrapText="1"/>
    </dxf>
    <dxf>
      <numFmt numFmtId="167" formatCode="_(* #,##0_);_(* \(#,##0\);_(* &quot;-&quot;??_);_(@_)"/>
    </dxf>
    <dxf>
      <font>
        <color rgb="FFFF0066"/>
      </font>
    </dxf>
    <dxf>
      <font>
        <color theme="0"/>
      </font>
      <fill>
        <patternFill>
          <bgColor rgb="FF800020"/>
        </patternFill>
      </fill>
    </dxf>
    <dxf>
      <font>
        <color theme="0"/>
      </font>
      <fill>
        <patternFill>
          <bgColor rgb="FF800020"/>
        </patternFill>
      </fill>
    </dxf>
    <dxf>
      <font>
        <color theme="0"/>
      </font>
      <fill>
        <patternFill>
          <bgColor rgb="FF800020"/>
        </patternFill>
      </fill>
    </dxf>
    <dxf>
      <font>
        <color theme="0"/>
      </font>
      <fill>
        <patternFill>
          <bgColor rgb="FF800020"/>
        </patternFill>
      </fill>
    </dxf>
    <dxf>
      <fill>
        <patternFill>
          <bgColor rgb="FF800020"/>
        </patternFill>
      </fill>
    </dxf>
    <dxf>
      <fill>
        <patternFill>
          <bgColor rgb="FF800020"/>
        </patternFill>
      </fill>
    </dxf>
    <dxf>
      <font>
        <b/>
        <i val="0"/>
      </font>
    </dxf>
    <dxf>
      <font>
        <b/>
        <i val="0"/>
      </font>
    </dxf>
    <dxf>
      <font>
        <b/>
        <i val="0"/>
      </font>
    </dxf>
  </dxfs>
  <tableStyles count="8" defaultTableStyle="TableStyleMedium2" defaultPivotStyle="PivotStyleLight16">
    <tableStyle name="PivotTable Style 1" table="0" count="1" xr9:uid="{00000000-0011-0000-FFFF-FFFF00000000}">
      <tableStyleElement type="firstRowStripe" dxfId="854"/>
    </tableStyle>
    <tableStyle name="PivotTable Style 2" table="0" count="1" xr9:uid="{00000000-0011-0000-FFFF-FFFF01000000}">
      <tableStyleElement type="firstHeaderCell" dxfId="853"/>
    </tableStyle>
    <tableStyle name="PivotTable Style 3" table="0" count="1" xr9:uid="{00000000-0011-0000-FFFF-FFFF02000000}">
      <tableStyleElement type="firstRowSubheading" dxfId="852"/>
    </tableStyle>
    <tableStyle name="PivotTable Style 4" table="0" count="1" xr9:uid="{FF08600B-D1FA-4299-9D43-04B4307B2DE1}">
      <tableStyleElement type="headerRow" dxfId="851"/>
    </tableStyle>
    <tableStyle name="PivotTable Style 5" table="0" count="1" xr9:uid="{AC393177-A539-4641-A480-9352911B4493}">
      <tableStyleElement type="totalRow" dxfId="850"/>
    </tableStyle>
    <tableStyle name="PivotTable Style 6" table="0" count="2" xr9:uid="{7C86A7E2-DF7C-4248-BFA7-B8CF4FB789EA}">
      <tableStyleElement type="headerRow" dxfId="849"/>
      <tableStyleElement type="totalRow" dxfId="848"/>
    </tableStyle>
    <tableStyle name="PivotTable Style 7" table="0" count="2" xr9:uid="{3EA5A158-1A0D-4DCF-995F-AC997C00E6B0}">
      <tableStyleElement type="headerRow" dxfId="847"/>
      <tableStyleElement type="totalRow" dxfId="846"/>
    </tableStyle>
    <tableStyle name="Table Style 1" pivot="0" count="1" xr9:uid="{00000000-0011-0000-FFFF-FFFF03000000}">
      <tableStyleElement type="headerRow" dxfId="845"/>
    </tableStyle>
  </tableStyles>
  <colors>
    <mruColors>
      <color rgb="FF800020"/>
      <color rgb="FF691B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ustomXml" Target="../customXml/item1.xml"/><Relationship Id="rId21" Type="http://schemas.openxmlformats.org/officeDocument/2006/relationships/pivotCacheDefinition" Target="pivotCache/pivotCacheDefinition2.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4.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7.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3.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theme" Target="theme/theme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373380</xdr:colOff>
      <xdr:row>8</xdr:row>
      <xdr:rowOff>129540</xdr:rowOff>
    </xdr:to>
    <xdr:pic>
      <xdr:nvPicPr>
        <xdr:cNvPr id="5" name="Picture 4">
          <a:extLst>
            <a:ext uri="{FF2B5EF4-FFF2-40B4-BE49-F238E27FC236}">
              <a16:creationId xmlns:a16="http://schemas.microsoft.com/office/drawing/2014/main" id="{70FE145F-0E27-D204-066F-9DB93A761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469380" cy="1592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0</xdr:row>
      <xdr:rowOff>0</xdr:rowOff>
    </xdr:from>
    <xdr:to>
      <xdr:col>21</xdr:col>
      <xdr:colOff>579646</xdr:colOff>
      <xdr:row>8</xdr:row>
      <xdr:rowOff>129678</xdr:rowOff>
    </xdr:to>
    <xdr:pic>
      <xdr:nvPicPr>
        <xdr:cNvPr id="6" name="Picture 5">
          <a:extLst>
            <a:ext uri="{FF2B5EF4-FFF2-40B4-BE49-F238E27FC236}">
              <a16:creationId xmlns:a16="http://schemas.microsoft.com/office/drawing/2014/main" id="{780D0E1D-6895-BF88-C520-9DFD81FFC16B}"/>
            </a:ext>
          </a:extLst>
        </xdr:cNvPr>
        <xdr:cNvPicPr>
          <a:picLocks noChangeAspect="1"/>
        </xdr:cNvPicPr>
      </xdr:nvPicPr>
      <xdr:blipFill>
        <a:blip xmlns:r="http://schemas.openxmlformats.org/officeDocument/2006/relationships" r:embed="rId2"/>
        <a:stretch>
          <a:fillRect/>
        </a:stretch>
      </xdr:blipFill>
      <xdr:spPr>
        <a:xfrm>
          <a:off x="7315200" y="0"/>
          <a:ext cx="6066046" cy="1592718"/>
        </a:xfrm>
        <a:prstGeom prst="rect">
          <a:avLst/>
        </a:prstGeom>
      </xdr:spPr>
    </xdr:pic>
    <xdr:clientData/>
  </xdr:twoCellAnchor>
  <xdr:twoCellAnchor editAs="oneCell">
    <xdr:from>
      <xdr:col>0</xdr:col>
      <xdr:colOff>0</xdr:colOff>
      <xdr:row>10</xdr:row>
      <xdr:rowOff>0</xdr:rowOff>
    </xdr:from>
    <xdr:to>
      <xdr:col>12</xdr:col>
      <xdr:colOff>541020</xdr:colOff>
      <xdr:row>19</xdr:row>
      <xdr:rowOff>152400</xdr:rowOff>
    </xdr:to>
    <xdr:pic>
      <xdr:nvPicPr>
        <xdr:cNvPr id="3" name="Picture 2">
          <a:extLst>
            <a:ext uri="{FF2B5EF4-FFF2-40B4-BE49-F238E27FC236}">
              <a16:creationId xmlns:a16="http://schemas.microsoft.com/office/drawing/2014/main" id="{A72A6EE4-AB56-13CB-202A-9E85ACE021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828800"/>
          <a:ext cx="7856220" cy="179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234846</xdr:colOff>
      <xdr:row>0</xdr:row>
      <xdr:rowOff>168776</xdr:rowOff>
    </xdr:from>
    <xdr:to>
      <xdr:col>5</xdr:col>
      <xdr:colOff>828034</xdr:colOff>
      <xdr:row>4</xdr:row>
      <xdr:rowOff>112943</xdr:rowOff>
    </xdr:to>
    <mc:AlternateContent xmlns:mc="http://schemas.openxmlformats.org/markup-compatibility/2006" xmlns:sle15="http://schemas.microsoft.com/office/drawing/2012/slicer">
      <mc:Choice Requires="sle15">
        <xdr:graphicFrame macro="">
          <xdr:nvGraphicFramePr>
            <xdr:cNvPr id="4" name="Region 2">
              <a:extLst>
                <a:ext uri="{FF2B5EF4-FFF2-40B4-BE49-F238E27FC236}">
                  <a16:creationId xmlns:a16="http://schemas.microsoft.com/office/drawing/2014/main" id="{B105BFB2-F462-4266-97E6-7A90F4C151A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09191" y="159251"/>
              <a:ext cx="3136190" cy="6810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266700</xdr:colOff>
      <xdr:row>0</xdr:row>
      <xdr:rowOff>97267</xdr:rowOff>
    </xdr:from>
    <xdr:to>
      <xdr:col>12</xdr:col>
      <xdr:colOff>391444</xdr:colOff>
      <xdr:row>5</xdr:row>
      <xdr:rowOff>133939</xdr:rowOff>
    </xdr:to>
    <mc:AlternateContent xmlns:mc="http://schemas.openxmlformats.org/markup-compatibility/2006" xmlns:sle15="http://schemas.microsoft.com/office/drawing/2012/slicer">
      <mc:Choice Requires="sle15">
        <xdr:graphicFrame macro="">
          <xdr:nvGraphicFramePr>
            <xdr:cNvPr id="2" name="Supplier name">
              <a:extLst>
                <a:ext uri="{FF2B5EF4-FFF2-40B4-BE49-F238E27FC236}">
                  <a16:creationId xmlns:a16="http://schemas.microsoft.com/office/drawing/2014/main" id="{24D828A2-5FBD-3CA0-ECDF-136F4B4CB588}"/>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4257097" y="89647"/>
              <a:ext cx="5140361" cy="9203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54</xdr:col>
      <xdr:colOff>358028</xdr:colOff>
      <xdr:row>0</xdr:row>
      <xdr:rowOff>19611</xdr:rowOff>
    </xdr:from>
    <xdr:to>
      <xdr:col>54</xdr:col>
      <xdr:colOff>759983</xdr:colOff>
      <xdr:row>5</xdr:row>
      <xdr:rowOff>124386</xdr:rowOff>
    </xdr:to>
    <xdr:sp macro="" textlink="">
      <xdr:nvSpPr>
        <xdr:cNvPr id="3" name="Arrow: Down 2">
          <a:extLst>
            <a:ext uri="{FF2B5EF4-FFF2-40B4-BE49-F238E27FC236}">
              <a16:creationId xmlns:a16="http://schemas.microsoft.com/office/drawing/2014/main" id="{AFA92671-BE3C-6DA9-F56B-FA8516231B13}"/>
            </a:ext>
          </a:extLst>
        </xdr:cNvPr>
        <xdr:cNvSpPr/>
      </xdr:nvSpPr>
      <xdr:spPr>
        <a:xfrm>
          <a:off x="28641675" y="19611"/>
          <a:ext cx="401955" cy="9922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206587</xdr:colOff>
      <xdr:row>0</xdr:row>
      <xdr:rowOff>108374</xdr:rowOff>
    </xdr:from>
    <xdr:to>
      <xdr:col>3</xdr:col>
      <xdr:colOff>19474</xdr:colOff>
      <xdr:row>4</xdr:row>
      <xdr:rowOff>152401</xdr:rowOff>
    </xdr:to>
    <mc:AlternateContent xmlns:mc="http://schemas.openxmlformats.org/markup-compatibility/2006" xmlns:a14="http://schemas.microsoft.com/office/drawing/2010/main">
      <mc:Choice Requires="a14">
        <xdr:graphicFrame macro="">
          <xdr:nvGraphicFramePr>
            <xdr:cNvPr id="5" name="Supplier name 1">
              <a:extLst>
                <a:ext uri="{FF2B5EF4-FFF2-40B4-BE49-F238E27FC236}">
                  <a16:creationId xmlns:a16="http://schemas.microsoft.com/office/drawing/2014/main" id="{D8D04E24-9D8C-2E96-99F2-E69274798B0F}"/>
                </a:ext>
              </a:extLst>
            </xdr:cNvPr>
            <xdr:cNvGraphicFramePr/>
          </xdr:nvGraphicFramePr>
          <xdr:xfrm>
            <a:off x="0" y="0"/>
            <a:ext cx="0" cy="0"/>
          </xdr:xfrm>
          <a:graphic>
            <a:graphicData uri="http://schemas.microsoft.com/office/drawing/2010/slicer">
              <sle:slicer xmlns:sle="http://schemas.microsoft.com/office/drawing/2010/slicer" name="Supplier name 1"/>
            </a:graphicData>
          </a:graphic>
        </xdr:graphicFrame>
      </mc:Choice>
      <mc:Fallback xmlns="">
        <xdr:sp macro="" textlink="">
          <xdr:nvSpPr>
            <xdr:cNvPr id="0" name=""/>
            <xdr:cNvSpPr>
              <a:spLocks noTextEdit="1"/>
            </xdr:cNvSpPr>
          </xdr:nvSpPr>
          <xdr:spPr>
            <a:xfrm>
              <a:off x="206587" y="108374"/>
              <a:ext cx="3510280" cy="78909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1490980</xdr:colOff>
      <xdr:row>0</xdr:row>
      <xdr:rowOff>118533</xdr:rowOff>
    </xdr:from>
    <xdr:to>
      <xdr:col>11</xdr:col>
      <xdr:colOff>16932</xdr:colOff>
      <xdr:row>5</xdr:row>
      <xdr:rowOff>96097</xdr:rowOff>
    </xdr:to>
    <mc:AlternateContent xmlns:mc="http://schemas.openxmlformats.org/markup-compatibility/2006" xmlns:a14="http://schemas.microsoft.com/office/drawing/2010/main">
      <mc:Choice Requires="a14">
        <xdr:graphicFrame macro="">
          <xdr:nvGraphicFramePr>
            <xdr:cNvPr id="6" name="Machine Name 3">
              <a:extLst>
                <a:ext uri="{FF2B5EF4-FFF2-40B4-BE49-F238E27FC236}">
                  <a16:creationId xmlns:a16="http://schemas.microsoft.com/office/drawing/2014/main" id="{F99DBCBC-D5F0-14E2-2AA2-E4DB354E01B8}"/>
                </a:ext>
              </a:extLst>
            </xdr:cNvPr>
            <xdr:cNvGraphicFramePr/>
          </xdr:nvGraphicFramePr>
          <xdr:xfrm>
            <a:off x="0" y="0"/>
            <a:ext cx="0" cy="0"/>
          </xdr:xfrm>
          <a:graphic>
            <a:graphicData uri="http://schemas.microsoft.com/office/drawing/2010/slicer">
              <sle:slicer xmlns:sle="http://schemas.microsoft.com/office/drawing/2010/slicer" name="Machine Name 3"/>
            </a:graphicData>
          </a:graphic>
        </xdr:graphicFrame>
      </mc:Choice>
      <mc:Fallback xmlns="">
        <xdr:sp macro="" textlink="">
          <xdr:nvSpPr>
            <xdr:cNvPr id="0" name=""/>
            <xdr:cNvSpPr>
              <a:spLocks noTextEdit="1"/>
            </xdr:cNvSpPr>
          </xdr:nvSpPr>
          <xdr:spPr>
            <a:xfrm>
              <a:off x="5800513" y="118533"/>
              <a:ext cx="8389619" cy="89746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108373</xdr:colOff>
      <xdr:row>0</xdr:row>
      <xdr:rowOff>94829</xdr:rowOff>
    </xdr:from>
    <xdr:to>
      <xdr:col>4</xdr:col>
      <xdr:colOff>1350645</xdr:colOff>
      <xdr:row>4</xdr:row>
      <xdr:rowOff>132504</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418BDC08-05D0-5470-7AA7-1E39F864402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842173" y="94829"/>
              <a:ext cx="1828800" cy="79417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304800</xdr:colOff>
      <xdr:row>0</xdr:row>
      <xdr:rowOff>0</xdr:rowOff>
    </xdr:from>
    <xdr:to>
      <xdr:col>3</xdr:col>
      <xdr:colOff>333375</xdr:colOff>
      <xdr:row>3</xdr:row>
      <xdr:rowOff>30479</xdr:rowOff>
    </xdr:to>
    <mc:AlternateContent xmlns:mc="http://schemas.openxmlformats.org/markup-compatibility/2006" xmlns:sle15="http://schemas.microsoft.com/office/drawing/2012/slicer">
      <mc:Choice Requires="sle15">
        <xdr:graphicFrame macro="">
          <xdr:nvGraphicFramePr>
            <xdr:cNvPr id="2" name="Region 1">
              <a:extLst>
                <a:ext uri="{FF2B5EF4-FFF2-40B4-BE49-F238E27FC236}">
                  <a16:creationId xmlns:a16="http://schemas.microsoft.com/office/drawing/2014/main" id="{89B59DBF-1F57-4EC2-BE54-BACC5A49D6B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0" y="0"/>
              <a:ext cx="3221355" cy="60197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352425</xdr:colOff>
      <xdr:row>0</xdr:row>
      <xdr:rowOff>0</xdr:rowOff>
    </xdr:from>
    <xdr:to>
      <xdr:col>10</xdr:col>
      <xdr:colOff>312420</xdr:colOff>
      <xdr:row>3</xdr:row>
      <xdr:rowOff>38099</xdr:rowOff>
    </xdr:to>
    <mc:AlternateContent xmlns:mc="http://schemas.openxmlformats.org/markup-compatibility/2006" xmlns:sle15="http://schemas.microsoft.com/office/drawing/2012/slicer">
      <mc:Choice Requires="sle15">
        <xdr:graphicFrame macro="">
          <xdr:nvGraphicFramePr>
            <xdr:cNvPr id="3" name="Machine Name 1">
              <a:extLst>
                <a:ext uri="{FF2B5EF4-FFF2-40B4-BE49-F238E27FC236}">
                  <a16:creationId xmlns:a16="http://schemas.microsoft.com/office/drawing/2014/main" id="{8E4E9B7D-BAAC-43E8-A561-D6B3D54F9156}"/>
                </a:ext>
                <a:ext uri="{147F2762-F138-4A5C-976F-8EAC2B608ADB}">
                  <a16:predDERef xmlns:a16="http://schemas.microsoft.com/office/drawing/2014/main" pred="{0996E732-206F-0F99-A7C1-ED341BEAC698}"/>
                </a:ext>
              </a:extLst>
            </xdr:cNvPr>
            <xdr:cNvGraphicFramePr/>
          </xdr:nvGraphicFramePr>
          <xdr:xfrm>
            <a:off x="0" y="0"/>
            <a:ext cx="0" cy="0"/>
          </xdr:xfrm>
          <a:graphic>
            <a:graphicData uri="http://schemas.microsoft.com/office/drawing/2010/slicer">
              <sle:slicer xmlns:sle="http://schemas.microsoft.com/office/drawing/2010/slicer" name="Machine Name 1"/>
            </a:graphicData>
          </a:graphic>
        </xdr:graphicFrame>
      </mc:Choice>
      <mc:Fallback xmlns="">
        <xdr:sp macro="" textlink="">
          <xdr:nvSpPr>
            <xdr:cNvPr id="0" name=""/>
            <xdr:cNvSpPr>
              <a:spLocks noTextEdit="1"/>
            </xdr:cNvSpPr>
          </xdr:nvSpPr>
          <xdr:spPr>
            <a:xfrm>
              <a:off x="3545205" y="0"/>
              <a:ext cx="9431655" cy="609599"/>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Umar Zafar - Finance" id="{54040AB9-2A2A-4655-95C3-CA38927883BE}" userId="S::umar.zafar@martindow.com::5f149f57-ba77-4dab-9817-f3302729714b" providerId="AD"/>
  <person displayName="Hammad Siddiqui - Finance" id="{3453C376-EC41-47DD-8437-7D38DC5542FD}" userId="S::hammad.siddiqui@martindow.com::6c0a910c-2a45-4ba0-91e1-ec410bfa095a" providerId="AD"/>
</personList>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py%20of%20Tracking%20sheet%20for%20Reagent%20Rental%20of%20Machines.xlsx%20%20-%20%20version%20728.0.%2020.03.2024%201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r Zafar - Finance" refreshedDate="45382.938766319443" createdVersion="8" refreshedVersion="8" minRefreshableVersion="3" recordCount="43" xr:uid="{00000000-000A-0000-FFFF-FFFF00000000}">
  <cacheSource type="worksheet">
    <worksheetSource name="Table14" r:id="rId2"/>
  </cacheSource>
  <cacheFields count="57">
    <cacheField name="Sales Manager" numFmtId="0">
      <sharedItems/>
    </cacheField>
    <cacheField name="Supplier name" numFmtId="0">
      <sharedItems count="6">
        <s v="Erba"/>
        <s v="YHLO"/>
        <s v="Nova"/>
        <s v="Elitech"/>
        <s v="Boule"/>
        <s v="OCD"/>
      </sharedItems>
    </cacheField>
    <cacheField name="Machine Name" numFmtId="0">
      <sharedItems count="14">
        <s v="EC90"/>
        <s v="ECL760 Refurb"/>
        <s v="iFlash 1200"/>
        <s v="iFlash 1800"/>
        <s v="IFlash 1800 "/>
        <s v="laura XL"/>
        <s v="Nova Prime Plus"/>
        <s v="Selectra Mach 5"/>
        <s v="Selectra PRO M Lite"/>
        <s v="Swelab Alfa Plus Standard"/>
        <s v="Vitros 3600"/>
        <s v="Vitros ECiQ Immunodiagnostic System"/>
        <s v="Swelab Alfa Plus Std." u="1"/>
        <s v="iFlash1200" u="1"/>
      </sharedItems>
    </cacheField>
    <cacheField name="SAP Material No" numFmtId="0">
      <sharedItems containsSemiMixedTypes="0" containsString="0" containsNumber="1" containsInteger="1" minValue="15001967" maxValue="15002760"/>
    </cacheField>
    <cacheField name="Machine type" numFmtId="0">
      <sharedItems/>
    </cacheField>
    <cacheField name="Asset Number " numFmtId="0">
      <sharedItems containsMixedTypes="1" containsNumber="1" containsInteger="1" minValue="3002000001" maxValue="3002000043"/>
    </cacheField>
    <cacheField name="Transfer" numFmtId="0">
      <sharedItems containsBlank="1"/>
    </cacheField>
    <cacheField name="MachineSerial No." numFmtId="0">
      <sharedItems containsMixedTypes="1" containsNumber="1" containsInteger="1" minValue="104282" maxValue="36001565"/>
    </cacheField>
    <cacheField name="Machine Issue Date" numFmtId="0">
      <sharedItems containsBlank="1"/>
    </cacheField>
    <cacheField name="Test on record (TOR)" numFmtId="0">
      <sharedItems containsBlank="1"/>
    </cacheField>
    <cacheField name="Agreement Date" numFmtId="14">
      <sharedItems containsDate="1" containsBlank="1" containsMixedTypes="1" minDate="2023-11-01T00:00:00" maxDate="2023-11-02T00:00:00"/>
    </cacheField>
    <cacheField name="Approval Date" numFmtId="0">
      <sharedItems containsBlank="1"/>
    </cacheField>
    <cacheField name="Agreement  availability status" numFmtId="14">
      <sharedItems containsBlank="1"/>
    </cacheField>
    <cacheField name="Status" numFmtId="0">
      <sharedItems count="4">
        <s v="Active "/>
        <s v="New"/>
        <s v="Closed"/>
        <s v="Active"/>
      </sharedItems>
    </cacheField>
    <cacheField name="Region" numFmtId="0">
      <sharedItems count="3">
        <s v="South"/>
        <s v="North"/>
        <s v="Center"/>
      </sharedItems>
    </cacheField>
    <cacheField name="City" numFmtId="0">
      <sharedItems/>
    </cacheField>
    <cacheField name="Customer No." numFmtId="0">
      <sharedItems containsSemiMixedTypes="0" containsString="0" containsNumber="1" containsInteger="1" minValue="3020000013" maxValue="3020001748"/>
    </cacheField>
    <cacheField name="Customer Name" numFmtId="0">
      <sharedItems count="42">
        <s v="JDC Diagnostic Center"/>
        <s v="Creek General Hospital (Patients Welfare Foundation)"/>
        <s v="D&amp;R Lab"/>
        <s v="Suhail Daignostic "/>
        <s v="Imran Idress Hospital "/>
        <s v="Memon Medical Institute Hospital"/>
        <s v="KKF"/>
        <s v="Masood Hospital "/>
        <s v="Valley Health Care Laborotary "/>
        <s v="Noor lab quetta "/>
        <s v="Burhani Hospital Trust"/>
        <s v="Anklesaria Hospital"/>
        <s v="Dar ul Sehat Hospital"/>
        <s v="Rafiq Anwar Memorial Trust Hospital"/>
        <s v="The Medical Lab Lahore"/>
        <s v="Citilab "/>
        <s v="Pakistan International Airlines Co-operation Limited"/>
        <s v="North Mehran Diagnostic Centre"/>
        <s v="Siddique Sadiq Memorial trust"/>
        <s v="The Children Hospital &amp; The Institute Multan"/>
        <s v="Dr. Essa Laboratory"/>
        <s v="Liaquat Univerty Hospital through Ojhal Enterprises"/>
        <s v="Allied Hospital"/>
        <s v="NICVD"/>
        <s v="Fayyaz Lab (Through Jamal brothers)"/>
        <s v=" D&amp;R Lab (Dadu) /Liaquat University Of Medical &amp; Hea"/>
        <s v="Gulab devi Hosp. Lahore"/>
        <s v="KKF "/>
        <s v="Rahat Hospital Quetta(Through Jamal brothers)"/>
        <s v="M khan Lab Quetta (Through Jamal brothers)"/>
        <s v="Yaseen Hospital(Through Jamal brothers)"/>
        <s v="PNS Shifa Hospital (V-Med Inter Trade)"/>
        <s v="Agha Khan Hospital"/>
        <s v="Al Maisarah Dialysis &amp; Diabetes trust "/>
        <s v="Indus Clinical Laboratories"/>
        <s v="Hormone lab "/>
        <s v="Fayyaz Lab" u="1"/>
        <s v="PNS Shifa Hospital" u="1"/>
        <s v="KKF Blood bank" u="1"/>
        <s v="Medic Hospital Karachi (Prof. Masood Hameed Diagnositc And)" u="1"/>
        <s v="Indus lab" u="1"/>
        <s v="Noor lab quetta / Jilani Hosp" u="1"/>
      </sharedItems>
    </cacheField>
    <cacheField name="Owner" numFmtId="0">
      <sharedItems containsBlank="1"/>
    </cacheField>
    <cacheField name="Adresss" numFmtId="0">
      <sharedItems/>
    </cacheField>
    <cacheField name="Phone" numFmtId="0">
      <sharedItems/>
    </cacheField>
    <cacheField name="Email" numFmtId="0">
      <sharedItems/>
    </cacheField>
    <cacheField name="NTN / STN" numFmtId="0">
      <sharedItems containsBlank="1"/>
    </cacheField>
    <cacheField name="CNIC" numFmtId="0">
      <sharedItems containsBlank="1"/>
    </cacheField>
    <cacheField name="Unit Cost" numFmtId="0">
      <sharedItems containsSemiMixedTypes="0" containsString="0" containsNumber="1" minValue="442697" maxValue="18600000"/>
    </cacheField>
    <cacheField name="Payback Period Approved in months" numFmtId="0">
      <sharedItems containsSemiMixedTypes="0" containsString="0" containsNumber="1" containsInteger="1" minValue="6" maxValue="38"/>
    </cacheField>
    <cacheField name="Per Month Reagent Commitment" numFmtId="0">
      <sharedItems containsSemiMixedTypes="0" containsString="0" containsNumber="1" minValue="134307" maxValue="3542857.1428571432"/>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Comments by Business (July2023)" numFmtId="0">
      <sharedItems containsBlank="1" containsMixedTypes="1" containsNumber="1" containsInteger="1" minValue="0" maxValue="0" count="21">
        <m/>
        <e v="#N/A"/>
        <n v="0"/>
        <s v="machine was taken back &amp; placed at KKF first week of August"/>
        <s v="LC delay, Order invoiced in August worth 0.8 Mio"/>
        <s v="0.5 Mio order received will be invoiced till 15th August. 0.5 Mio sales every month"/>
        <s v="Machine was moved from different location without informing HO"/>
        <s v="Work load decreased, it is advisable to revist the case"/>
        <s v="order will be executed in Aug 0.6 Mio"/>
        <s v="stock unavailable"/>
        <s v="LC awaited "/>
        <s v="Machine is out of order"/>
        <s v="Mach 5 kits were N/A initally, once kits were order was on hold due to non payment"/>
        <s v="issue in instrument "/>
        <s v="wil invoice in Q3 &amp; Q4, 4 Mio each"/>
        <s v="machine out of order"/>
        <s v="deficit will cover in upcoming months"/>
        <s v="working with customer to put workload on our equipment "/>
        <s v="machine under installation phase "/>
        <s v="workload decreased"/>
        <s v="System is still not installed "/>
      </sharedItems>
    </cacheField>
    <cacheField name="Action Plan (July23)" numFmtId="0">
      <sharedItems containsBlank="1" containsMixedTypes="1" containsNumber="1" containsInteger="1" minValue="0" maxValue="0" count="23">
        <m/>
        <e v="#N/A"/>
        <n v="0"/>
        <s v="We've decided to pull back our equipment and it'll be placed to another customer (KKF Blood Bank - Karachi). Business Case will be submitted to get approval."/>
        <s v=" They have Started Infectious panel on Iflash .It will significanly impact our Sales in Q4 we will not only cover the gap but surpass the comitment ."/>
        <s v="0.5 Mio order received will be invoiced till 15th August. 0.5 Mio sales every month"/>
        <s v="We've decided to pull back our equipment and it'll be placed to another customer (Jillani Hospital - Quetta). Business Case will be submitted to get approval."/>
        <s v="Complete workload is on our equipment as they don’t have any back up equipment in their lab. Supplies issue has been resolved now, and business will be improved."/>
        <s v="Stocks issue resolved few new parameters added we are expecting in Q3 we will cover the deficit ."/>
        <s v="Due to stocks issue instrument is working at low volume . Customer will shift the maximum workload once shipment arrived . In Q4 we will cover the deficit "/>
        <s v="LC awaited "/>
        <s v="Now machine is fixed after the visit of Elitech Team and business will be improved."/>
        <s v="Now machine is fixed after the visit of Elitech Team and we are getting supplies timely which will help us to improve our business."/>
        <s v="Sales is below agreed terms ,reason prob in instrument and shortage of stocks . We are going to revise the prices @20% .Stocks issue resolved in next three month we will cover the deficit ."/>
        <s v=" we have receieved an order of 10 million will be invoice in Q3 ,Q4 we will cover our deficit in Q3. Govt institute ."/>
        <s v="Customer promised to shift workload on our equipment from other branches to cover the gap."/>
        <s v="Instrument cost covered we are executing new contract for the same analyzer in same institute expected business in Q3 Is Rs. 2.0 Million "/>
        <s v="Our engineer has managed to arrange the required tools locally. After discussing with the customer, they've agreed to shift the workload on our equipment once equipment is completely operational."/>
        <s v="They've to comsume remaining reagents of ROCHE, so they are dividing the load. In coming months, deficit will be covered once ROCHE kits has been finished."/>
        <s v="We've increased their prices by 35%, furthermore revised business case will be submitted for approval based on actual workload."/>
        <s v="First Reagents order will be issued within September as they are in finalizing stage of tender process"/>
        <s v="Patient flow has been increasing gradullay in the hospital, which will improve our business."/>
        <s v="System is still not installed "/>
      </sharedItems>
    </cacheField>
    <cacheField name="Comments by Business (Aug2023)" numFmtId="0">
      <sharedItems containsBlank="1"/>
    </cacheField>
    <cacheField name="Action Plan (Aug23)" numFmtId="0">
      <sharedItems containsBlank="1"/>
    </cacheField>
    <cacheField name="Comments by Business (Sep2023)" numFmtId="0">
      <sharedItems containsBlank="1"/>
    </cacheField>
    <cacheField name="Action Plan (Sep23)" numFmtId="0">
      <sharedItems containsBlank="1"/>
    </cacheField>
    <cacheField name="Comments by Business (Oct 2023)" numFmtId="0">
      <sharedItems containsNonDate="0" containsString="0" containsBlank="1"/>
    </cacheField>
    <cacheField name="Action Plan (Oct 23)" numFmtId="0">
      <sharedItems containsBlank="1"/>
    </cacheField>
    <cacheField name="Comments by Business (Nov 2023)" numFmtId="0">
      <sharedItems containsBlank="1"/>
    </cacheField>
    <cacheField name="Action Plan (Nov 23)" numFmtId="0">
      <sharedItems containsBlank="1"/>
    </cacheField>
    <cacheField name="Comments by Business (Dec 2023)" numFmtId="0">
      <sharedItems containsBlank="1"/>
    </cacheField>
    <cacheField name="Action Plan (Dec 23)" numFmtId="0">
      <sharedItems containsBlank="1"/>
    </cacheField>
    <cacheField name="Comments by Business (Feb 2024)" numFmtId="0">
      <sharedItems containsBlank="1"/>
    </cacheField>
    <cacheField name="Action Plan (Feb 24)" numFmtId="0">
      <sharedItems containsNonDate="0" containsString="0" containsBlank="1"/>
    </cacheField>
    <cacheField name="Total Reagent Sales till date Actual" numFmtId="0">
      <sharedItems containsString="0" containsBlank="1" containsNumber="1" minValue="0" maxValue="18213225"/>
    </cacheField>
    <cacheField name="Months" numFmtId="0">
      <sharedItems containsString="0" containsBlank="1" containsNumber="1" containsInteger="1" minValue="0" maxValue="25" count="24">
        <n v="6"/>
        <n v="12"/>
        <m/>
        <n v="4"/>
        <n v="0"/>
        <n v="7"/>
        <n v="1"/>
        <n v="13"/>
        <n v="16"/>
        <n v="9"/>
        <n v="3"/>
        <n v="18"/>
        <n v="11"/>
        <n v="8"/>
        <n v="17"/>
        <n v="20"/>
        <n v="25"/>
        <n v="14"/>
        <n v="10"/>
        <n v="15"/>
        <n v="5"/>
        <n v="2" u="1"/>
        <n v="21" u="1"/>
        <n v="22" u="1"/>
      </sharedItems>
    </cacheField>
    <cacheField name="Avg reagent Sales per month Actual" numFmtId="0">
      <sharedItems containsString="0" containsBlank="1" containsNumber="1" minValue="0" maxValue="2312587.5"/>
    </cacheField>
    <cacheField name="Payback remaining estimate" numFmtId="165">
      <sharedItems containsString="0" containsBlank="1" containsNumber="1" minValue="-4576080" maxValue="16118184"/>
    </cacheField>
    <cacheField name="On Track / behind" numFmtId="166">
      <sharedItems containsString="0" containsBlank="1" containsNumber="1" minValue="-2328642.1428571432" maxValue="694156"/>
    </cacheField>
    <cacheField name="Finance Comments" numFmtId="0">
      <sharedItems containsBlank="1" count="27">
        <s v="Sales behind track"/>
        <s v="No sales"/>
        <s v="Sales on track"/>
        <s v="Sales not started yet"/>
        <s v="Sales behind track ( No sales after Aug)"/>
        <s v="Sales behind track ( No sales after Aug, beside commitment)"/>
        <s v="behind track, sales every month"/>
        <s v="Sales behind track ( No sales after May 2023)"/>
        <s v="Sales behind track (No sales after Aug)"/>
        <s v="No sales after Oct"/>
        <s v="Sales are going on, Cost covered"/>
        <s v="Sales behind track( no Sales from Nov-23)"/>
        <m u="1"/>
        <s v="Sales behind track ( No sales after Mar 2023)" u="1"/>
        <s v="behind track (No Sales After Feb 2023)" u="1"/>
        <s v="Sales on track (No sales in September)" u="1"/>
        <s v="Sales behind track (No sales in Sep)" u="1"/>
        <s v="behind track, (No sales after Apr 2023)" u="1"/>
        <s v="Sales behind track " u="1"/>
        <s v="No sales till date" u="1"/>
        <s v="No Sales after Nov22" u="1"/>
        <s v="Sales behind track ( No sales in Aug " u="1"/>
        <s v="First month sales" u="1"/>
        <s v="No sales after Oct 22" u="1"/>
        <s v="Sales behind track ( No sales in Sep, as per commitment)" u="1"/>
        <s v="No sales yet" u="1"/>
        <s v="sales behind track (No sales in Aug" u="1"/>
      </sharedItems>
    </cacheField>
    <cacheField name="Deficit/Cost covered" numFmtId="167">
      <sharedItems containsSemiMixedTypes="0" containsString="0" containsNumber="1" minValue="-34929632.142857149" maxValue="4476740"/>
    </cacheField>
    <cacheField name="Margin %" numFmtId="9">
      <sharedItems containsSemiMixedTypes="0" containsString="0" containsNumber="1" minValue="0.2" maxValue="0.6"/>
    </cacheField>
    <cacheField name="Margin on Reagent sale" numFmtId="167">
      <sharedItems containsSemiMixedTypes="0" containsString="0" containsNumber="1" minValue="0" maxValue="5838370"/>
    </cacheField>
    <cacheField name="% " numFmtId="9">
      <sharedItems containsSemiMixedTypes="0" containsString="0" containsNumber="1" minValue="0" maxValue="4.6252208288111287"/>
    </cacheField>
  </cacheFields>
  <extLst>
    <ext xmlns:x14="http://schemas.microsoft.com/office/spreadsheetml/2009/9/main" uri="{725AE2AE-9491-48be-B2B4-4EB974FC3084}">
      <x14:pivotCacheDefinition pivotCacheId="20153835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oba Tirmizi-External - Life Science" refreshedDate="45436.634006365741" createdVersion="8" refreshedVersion="8" minRefreshableVersion="3" recordCount="48" xr:uid="{00000000-000A-0000-FFFF-FFFF01000000}">
  <cacheSource type="worksheet">
    <worksheetSource name="Table1"/>
  </cacheSource>
  <cacheFields count="37">
    <cacheField name="S.No." numFmtId="0">
      <sharedItems containsString="0" containsBlank="1" containsNumber="1" containsInteger="1" minValue="1" maxValue="33"/>
    </cacheField>
    <cacheField name="Sales Manager" numFmtId="0">
      <sharedItems containsBlank="1"/>
    </cacheField>
    <cacheField name="Machine Name" numFmtId="0">
      <sharedItems containsBlank="1" count="12">
        <s v="Selectra Mach 5"/>
        <s v="Selectra PRO M Lite"/>
        <s v="Swelab Alfa Plus Std."/>
        <s v="iFlash 1800"/>
        <s v="iFlash 1200"/>
        <s v="VITROS ECiQ Immunodiagnostic System"/>
        <s v="VITROS 3600"/>
        <s v="IFLASH 1800 "/>
        <s v="Nova Prime Plus"/>
        <s v="Laura XL"/>
        <m/>
        <s v="    "/>
      </sharedItems>
    </cacheField>
    <cacheField name="SAP Material No" numFmtId="0">
      <sharedItems containsString="0" containsBlank="1" containsNumber="1" containsInteger="1" minValue="15001967" maxValue="15002760"/>
    </cacheField>
    <cacheField name="Machine type" numFmtId="0">
      <sharedItems containsBlank="1"/>
    </cacheField>
    <cacheField name="Asset Number " numFmtId="0">
      <sharedItems containsBlank="1" containsMixedTypes="1" containsNumber="1" containsInteger="1" minValue="3002000001" maxValue="3002000030"/>
    </cacheField>
    <cacheField name="MachineSerial No." numFmtId="0">
      <sharedItems containsBlank="1" containsMixedTypes="1" containsNumber="1" containsInteger="1" minValue="30004829" maxValue="36001565"/>
    </cacheField>
    <cacheField name="Machine Issue Date" numFmtId="0">
      <sharedItems containsDate="1" containsBlank="1" containsMixedTypes="1" minDate="2023-01-06T00:00:00" maxDate="2023-01-07T00:00:00"/>
    </cacheField>
    <cacheField name="Agreement Date" numFmtId="0">
      <sharedItems containsDate="1" containsBlank="1" containsMixedTypes="1" minDate="2021-06-01T00:00:00" maxDate="2023-11-02T00:00:00"/>
    </cacheField>
    <cacheField name="Approval Date" numFmtId="0">
      <sharedItems containsDate="1" containsBlank="1" containsMixedTypes="1" minDate="2021-06-01T00:00:00" maxDate="2023-04-21T00:00:00"/>
    </cacheField>
    <cacheField name="Status" numFmtId="0">
      <sharedItems containsBlank="1"/>
    </cacheField>
    <cacheField name="Region" numFmtId="0">
      <sharedItems containsBlank="1"/>
    </cacheField>
    <cacheField name="City" numFmtId="0">
      <sharedItems containsBlank="1"/>
    </cacheField>
    <cacheField name="Customer No." numFmtId="0">
      <sharedItems containsString="0" containsBlank="1" containsNumber="1" containsInteger="1" minValue="3020000022" maxValue="30200001280"/>
    </cacheField>
    <cacheField name="Customer Name" numFmtId="0">
      <sharedItems containsBlank="1"/>
    </cacheField>
    <cacheField name="Owner" numFmtId="0">
      <sharedItems containsBlank="1"/>
    </cacheField>
    <cacheField name="Adresss" numFmtId="0">
      <sharedItems containsBlank="1"/>
    </cacheField>
    <cacheField name="Phone" numFmtId="0">
      <sharedItems containsBlank="1"/>
    </cacheField>
    <cacheField name="Email" numFmtId="0">
      <sharedItems containsBlank="1"/>
    </cacheField>
    <cacheField name="NTN" numFmtId="0">
      <sharedItems containsBlank="1" containsMixedTypes="1" containsNumber="1" containsInteger="1" minValue="0" maxValue="0"/>
    </cacheField>
    <cacheField name="STN" numFmtId="0">
      <sharedItems containsBlank="1"/>
    </cacheField>
    <cacheField name="CNIC" numFmtId="0">
      <sharedItems containsBlank="1"/>
    </cacheField>
    <cacheField name="Unit Cost" numFmtId="0">
      <sharedItems containsString="0" containsBlank="1" containsNumber="1" containsInteger="1" minValue="1262290" maxValue="16350883"/>
    </cacheField>
    <cacheField name="Per Month Reagent Commitment" numFmtId="0">
      <sharedItems containsString="0" containsBlank="1" containsNumber="1" minValue="228413" maxValue="1477881"/>
    </cacheField>
    <cacheField name="Payback Period Approved in months" numFmtId="0">
      <sharedItems containsString="0" containsBlank="1" containsNumber="1" containsInteger="1" minValue="6" maxValue="38"/>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Total Reagent Sales till date Actual" numFmtId="165">
      <sharedItems containsString="0" containsBlank="1" containsNumber="1" minValue="174545.45" maxValue="9680100"/>
    </cacheField>
    <cacheField name="Months" numFmtId="0">
      <sharedItems containsString="0" containsBlank="1" containsNumber="1" containsInteger="1" minValue="1" maxValue="19"/>
    </cacheField>
    <cacheField name="Avg reagent Sales per month Actual" numFmtId="165">
      <sharedItems containsString="0" containsBlank="1" containsNumber="1" minValue="46636.36363636364" maxValue="1076850"/>
    </cacheField>
    <cacheField name="Payback remaining estimate" numFmtId="165">
      <sharedItems containsString="0" containsBlank="1" containsNumber="1" minValue="-2609750" maxValue="16202390.6"/>
    </cacheField>
    <cacheField name="On Track / behind" numFmtId="166">
      <sharedItems containsString="0" containsBlank="1" containsNumber="1" minValue="-1266339" maxValue="0"/>
    </cacheField>
    <cacheField name="Finance Comment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y Javed - Controlling" refreshedDate="46115.484249421293" createdVersion="8" refreshedVersion="8" minRefreshableVersion="3" recordCount="201" xr:uid="{00000000-000A-0000-FFFF-FFFF03000000}">
  <cacheSource type="worksheet">
    <worksheetSource name="Table14[[Businesst Managers]:[Last Six Month Avg]]"/>
  </cacheSource>
  <cacheFields count="87">
    <cacheField name="Businesst Managers" numFmtId="0">
      <sharedItems containsBlank="1"/>
    </cacheField>
    <cacheField name="Supplier name" numFmtId="0">
      <sharedItems/>
    </cacheField>
    <cacheField name="Machine Name" numFmtId="0">
      <sharedItems/>
    </cacheField>
    <cacheField name="SAP Material No" numFmtId="0">
      <sharedItems containsString="0" containsBlank="1" containsNumber="1" containsInteger="1" minValue="15000003" maxValue="15003367"/>
    </cacheField>
    <cacheField name="Machine type" numFmtId="0">
      <sharedItems containsBlank="1"/>
    </cacheField>
    <cacheField name="Asset Number " numFmtId="0">
      <sharedItems containsBlank="1" containsMixedTypes="1" containsNumber="1" containsInteger="1" minValue="3002000001" maxValue="3002000121"/>
    </cacheField>
    <cacheField name="Transfer" numFmtId="0">
      <sharedItems containsBlank="1"/>
    </cacheField>
    <cacheField name="MachineSerial No." numFmtId="0">
      <sharedItems containsBlank="1" containsMixedTypes="1" containsNumber="1" containsInteger="1" minValue="1588" maxValue="324100000639" longText="1"/>
    </cacheField>
    <cacheField name="Machine Issue Date" numFmtId="0">
      <sharedItems containsBlank="1"/>
    </cacheField>
    <cacheField name="Agreement Date" numFmtId="0">
      <sharedItems containsDate="1" containsBlank="1" containsMixedTypes="1" minDate="2023-12-15T00:00:00" maxDate="2023-12-16T00:00:00"/>
    </cacheField>
    <cacheField name="Approval Date" numFmtId="14">
      <sharedItems containsBlank="1"/>
    </cacheField>
    <cacheField name="Business Case" numFmtId="0">
      <sharedItems containsBlank="1"/>
    </cacheField>
    <cacheField name="Remarks" numFmtId="0">
      <sharedItems containsBlank="1"/>
    </cacheField>
    <cacheField name="Status" numFmtId="0">
      <sharedItems containsBlank="1" count="17">
        <s v="Active"/>
        <s v="Closed"/>
        <s v="New"/>
        <s v="Closed 1"/>
        <s v="New Active"/>
        <s v="Revised"/>
        <s v=" Closed"/>
        <s v="Closed Quetta"/>
        <s v="Revised Quetta"/>
        <s v="New " u="1"/>
        <s v="Active 1" u="1"/>
        <s v="Active / Closed" u="1"/>
        <s v="Active / Completed" u="1"/>
        <s v="Active Quetta" u="1"/>
        <m u="1"/>
        <s v="Active/ under capitalization" u="1"/>
        <s v="Closed &amp; revised" u="1"/>
      </sharedItems>
    </cacheField>
    <cacheField name="Region" numFmtId="0">
      <sharedItems containsBlank="1" count="5">
        <s v="South"/>
        <s v="Center"/>
        <s v="North"/>
        <m/>
        <s v="Centre" u="1"/>
      </sharedItems>
    </cacheField>
    <cacheField name="City" numFmtId="0">
      <sharedItems containsBlank="1"/>
    </cacheField>
    <cacheField name="Customer No." numFmtId="0">
      <sharedItems containsBlank="1" containsMixedTypes="1" containsNumber="1" containsInteger="1" minValue="3020000013" maxValue="3020001814"/>
    </cacheField>
    <cacheField name="Customer Name" numFmtId="0">
      <sharedItems/>
    </cacheField>
    <cacheField name="Owner" numFmtId="0">
      <sharedItems containsBlank="1"/>
    </cacheField>
    <cacheField name="Adresss" numFmtId="0">
      <sharedItems containsBlank="1"/>
    </cacheField>
    <cacheField name="Phone" numFmtId="0">
      <sharedItems containsBlank="1" containsMixedTypes="1" containsNumber="1" containsInteger="1" minValue="3004102701" maxValue="3004102701"/>
    </cacheField>
    <cacheField name="Email" numFmtId="0">
      <sharedItems containsBlank="1"/>
    </cacheField>
    <cacheField name="NTN / STN" numFmtId="0">
      <sharedItems containsBlank="1"/>
    </cacheField>
    <cacheField name="CNIC" numFmtId="0">
      <sharedItems containsBlank="1"/>
    </cacheField>
    <cacheField name="Unit Cost" numFmtId="0">
      <sharedItems containsString="0" containsBlank="1" containsNumber="1" minValue="162901" maxValue="21992876"/>
    </cacheField>
    <cacheField name="Payback Period Approved in months" numFmtId="0">
      <sharedItems containsString="0" containsBlank="1" containsNumber="1" containsInteger="1" minValue="3" maxValue="73"/>
    </cacheField>
    <cacheField name="Per Month Reagent Commitment" numFmtId="0">
      <sharedItems containsString="0" containsBlank="1" containsNumber="1" minValue="25920" maxValue="4804146"/>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Comments by Business (July2023)" numFmtId="0">
      <sharedItems containsBlank="1" containsMixedTypes="1" containsNumber="1" containsInteger="1" minValue="0" maxValue="0"/>
    </cacheField>
    <cacheField name="Action Plan (July23)" numFmtId="0">
      <sharedItems containsBlank="1" containsMixedTypes="1" containsNumber="1" containsInteger="1" minValue="0" maxValue="0"/>
    </cacheField>
    <cacheField name="Comments by Business (Aug2023)" numFmtId="0">
      <sharedItems containsBlank="1"/>
    </cacheField>
    <cacheField name="Action Plan (Aug23)" numFmtId="0">
      <sharedItems containsBlank="1"/>
    </cacheField>
    <cacheField name="Comments by Business (Sep2023)" numFmtId="0">
      <sharedItems containsBlank="1"/>
    </cacheField>
    <cacheField name="Action Plan (Sep23)" numFmtId="0">
      <sharedItems containsBlank="1"/>
    </cacheField>
    <cacheField name="Comments by Business (Oct 2023)" numFmtId="0">
      <sharedItems containsNonDate="0" containsString="0" containsBlank="1"/>
    </cacheField>
    <cacheField name="Action Plan (Oct 23)" numFmtId="0">
      <sharedItems containsBlank="1"/>
    </cacheField>
    <cacheField name="Comments by Business (Nov 2023)" numFmtId="0">
      <sharedItems containsBlank="1"/>
    </cacheField>
    <cacheField name="Action Plan (Nov 23)" numFmtId="0">
      <sharedItems containsBlank="1"/>
    </cacheField>
    <cacheField name="Comments by Business (Dec 2023)" numFmtId="0">
      <sharedItems containsBlank="1"/>
    </cacheField>
    <cacheField name="Action Plan (Dec 23)" numFmtId="0">
      <sharedItems containsBlank="1"/>
    </cacheField>
    <cacheField name="Comments by Business (Feb 2024)" numFmtId="0">
      <sharedItems containsBlank="1"/>
    </cacheField>
    <cacheField name="Action Plan (Feb 24)" numFmtId="0">
      <sharedItems containsNonDate="0" containsString="0" containsBlank="1"/>
    </cacheField>
    <cacheField name="Comments by Business (Mar 2024)" numFmtId="0">
      <sharedItems containsBlank="1"/>
    </cacheField>
    <cacheField name="Comments by Business (April 2024)" numFmtId="0">
      <sharedItems containsBlank="1"/>
    </cacheField>
    <cacheField name="Comments by Business (May 2024)" numFmtId="0">
      <sharedItems containsNonDate="0" containsString="0" containsBlank="1"/>
    </cacheField>
    <cacheField name="Finance Comments July" numFmtId="0">
      <sharedItems containsBlank="1"/>
    </cacheField>
    <cacheField name="Comments by Business (Jun 2024)" numFmtId="0">
      <sharedItems containsBlank="1"/>
    </cacheField>
    <cacheField name="Comments by Business (Jan 2025)" numFmtId="0">
      <sharedItems containsNonDate="0" containsString="0" containsBlank="1"/>
    </cacheField>
    <cacheField name="Comments by Business (Feb 2026)" numFmtId="0">
      <sharedItems containsBlank="1"/>
    </cacheField>
    <cacheField name="Column2" numFmtId="0">
      <sharedItems containsString="0" containsBlank="1" containsNumber="1" containsInteger="1" minValue="1" maxValue="1"/>
    </cacheField>
    <cacheField name="Comments by Business" numFmtId="0">
      <sharedItems containsBlank="1"/>
    </cacheField>
    <cacheField name="Jan-24" numFmtId="0">
      <sharedItems containsString="0" containsBlank="1" containsNumber="1" minValue="0" maxValue="3781305.1599999997"/>
    </cacheField>
    <cacheField name="Feb-24" numFmtId="0">
      <sharedItems containsString="0" containsBlank="1" containsNumber="1" minValue="0" maxValue="5613694.8999999994"/>
    </cacheField>
    <cacheField name="Mar-24" numFmtId="0">
      <sharedItems containsString="0" containsBlank="1" containsNumber="1" minValue="0" maxValue="5357692"/>
    </cacheField>
    <cacheField name="Apr-24" numFmtId="0">
      <sharedItems containsString="0" containsBlank="1" containsNumber="1" minValue="0" maxValue="1329613.5"/>
    </cacheField>
    <cacheField name="May-24" numFmtId="0">
      <sharedItems containsString="0" containsBlank="1" containsNumber="1" minValue="0" maxValue="3924900"/>
    </cacheField>
    <cacheField name="Jun-24" numFmtId="0">
      <sharedItems containsString="0" containsBlank="1" containsNumber="1" minValue="0" maxValue="2081819.5"/>
    </cacheField>
    <cacheField name="Jul-24" numFmtId="0">
      <sharedItems containsString="0" containsBlank="1" containsNumber="1" minValue="0" maxValue="2496748.33"/>
    </cacheField>
    <cacheField name="Aug-24" numFmtId="0">
      <sharedItems containsString="0" containsBlank="1" containsNumber="1" minValue="-335500" maxValue="2602908.83"/>
    </cacheField>
    <cacheField name="Sep-24" numFmtId="0">
      <sharedItems containsString="0" containsBlank="1" containsNumber="1" minValue="0" maxValue="4129498"/>
    </cacheField>
    <cacheField name="Oct-24" numFmtId="0">
      <sharedItems containsString="0" containsBlank="1" containsNumber="1" minValue="0" maxValue="10851396"/>
    </cacheField>
    <cacheField name="Nov-24" numFmtId="0">
      <sharedItems containsString="0" containsBlank="1" containsNumber="1" minValue="-405300" maxValue="1628220.82"/>
    </cacheField>
    <cacheField name="Dec-24" numFmtId="0">
      <sharedItems containsString="0" containsBlank="1" containsNumber="1" minValue="0" maxValue="4221340.25"/>
    </cacheField>
    <cacheField name="YTD 2024" numFmtId="167">
      <sharedItems containsString="0" containsBlank="1" containsNumber="1" minValue="0" maxValue="24931373.599999998"/>
    </cacheField>
    <cacheField name="Jan-25" numFmtId="0">
      <sharedItems containsString="0" containsBlank="1" containsNumber="1" minValue="0" maxValue="3051906"/>
    </cacheField>
    <cacheField name="Feb-25" numFmtId="0">
      <sharedItems containsString="0" containsBlank="1" containsNumber="1" minValue="-114525" maxValue="1920800"/>
    </cacheField>
    <cacheField name="Mar-25" numFmtId="0">
      <sharedItems containsString="0" containsBlank="1" containsNumber="1" minValue="-376955" maxValue="8509108"/>
    </cacheField>
    <cacheField name="Apr-25" numFmtId="0">
      <sharedItems containsString="0" containsBlank="1" containsNumber="1" minValue="0" maxValue="6230153"/>
    </cacheField>
    <cacheField name="May-25" numFmtId="0">
      <sharedItems containsString="0" containsBlank="1" containsNumber="1" minValue="0" maxValue="5820256.3099999996"/>
    </cacheField>
    <cacheField name="Jun-25" numFmtId="0">
      <sharedItems containsString="0" containsBlank="1" containsNumber="1" minValue="0" maxValue="6057816"/>
    </cacheField>
    <cacheField name="Jul-25" numFmtId="0">
      <sharedItems containsString="0" containsBlank="1" containsNumber="1" minValue="0" maxValue="2783753"/>
    </cacheField>
    <cacheField name="Aug-25" numFmtId="0">
      <sharedItems containsString="0" containsBlank="1" containsNumber="1" minValue="-160800" maxValue="1348290"/>
    </cacheField>
    <cacheField name="Sep-25" numFmtId="0">
      <sharedItems containsString="0" containsBlank="1" containsNumber="1" minValue="-91200" maxValue="3437600"/>
    </cacheField>
    <cacheField name="Oct-25" numFmtId="0">
      <sharedItems containsString="0" containsBlank="1" containsNumber="1" minValue="0" maxValue="3372670"/>
    </cacheField>
    <cacheField name="Nov-25" numFmtId="0">
      <sharedItems containsString="0" containsBlank="1" containsNumber="1" minValue="-18142" maxValue="3825383"/>
    </cacheField>
    <cacheField name="Dec-25" numFmtId="0">
      <sharedItems containsString="0" containsBlank="1" containsNumber="1" minValue="-255468" maxValue="16873200"/>
    </cacheField>
    <cacheField name="YTD 2025" numFmtId="0">
      <sharedItems containsString="0" containsBlank="1" containsNumber="1" minValue="-491480" maxValue="19335600"/>
    </cacheField>
    <cacheField name="Jan-26" numFmtId="0">
      <sharedItems containsString="0" containsBlank="1" containsNumber="1" minValue="0" maxValue="5612247"/>
    </cacheField>
    <cacheField name="Feb-26" numFmtId="0">
      <sharedItems containsString="0" containsBlank="1" containsNumber="1" minValue="-120000" maxValue="3050848"/>
    </cacheField>
    <cacheField name="Mar-26" numFmtId="0">
      <sharedItems containsString="0" containsBlank="1" containsNumber="1" minValue="0" maxValue="843500"/>
    </cacheField>
    <cacheField name="YTD 2026" numFmtId="0">
      <sharedItems containsString="0" containsBlank="1" containsNumber="1" minValue="-120000" maxValue="6252124"/>
    </cacheField>
    <cacheField name="Average Sales per month sales" numFmtId="167">
      <sharedItems containsString="0" containsBlank="1" containsNumber="1" minValue="0" maxValue="32226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in Alqamari - Controlling" refreshedDate="46122.487092476855" createdVersion="8" refreshedVersion="8" minRefreshableVersion="3" recordCount="200" xr:uid="{024DF815-9665-4532-B74E-2E5A8B866415}">
  <cacheSource type="worksheet">
    <worksheetSource name="Table14[[Supplier name]:[Column1]]"/>
  </cacheSource>
  <cacheFields count="98">
    <cacheField name="Supplier name" numFmtId="0">
      <sharedItems count="10">
        <s v="YHLO"/>
        <s v="Vital Scientific"/>
        <s v="OCD"/>
        <s v="Boule"/>
        <s v="Stago"/>
        <s v="Dymind"/>
        <s v="Nova"/>
        <s v="Erba"/>
        <s v="Zybio"/>
        <s v="Headway"/>
      </sharedItems>
    </cacheField>
    <cacheField name="Machine Name" numFmtId="0">
      <sharedItems/>
    </cacheField>
    <cacheField name="SAP Material No" numFmtId="0">
      <sharedItems containsString="0" containsBlank="1" containsNumber="1" containsInteger="1" minValue="15000003" maxValue="15003367"/>
    </cacheField>
    <cacheField name="Machine type" numFmtId="0">
      <sharedItems containsBlank="1"/>
    </cacheField>
    <cacheField name="Asset Number " numFmtId="0">
      <sharedItems containsBlank="1" containsMixedTypes="1" containsNumber="1" containsInteger="1" minValue="3002000001" maxValue="3002000121"/>
    </cacheField>
    <cacheField name="Transfer" numFmtId="0">
      <sharedItems containsBlank="1"/>
    </cacheField>
    <cacheField name="MachineSerial No." numFmtId="0">
      <sharedItems containsBlank="1" containsMixedTypes="1" containsNumber="1" containsInteger="1" minValue="1588" maxValue="324100000639" longText="1"/>
    </cacheField>
    <cacheField name="Machine Issue Date" numFmtId="0">
      <sharedItems containsBlank="1"/>
    </cacheField>
    <cacheField name="Agreement Date" numFmtId="0">
      <sharedItems containsDate="1" containsBlank="1" containsMixedTypes="1" minDate="2023-12-15T00:00:00" maxDate="2023-12-16T00:00:00"/>
    </cacheField>
    <cacheField name="Approval Date" numFmtId="14">
      <sharedItems containsBlank="1"/>
    </cacheField>
    <cacheField name="Business Case" numFmtId="0">
      <sharedItems containsBlank="1"/>
    </cacheField>
    <cacheField name="Remarks" numFmtId="0">
      <sharedItems containsBlank="1"/>
    </cacheField>
    <cacheField name="Status" numFmtId="0">
      <sharedItems count="10">
        <s v="Active"/>
        <s v="Closed"/>
        <s v="New"/>
        <s v="Closed 1"/>
        <s v="New Active"/>
        <s v="Revised"/>
        <s v=" Closed"/>
        <s v="Closed Quetta"/>
        <s v="Revised Quetta"/>
        <s v="New " u="1"/>
      </sharedItems>
    </cacheField>
    <cacheField name="Region" numFmtId="0">
      <sharedItems containsBlank="1" count="4">
        <s v="South"/>
        <s v="Center"/>
        <s v="North"/>
        <m/>
      </sharedItems>
    </cacheField>
    <cacheField name="City" numFmtId="0">
      <sharedItems containsBlank="1"/>
    </cacheField>
    <cacheField name="Customer No." numFmtId="0">
      <sharedItems containsString="0" containsBlank="1" containsNumber="1" containsInteger="1" minValue="3020000013" maxValue="3020001814"/>
    </cacheField>
    <cacheField name="Customer Name" numFmtId="0">
      <sharedItems count="139">
        <s v="Dar ul Sehat Hospital"/>
        <s v="Dr. Essa Laboratory"/>
        <s v="Hormone lab "/>
        <s v="SICVD (Sindh Institute of Cardiovascular) Baldia-Karachi"/>
        <s v="SICVD (Sindh Institute of Cardiovascular) Hyderabad"/>
        <s v="SICVD (Sindh Institute of Cardiovascular) TMK"/>
        <s v="SICVD (Sindh Institute of Cardiovascular) Larkana"/>
        <s v="SICVD (Sindh Institute of Cardiovascular) Sukkur"/>
        <s v="SICVD, Larkana"/>
        <s v="SICVD, Nawabshah"/>
        <s v="National Institue of Blood Diseases"/>
        <s v="DHO Nawabshah Through HS Medical Nawab Shah"/>
        <s v="Minhaj Lab lahore"/>
        <s v="QAMC"/>
        <s v="QAMC Bahawalpur"/>
        <s v="Al Khidmat Razi Hospital"/>
        <s v="Citilab "/>
        <s v="Mughal Diagnostics &amp; Research Labs/Cancer Care Hospital"/>
        <s v="Mughal Lab Lahore"/>
        <s v="Mughal Diagnostics"/>
        <s v="University of Lahore Hospital"/>
        <s v="Hashmani Hospital"/>
        <s v="Hussaini Blood Bank"/>
        <s v="Fazle Umar Hospital"/>
        <s v="Al Maisarah Dialysis &amp; Diabetes trust "/>
        <s v="Burhani Hospital Trust"/>
        <s v="Aga Khan Hospital"/>
        <s v="AL Khidmat Diagnostic Center"/>
        <s v="Faisalabad Medical University (Allied to be changed)"/>
        <s v="DHQ Hospital (Allied Hospital-II )"/>
        <s v="Faisalabad Medical University"/>
        <s v="Anklesaria Hospital"/>
        <s v="PNS Shifa Hospital (V-Med Inter Trade)"/>
        <s v="PNS Rahat Hospital (V-Med Inter Trade)"/>
        <s v="Ali Medical Center Islamabad"/>
        <s v="Imperial Lab"/>
        <s v="The Children Hospital &amp; The Institute Multan"/>
        <s v="Children's Hospital Multan"/>
        <s v="Makhdoom Diagnostic Center MDC"/>
        <s v="Alamgir Welfare Trust Int."/>
        <s v="NHS"/>
        <s v="Saifee Hospital, Karachi"/>
        <s v="Creek General Hospital (Patients Welfare Foundation)"/>
        <s v="Pakistan International Airlines Co-operation Limited"/>
        <s v="FIC(Faisalabad Institute of Cardialogy)"/>
        <s v="Memon Medical Institute Hospital"/>
        <s v="Lady  Aitchison Hospital"/>
        <s v="Children's Hospital Faisalabad"/>
        <s v="BioPath Lab &amp;  Diagnostic Centre"/>
        <s v="Gulab devi Hosp. Lahore"/>
        <s v="Gulab Devi Chest Hospital"/>
        <s v="The Medical Lab Lahore"/>
        <s v="Hopes Diagnostics"/>
        <s v="Masood Hospital "/>
        <s v="Ghurki Trust Teaching Hospital"/>
        <s v="National institue of Child Health"/>
        <s v="Akbar Niazi Teaching Hospital"/>
        <s v="KKF"/>
        <s v="KKF "/>
        <s v="D&amp;R Lab"/>
        <s v="D&amp;R Lab (Dadu) /Liaquat University Of Medical &amp; Hea"/>
        <s v="Magma International/CDA Islamabad"/>
        <s v="Valley Health Care Laborotary "/>
        <s v="Arif Memorial Hospital"/>
        <s v="Medcare International Hospital Gujranwala"/>
        <s v="Med Care Hospital"/>
        <s v="Peshawar Fertility &amp; IVF center"/>
        <s v="National Medical Center"/>
        <s v="Al-Khidmat Hospital"/>
        <s v="Al-Khidmat Lab Mirpur Azad Kashmir"/>
        <s v="North Mehran Diagnostic Centre"/>
        <s v="NICVD"/>
        <s v="Karachi Instituite of Heart Diseases (KIHD)"/>
        <s v="Noor lab quetta "/>
        <s v="Army Cardiac Hospital-Taurus International"/>
        <s v="Al- Khidmat Welfare Society"/>
        <s v="Al Khidmat Hospital Karachi"/>
        <s v="Punjab Inst.Of Cardiology"/>
        <s v="Punjab Institute of Cardiology Lahore"/>
        <s v="Metlab-Shahmir Enterprises"/>
        <s v="Rafiq Anwar Memorial Trust Hospital"/>
        <s v="Sky Blue Lab Karachi"/>
        <s v="(SICHN) Sindh Institute of Child Health and Neonatology"/>
        <s v="Aziz Bhatti Shaheed Teaching Hospital"/>
        <s v="Sharif Trust Medical City Hospital"/>
        <s v="SOMH-FFH (shaukat umar memorial Hospital- fauji Foundation hospital)"/>
        <s v="Shaikh Zayed Hospital"/>
        <s v="Siddique Sadiq Memorial trust"/>
        <s v="Indus Clinical Laboratories"/>
        <s v="JDC Diagnostic Center"/>
        <s v="Test Zone"/>
        <s v="Test Zone Multan"/>
        <s v="Healthway Laboratories"/>
        <s v="Liaquat Univerty Hospital through Ojhal Enterprises"/>
        <s v="Ishtiaq Tarrar Medical Complex"/>
        <s v="Rehman Medical Institute, Peshawar"/>
        <s v="Rehman Medical Institute (Pvt) Ltd"/>
        <s v="Suhail Daignostic "/>
        <s v="Advance Diagnostic Centre"/>
        <s v="GAMCA (Peshawar Medical Check-up Center) Through Jan Marketing"/>
        <s v="Indus Hospital "/>
        <s v="Indus Hospital &amp; Health Network"/>
        <s v="Public Welfare Sheikh Zayed (The Indus Hospital)"/>
        <s v="Indus Hospital Health Network (SUI Campus)"/>
        <s v="Jinnah Post Graduate Medical Center (JPMC) through MHK Enterprises"/>
        <s v="JPMC through MHK Enterprises"/>
        <s v="Imran Idress Hospital /Test Zone"/>
        <s v="Gillani Hospital Quetta(Through Jamal Brothers)"/>
        <s v="Regional Blood Centre Through Jamal Brothers"/>
        <s v="Rehan Hospital Through Jamal Brothers"/>
        <s v="City International Hospital Quetta(Through Jamal Brothers)"/>
        <s v="Harmon Lab Quetta (through Jamal Brothers)"/>
        <s v="Sultan Tareen Hospital Quetta(Through Jamal Brothers)"/>
        <s v="Fayyaz Lab (Through Jamal brothers)"/>
        <s v="M khan Lab Quetta (Through Jamal brothers)"/>
        <s v="Rahat Hospital Quetta(Through Jamal brothers)"/>
        <s v="Yaseen Hospital(Through Jamal brothers)"/>
        <s v="Sardar Fateh M. Khan Buzdar Institute of Cardiology"/>
        <s v="KRL (through Professional Healthcare Services)"/>
        <s v="GAMCA (Venus Diagnostic Center) "/>
        <s v="Fatima Jinnah Institute of Chest Disease (Jamal brothers)"/>
        <s v="Dr.Najma Ghaffar Hospital(Through Jamal Brothers)"/>
        <s v="Dawood Lab(Through Jamal Brothers)"/>
        <s v="Haemophilia Treatment Center( molicular concern)"/>
        <s v="GAMCA (Express Medical Center)"/>
        <s v="Tmmergara Clinical Labs-Through JMS"/>
        <s v="Taj Hematology and healthcare Center"/>
        <s v="Sahiwal Teaching Hospital"/>
        <s v="SASIM Sehwan through Mehran Trader"/>
        <s v="Welfare Hospital Sui (the indus hospital)"/>
        <s v="Ibn-E-Sina"/>
        <s v="Al-Khidmat Mashal Medical"/>
        <s v="M. Khan Lab (Through Jamal Brothers)"/>
        <s v="Attock Hospital (Through Humanity Care Diagnostic)"/>
        <s v="Biocare Labs (Private) Limited"/>
        <s v="NHS Sharah-e Qaideen"/>
        <s v="Laeq Rafiq Hospital" u="1"/>
        <s v="Al-Khidmat Diagnostic Center" u="1"/>
        <s v="Al Khidmat Foundation" u="1"/>
      </sharedItems>
    </cacheField>
    <cacheField name="Owner" numFmtId="0">
      <sharedItems containsBlank="1"/>
    </cacheField>
    <cacheField name="Adresss" numFmtId="0">
      <sharedItems containsBlank="1"/>
    </cacheField>
    <cacheField name="Phone" numFmtId="0">
      <sharedItems containsBlank="1" containsMixedTypes="1" containsNumber="1" containsInteger="1" minValue="3004102701" maxValue="3004102701"/>
    </cacheField>
    <cacheField name="Email" numFmtId="0">
      <sharedItems containsBlank="1"/>
    </cacheField>
    <cacheField name="NTN / STN" numFmtId="0">
      <sharedItems containsBlank="1"/>
    </cacheField>
    <cacheField name="CNIC" numFmtId="0">
      <sharedItems containsBlank="1"/>
    </cacheField>
    <cacheField name="Unit Cost" numFmtId="0">
      <sharedItems containsString="0" containsBlank="1" containsNumber="1" minValue="162901" maxValue="21992876"/>
    </cacheField>
    <cacheField name="Payback Period Approved in months" numFmtId="0">
      <sharedItems containsString="0" containsBlank="1" containsNumber="1" containsInteger="1" minValue="3" maxValue="73"/>
    </cacheField>
    <cacheField name="Per Month Reagent Commitment" numFmtId="0">
      <sharedItems containsString="0" containsBlank="1" containsNumber="1" minValue="25920" maxValue="4804146"/>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Comments by Business (July2023)" numFmtId="0">
      <sharedItems containsBlank="1" containsMixedTypes="1" containsNumber="1" containsInteger="1" minValue="0" maxValue="0"/>
    </cacheField>
    <cacheField name="Action Plan (July23)" numFmtId="0">
      <sharedItems containsBlank="1" containsMixedTypes="1" containsNumber="1" containsInteger="1" minValue="0" maxValue="0"/>
    </cacheField>
    <cacheField name="Comments by Business (Aug2023)" numFmtId="0">
      <sharedItems containsBlank="1"/>
    </cacheField>
    <cacheField name="Action Plan (Aug23)" numFmtId="0">
      <sharedItems containsBlank="1"/>
    </cacheField>
    <cacheField name="Comments by Business (Sep2023)" numFmtId="0">
      <sharedItems containsBlank="1"/>
    </cacheField>
    <cacheField name="Action Plan (Sep23)" numFmtId="0">
      <sharedItems containsBlank="1"/>
    </cacheField>
    <cacheField name="Comments by Business (Oct 2023)" numFmtId="0">
      <sharedItems containsNonDate="0" containsString="0" containsBlank="1"/>
    </cacheField>
    <cacheField name="Action Plan (Oct 23)" numFmtId="0">
      <sharedItems containsBlank="1"/>
    </cacheField>
    <cacheField name="Comments by Business (Nov 2023)" numFmtId="0">
      <sharedItems containsBlank="1"/>
    </cacheField>
    <cacheField name="Action Plan (Nov 23)" numFmtId="0">
      <sharedItems containsBlank="1"/>
    </cacheField>
    <cacheField name="Comments by Business (Dec 2023)" numFmtId="0">
      <sharedItems containsBlank="1"/>
    </cacheField>
    <cacheField name="Action Plan (Dec 23)" numFmtId="0">
      <sharedItems containsBlank="1"/>
    </cacheField>
    <cacheField name="Comments by Business (Feb 2024)" numFmtId="0">
      <sharedItems containsBlank="1"/>
    </cacheField>
    <cacheField name="Action Plan (Feb 24)" numFmtId="0">
      <sharedItems containsNonDate="0" containsString="0" containsBlank="1"/>
    </cacheField>
    <cacheField name="Comments by Business (Mar 2024)" numFmtId="0">
      <sharedItems containsBlank="1"/>
    </cacheField>
    <cacheField name="Comments by Business (April 2024)" numFmtId="0">
      <sharedItems containsBlank="1"/>
    </cacheField>
    <cacheField name="Comments by Business (May 2024)" numFmtId="0">
      <sharedItems containsNonDate="0" containsString="0" containsBlank="1"/>
    </cacheField>
    <cacheField name="Finance Comments July" numFmtId="0">
      <sharedItems containsBlank="1"/>
    </cacheField>
    <cacheField name="Comments by Business (Jun 2024)" numFmtId="0">
      <sharedItems containsBlank="1"/>
    </cacheField>
    <cacheField name="Comments by Business (Jan 2025)" numFmtId="0">
      <sharedItems containsNonDate="0" containsString="0" containsBlank="1"/>
    </cacheField>
    <cacheField name="Comments by Business (Feb 2026)" numFmtId="0">
      <sharedItems containsBlank="1" count="44">
        <s v="on Track"/>
        <s v="behind track (followup by sales team)"/>
        <m/>
        <s v="New Installation"/>
        <s v="Closed"/>
        <s v="SOP Revise"/>
        <s v="To be trf to GAMCA "/>
        <s v="Supply issue due to DRAP registration followup"/>
        <s v="Under Installation"/>
        <s v="To be checked only machine active"/>
        <s v="behind track need followup"/>
        <s v="need to check business case"/>
        <s v="OK"/>
        <s v="Pull BAck"/>
        <s v="Behind track"/>
        <s v="Korangi WH "/>
        <s v="Tender in process"/>
        <s v="Pull Back need followup"/>
        <s v="Due to shortages of stock"/>
        <s v="Pull Back machine on Site till 18Mach"/>
        <s v="Behind Track "/>
        <s v="Pull Back to WH"/>
        <s v="Pull Back check with WH"/>
        <s v="Ned to be checked with WH"/>
        <s v="Behind Track Followup"/>
        <s v="Machine Trf to WH"/>
        <s v="will be discussed then Pull back and will given to national hospital"/>
        <s v="Behind Target"/>
        <s v="Behind Track due to supply issue"/>
        <s v="Behind Track machine placed in july 2025"/>
        <s v="Behind Target need to followup"/>
        <s v="On Track but supply issue"/>
        <s v="Close"/>
        <s v="Trf to WH KHI"/>
        <s v="20 machines and all will be pull back"/>
        <s v="New machines"/>
        <s v="Closed need to check with WH"/>
        <s v="Machine to be checked"/>
        <s v="2 Mchines through jamal brothers purchsed"/>
        <s v="New installation "/>
        <s v="Behind track due to overdue"/>
        <s v="Sales will be allocated on 6 machine onwards" u="1"/>
        <s v="Sales To be check" u="1"/>
        <s v="Pull Back " u="1"/>
      </sharedItems>
    </cacheField>
    <cacheField name="Comments by Business (Mar 2026)" numFmtId="0">
      <sharedItems containsBlank="1" count="65">
        <s v="on track - no sales in March"/>
        <s v="follow up done it will be on track "/>
        <m/>
        <s v="on Track"/>
        <s v="Fasi will update the order detail"/>
        <s v="Supply issue due to DRAP"/>
        <s v="Order on hold - will be invoiced in April"/>
        <s v="Installed from Jan"/>
        <s v="on Track - Sales Rafay"/>
        <s v="will be moved to PIC, April 30"/>
        <s v="Under Installation"/>
        <s v="behind track need  further followup"/>
        <s v="under validation - behind track"/>
        <s v="no sales in March - Part issue"/>
        <s v="Pull back by April 30"/>
        <s v="Tender Finalize by April 30"/>
        <s v="sterrers required, sales will be on track"/>
        <s v="Qaurterly Orders - on track"/>
        <s v="Tender due on 20 April, contract renew in July"/>
        <s v="To be trf to GAMCA, April 30"/>
        <s v="Pull back - Nasir"/>
        <s v="Follow up - Fasi"/>
        <s v="one time order (no monthly sales) - new tender expected in June"/>
        <s v="over due issue, follow up needed Waqar"/>
        <s v="Pull Back check with Nasir"/>
        <s v="Update by Daniyal"/>
        <s v="Need follow up Imran Rana"/>
        <s v="will be on track"/>
        <s v="Supply issue due to DRAP registration followup"/>
        <s v="Quarterly Sales - expected April"/>
        <s v="workload decrease, Pull back by 10 May"/>
        <s v="will be on track, pateint decrease"/>
        <s v="Daniyal will take update"/>
        <s v="on track, to add TFT profile"/>
        <s v="revised quatation to be submitted by AM, invoice expected in April"/>
        <s v="On Track - Part pending - Waleed"/>
        <s v="Waqar will confirm about the status"/>
        <s v="Visit in April and then update the status"/>
        <s v="on track - check March Sales Rafay"/>
        <s v="Sales not in track - April Sales 650k"/>
        <s v="Due to shortages of stock"/>
        <s v="will be on track by April"/>
        <s v="issue settled will be on track soon"/>
        <s v="invoice in April"/>
        <s v="will be on track by April - follow up by Daniyal"/>
        <s v="Waleed - Imran Rana will upate on it"/>
        <s v="on Track - check BC - Fasi"/>
        <s v="Pulled Back and placed in Children Hospital  as backup - New case to be submitted"/>
        <s v="behind track - few items short due to supply"/>
        <s v="Customer issues need to be settle in April"/>
        <s v="over due, order of 800k will be processed in April"/>
        <s v="order will receive in April - Supply issue"/>
        <s v="pull by - Nasir"/>
        <s v="behind track April Sales"/>
        <s v="New machines"/>
        <s v="Sales started in March - Rafay"/>
        <s v="orders on hold - will be on track"/>
        <s v="sales will be invoiced in April"/>
        <s v="Tender or Pull back by May 15"/>
        <s v="due to stock shortages sales was behind track"/>
        <s v="Behind Track"/>
        <s v="Fasi will update customer no."/>
        <s v="due to overdue, invoice will be done in April, 15th April Cheque received"/>
        <s v="Behind Track due to supply issue"/>
        <s v="behind track need followup Fasi"/>
      </sharedItems>
    </cacheField>
    <cacheField name="Column2" numFmtId="0">
      <sharedItems containsString="0" containsBlank="1" containsNumber="1" containsInteger="1" minValue="1" maxValue="1"/>
    </cacheField>
    <cacheField name="Comments by Business" numFmtId="0">
      <sharedItems containsBlank="1"/>
    </cacheField>
    <cacheField name="Jan-24" numFmtId="0">
      <sharedItems containsString="0" containsBlank="1" containsNumber="1" minValue="0" maxValue="3781305.1599999997"/>
    </cacheField>
    <cacheField name="Feb-24" numFmtId="0">
      <sharedItems containsString="0" containsBlank="1" containsNumber="1" minValue="0" maxValue="5613694.8999999994"/>
    </cacheField>
    <cacheField name="Mar-24" numFmtId="0">
      <sharedItems containsString="0" containsBlank="1" containsNumber="1" minValue="0" maxValue="5357692"/>
    </cacheField>
    <cacheField name="Apr-24" numFmtId="0">
      <sharedItems containsString="0" containsBlank="1" containsNumber="1" minValue="0" maxValue="1329613.5"/>
    </cacheField>
    <cacheField name="May-24" numFmtId="0">
      <sharedItems containsString="0" containsBlank="1" containsNumber="1" minValue="0" maxValue="3924900"/>
    </cacheField>
    <cacheField name="Jun-24" numFmtId="0">
      <sharedItems containsString="0" containsBlank="1" containsNumber="1" minValue="0" maxValue="2081819.5"/>
    </cacheField>
    <cacheField name="Jul-24" numFmtId="0">
      <sharedItems containsString="0" containsBlank="1" containsNumber="1" minValue="0" maxValue="2496748.33"/>
    </cacheField>
    <cacheField name="Aug-24" numFmtId="0">
      <sharedItems containsString="0" containsBlank="1" containsNumber="1" minValue="-335500" maxValue="2602908.83"/>
    </cacheField>
    <cacheField name="Sep-24" numFmtId="0">
      <sharedItems containsString="0" containsBlank="1" containsNumber="1" minValue="0" maxValue="4129498"/>
    </cacheField>
    <cacheField name="Oct-24" numFmtId="0">
      <sharedItems containsString="0" containsBlank="1" containsNumber="1" minValue="-582966.1" maxValue="10851396"/>
    </cacheField>
    <cacheField name="Nov-24" numFmtId="0">
      <sharedItems containsString="0" containsBlank="1" containsNumber="1" minValue="-405300" maxValue="1628220.82"/>
    </cacheField>
    <cacheField name="Dec-24" numFmtId="0">
      <sharedItems containsString="0" containsBlank="1" containsNumber="1" minValue="0" maxValue="4221340.25"/>
    </cacheField>
    <cacheField name="YTD 2024" numFmtId="167">
      <sharedItems containsString="0" containsBlank="1" containsNumber="1" minValue="0" maxValue="24931373.599999998"/>
    </cacheField>
    <cacheField name="Jan-25" numFmtId="0">
      <sharedItems containsString="0" containsBlank="1" containsNumber="1" minValue="0" maxValue="3051906"/>
    </cacheField>
    <cacheField name="Feb-25" numFmtId="0">
      <sharedItems containsString="0" containsBlank="1" containsNumber="1" minValue="-114525" maxValue="1920800"/>
    </cacheField>
    <cacheField name="Mar-25" numFmtId="0">
      <sharedItems containsString="0" containsBlank="1" containsNumber="1" minValue="-376955" maxValue="8509108"/>
    </cacheField>
    <cacheField name="Apr-25" numFmtId="0">
      <sharedItems containsString="0" containsBlank="1" containsNumber="1" minValue="0" maxValue="6230153"/>
    </cacheField>
    <cacheField name="May-25" numFmtId="0">
      <sharedItems containsString="0" containsBlank="1" containsNumber="1" minValue="0" maxValue="5820256.3099999996"/>
    </cacheField>
    <cacheField name="Jun-25" numFmtId="0">
      <sharedItems containsString="0" containsBlank="1" containsNumber="1" minValue="0" maxValue="6057816"/>
    </cacheField>
    <cacheField name="Jul-25" numFmtId="0">
      <sharedItems containsString="0" containsBlank="1" containsNumber="1" minValue="0" maxValue="2783753"/>
    </cacheField>
    <cacheField name="Aug-25" numFmtId="0">
      <sharedItems containsString="0" containsBlank="1" containsNumber="1" minValue="-160800" maxValue="1348290"/>
    </cacheField>
    <cacheField name="Sep-25" numFmtId="0">
      <sharedItems containsString="0" containsBlank="1" containsNumber="1" minValue="-91200" maxValue="3437600"/>
    </cacheField>
    <cacheField name="Oct-25" numFmtId="0">
      <sharedItems containsString="0" containsBlank="1" containsNumber="1" minValue="0" maxValue="3372670"/>
    </cacheField>
    <cacheField name="Nov-25" numFmtId="0">
      <sharedItems containsString="0" containsBlank="1" containsNumber="1" minValue="-18142" maxValue="3825383"/>
    </cacheField>
    <cacheField name="Dec-25" numFmtId="0">
      <sharedItems containsString="0" containsBlank="1" containsNumber="1" minValue="-255468" maxValue="16873200"/>
    </cacheField>
    <cacheField name="YTD 2025" numFmtId="0">
      <sharedItems containsString="0" containsBlank="1" containsNumber="1" minValue="-491480" maxValue="19335600"/>
    </cacheField>
    <cacheField name="Jan-26" numFmtId="0">
      <sharedItems containsString="0" containsBlank="1" containsNumber="1" minValue="0" maxValue="5612247"/>
    </cacheField>
    <cacheField name="Feb-26" numFmtId="0">
      <sharedItems containsString="0" containsBlank="1" containsNumber="1" minValue="-120000" maxValue="3050848"/>
    </cacheField>
    <cacheField name="Mar-26" numFmtId="0">
      <sharedItems containsString="0" containsBlank="1" containsNumber="1" minValue="0" maxValue="1050917"/>
    </cacheField>
    <cacheField name="YTD 2026" numFmtId="0">
      <sharedItems containsString="0" containsBlank="1" containsNumber="1" minValue="0" maxValue="6252124"/>
    </cacheField>
    <cacheField name="Last Six Month Avg" numFmtId="167">
      <sharedItems containsSemiMixedTypes="0" containsString="0" containsNumber="1" minValue="-255468" maxValue="9667800"/>
    </cacheField>
    <cacheField name="Finance Comments for YTD" numFmtId="0">
      <sharedItems containsBlank="1"/>
    </cacheField>
    <cacheField name="Total Reagent Sales till date Actual" numFmtId="0">
      <sharedItems containsString="0" containsBlank="1" containsNumber="1" minValue="0" maxValue="46878339.049999997"/>
    </cacheField>
    <cacheField name="Months" numFmtId="0">
      <sharedItems containsBlank="1" containsMixedTypes="1" containsNumber="1" containsInteger="1" minValue="1" maxValue="45"/>
    </cacheField>
    <cacheField name="Avg reagent Sales per month Actual" numFmtId="0">
      <sharedItems containsBlank="1" containsMixedTypes="1" containsNumber="1" minValue="0" maxValue="6445200"/>
    </cacheField>
    <cacheField name="Payback remaining estimate" numFmtId="0">
      <sharedItems containsString="0" containsBlank="1" containsNumber="1" minValue="-9335495.620000001" maxValue="16760799.177547878"/>
    </cacheField>
    <cacheField name="On Track / (behind) (avg per month)" numFmtId="0">
      <sharedItems containsBlank="1" containsMixedTypes="1" containsNumber="1" minValue="-2123885.52" maxValue="3370741.1666666665"/>
    </cacheField>
    <cacheField name="Finance Comments" numFmtId="0">
      <sharedItems containsBlank="1"/>
    </cacheField>
    <cacheField name="Deficit/Cost covered" numFmtId="0">
      <sharedItems containsBlank="1" containsMixedTypes="1" containsNumber="1" minValue="-786668.28" maxValue="3065649"/>
    </cacheField>
    <cacheField name="Margin %" numFmtId="0">
      <sharedItems containsString="0" containsBlank="1" containsNumber="1" minValue="0.25" maxValue="0.45"/>
    </cacheField>
    <cacheField name="Margin on Reagent sale" numFmtId="0">
      <sharedItems containsString="0" containsBlank="1" containsNumber="1" minValue="0" maxValue="18751335.620000001"/>
    </cacheField>
    <cacheField name="Column1" numFmtId="0">
      <sharedItems containsString="0" containsBlank="1" containsNumber="1" minValue="0" maxValue="0.4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in Alqamari - Controlling" refreshedDate="46122.49812152778" createdVersion="8" refreshedVersion="8" minRefreshableVersion="3" recordCount="200" xr:uid="{00000000-000A-0000-FFFF-FFFF02000000}">
  <cacheSource type="worksheet">
    <worksheetSource name="Table14[[Businesst Managers]:[Column1]]"/>
  </cacheSource>
  <cacheFields count="99">
    <cacheField name="Businesst Managers" numFmtId="0">
      <sharedItems containsBlank="1"/>
    </cacheField>
    <cacheField name="Supplier name" numFmtId="0">
      <sharedItems containsBlank="1" count="11">
        <s v="YHLO"/>
        <s v="Vital Scientific"/>
        <s v="OCD"/>
        <s v="Boule"/>
        <s v="Stago"/>
        <s v="Dymind"/>
        <s v="Nova"/>
        <s v="Erba"/>
        <s v="Zybio"/>
        <s v="Headway"/>
        <m u="1"/>
      </sharedItems>
    </cacheField>
    <cacheField name="Machine Name" numFmtId="0">
      <sharedItems/>
    </cacheField>
    <cacheField name="SAP Material No" numFmtId="0">
      <sharedItems containsString="0" containsBlank="1" containsNumber="1" containsInteger="1" minValue="15000003" maxValue="15003367"/>
    </cacheField>
    <cacheField name="Machine type" numFmtId="0">
      <sharedItems containsBlank="1"/>
    </cacheField>
    <cacheField name="Asset Number " numFmtId="0">
      <sharedItems containsBlank="1" containsMixedTypes="1" containsNumber="1" containsInteger="1" minValue="3002000001" maxValue="3002000121"/>
    </cacheField>
    <cacheField name="Transfer" numFmtId="0">
      <sharedItems containsBlank="1"/>
    </cacheField>
    <cacheField name="MachineSerial No." numFmtId="0">
      <sharedItems containsBlank="1" containsMixedTypes="1" containsNumber="1" containsInteger="1" minValue="1588" maxValue="324100000639" longText="1"/>
    </cacheField>
    <cacheField name="Machine Issue Date" numFmtId="0">
      <sharedItems containsBlank="1"/>
    </cacheField>
    <cacheField name="Agreement Date" numFmtId="0">
      <sharedItems containsDate="1" containsBlank="1" containsMixedTypes="1" minDate="2023-12-15T00:00:00" maxDate="2023-12-16T00:00:00"/>
    </cacheField>
    <cacheField name="Approval Date" numFmtId="14">
      <sharedItems containsBlank="1"/>
    </cacheField>
    <cacheField name="Business Case" numFmtId="0">
      <sharedItems containsBlank="1"/>
    </cacheField>
    <cacheField name="Remarks" numFmtId="0">
      <sharedItems containsBlank="1"/>
    </cacheField>
    <cacheField name="Status" numFmtId="0">
      <sharedItems containsBlank="1" count="17">
        <s v="Active"/>
        <s v="Closed"/>
        <s v="New"/>
        <s v="Closed 1"/>
        <s v="New Active"/>
        <s v="Revised"/>
        <s v=" Closed"/>
        <s v="Closed Quetta"/>
        <s v="Revised Quetta"/>
        <s v="New " u="1"/>
        <s v="Active 1" u="1"/>
        <s v="Active / Closed" u="1"/>
        <s v="Active / Completed" u="1"/>
        <s v="Active Quetta" u="1"/>
        <m u="1"/>
        <s v="Active/ under capitalization" u="1"/>
        <s v="Closed &amp; revised" u="1"/>
      </sharedItems>
    </cacheField>
    <cacheField name="Region" numFmtId="0">
      <sharedItems containsBlank="1" count="4">
        <s v="South"/>
        <s v="Center"/>
        <s v="North"/>
        <m/>
      </sharedItems>
    </cacheField>
    <cacheField name="City" numFmtId="0">
      <sharedItems containsBlank="1"/>
    </cacheField>
    <cacheField name="Customer No." numFmtId="0">
      <sharedItems containsString="0" containsBlank="1" containsNumber="1" containsInteger="1" minValue="3020000013" maxValue="3020001814"/>
    </cacheField>
    <cacheField name="Customer Name" numFmtId="0">
      <sharedItems count="147">
        <s v="Dar ul Sehat Hospital"/>
        <s v="Dr. Essa Laboratory"/>
        <s v="Hormone lab "/>
        <s v="SICVD (Sindh Institute of Cardiovascular) Baldia-Karachi"/>
        <s v="SICVD (Sindh Institute of Cardiovascular) Hyderabad"/>
        <s v="SICVD (Sindh Institute of Cardiovascular) TMK"/>
        <s v="SICVD (Sindh Institute of Cardiovascular) Larkana"/>
        <s v="SICVD (Sindh Institute of Cardiovascular) Sukkur"/>
        <s v="SICVD, Larkana"/>
        <s v="SICVD, Nawabshah"/>
        <s v="National Institue of Blood Diseases"/>
        <s v="DHO Nawabshah Through HS Medical Nawab Shah"/>
        <s v="Minhaj Lab lahore"/>
        <s v="QAMC"/>
        <s v="QAMC Bahawalpur"/>
        <s v="Al Khidmat Razi Hospital"/>
        <s v="Citilab "/>
        <s v="Mughal Diagnostics &amp; Research Labs/Cancer Care Hospital"/>
        <s v="Mughal Lab Lahore"/>
        <s v="Mughal Diagnostics"/>
        <s v="University of Lahore Hospital"/>
        <s v="Hashmani Hospital"/>
        <s v="Hussaini Blood Bank"/>
        <s v="Fazle Umar Hospital"/>
        <s v="Al Maisarah Dialysis &amp; Diabetes trust "/>
        <s v="Burhani Hospital Trust"/>
        <s v="Aga Khan Hospital"/>
        <s v="AL Khidmat Diagnostic Center"/>
        <s v="Faisalabad Medical University (Allied to be changed)"/>
        <s v="DHQ Hospital (Allied Hospital-II )"/>
        <s v="Faisalabad Medical University"/>
        <s v="Anklesaria Hospital"/>
        <s v="PNS Shifa Hospital (V-Med Inter Trade)"/>
        <s v="PNS Rahat Hospital (V-Med Inter Trade)"/>
        <s v="Ali Medical Center Islamabad"/>
        <s v="Imperial Lab"/>
        <s v="The Children Hospital &amp; The Institute Multan"/>
        <s v="Children's Hospital Multan"/>
        <s v="Makhdoom Diagnostic Center MDC"/>
        <s v="Alamgir Welfare Trust Int."/>
        <s v="NHS"/>
        <s v="Saifee Hospital, Karachi"/>
        <s v="Creek General Hospital (Patients Welfare Foundation)"/>
        <s v="Pakistan International Airlines Co-operation Limited"/>
        <s v="FIC(Faisalabad Institute of Cardialogy)"/>
        <s v="Memon Medical Institute Hospital"/>
        <s v="Lady  Aitchison Hospital"/>
        <s v="Children's Hospital Faisalabad"/>
        <s v="BioPath Lab &amp;  Diagnostic Centre"/>
        <s v="Gulab devi Hosp. Lahore"/>
        <s v="Gulab Devi Chest Hospital"/>
        <s v="The Medical Lab Lahore"/>
        <s v="Hopes Diagnostics"/>
        <s v="Masood Hospital "/>
        <s v="Ghurki Trust Teaching Hospital"/>
        <s v="National institue of Child Health"/>
        <s v="Akbar Niazi Teaching Hospital"/>
        <s v="KKF"/>
        <s v="KKF "/>
        <s v="D&amp;R Lab"/>
        <s v="D&amp;R Lab (Dadu) /Liaquat University Of Medical &amp; Hea"/>
        <s v="Magma International/CDA Islamabad"/>
        <s v="Valley Health Care Laborotary "/>
        <s v="Arif Memorial Hospital"/>
        <s v="Medcare International Hospital Gujranwala"/>
        <s v="Med Care Hospital"/>
        <s v="Peshawar Fertility &amp; IVF center"/>
        <s v="National Medical Center"/>
        <s v="Al-Khidmat Hospital"/>
        <s v="Al-Khidmat Lab Mirpur Azad Kashmir"/>
        <s v="North Mehran Diagnostic Centre"/>
        <s v="NICVD"/>
        <s v="Karachi Instituite of Heart Diseases (KIHD)"/>
        <s v="Noor lab quetta "/>
        <s v="Army Cardiac Hospital-Taurus International"/>
        <s v="Al- Khidmat Welfare Society"/>
        <s v="Al Khidmat Hospital Karachi"/>
        <s v="Punjab Inst.Of Cardiology"/>
        <s v="Punjab Institute of Cardiology Lahore"/>
        <s v="Metlab-Shahmir Enterprises"/>
        <s v="Rafiq Anwar Memorial Trust Hospital"/>
        <s v="Sky Blue Lab Karachi"/>
        <s v="(SICHN) Sindh Institute of Child Health and Neonatology"/>
        <s v="Aziz Bhatti Shaheed Teaching Hospital"/>
        <s v="Sharif Trust Medical City Hospital"/>
        <s v="SOMH-FFH (shaukat umar memorial Hospital- fauji Foundation hospital)"/>
        <s v="Shaikh Zayed Hospital"/>
        <s v="Siddique Sadiq Memorial trust"/>
        <s v="Indus Clinical Laboratories"/>
        <s v="JDC Diagnostic Center"/>
        <s v="Test Zone"/>
        <s v="Test Zone Multan"/>
        <s v="Healthway Laboratories"/>
        <s v="Liaquat Univerty Hospital through Ojhal Enterprises"/>
        <s v="Ishtiaq Tarrar Medical Complex"/>
        <s v="Rehman Medical Institute, Peshawar"/>
        <s v="Rehman Medical Institute (Pvt) Ltd"/>
        <s v="Suhail Daignostic "/>
        <s v="Advance Diagnostic Centre"/>
        <s v="GAMCA (Peshawar Medical Check-up Center) Through Jan Marketing"/>
        <s v="Indus Hospital "/>
        <s v="Indus Hospital &amp; Health Network"/>
        <s v="Public Welfare Sheikh Zayed (The Indus Hospital)"/>
        <s v="Indus Hospital Health Network (SUI Campus)"/>
        <s v="Jinnah Post Graduate Medical Center (JPMC) through MHK Enterprises"/>
        <s v="JPMC through MHK Enterprises"/>
        <s v="Imran Idress Hospital /Test Zone"/>
        <s v="Gillani Hospital Quetta(Through Jamal Brothers)"/>
        <s v="Regional Blood Centre Through Jamal Brothers"/>
        <s v="Rehan Hospital Through Jamal Brothers"/>
        <s v="City International Hospital Quetta(Through Jamal Brothers)"/>
        <s v="Harmon Lab Quetta (through Jamal Brothers)"/>
        <s v="Sultan Tareen Hospital Quetta(Through Jamal Brothers)"/>
        <s v="Fayyaz Lab (Through Jamal brothers)"/>
        <s v="M khan Lab Quetta (Through Jamal brothers)"/>
        <s v="Rahat Hospital Quetta(Through Jamal brothers)"/>
        <s v="Yaseen Hospital(Through Jamal brothers)"/>
        <s v="Sardar Fateh M. Khan Buzdar Institute of Cardiology"/>
        <s v="KRL (through Professional Healthcare Services)"/>
        <s v="GAMCA (Venus Diagnostic Center) "/>
        <s v="Fatima Jinnah Institute of Chest Disease (Jamal brothers)"/>
        <s v="Dr.Najma Ghaffar Hospital(Through Jamal Brothers)"/>
        <s v="Dawood Lab(Through Jamal Brothers)"/>
        <s v="Haemophilia Treatment Center( molicular concern)"/>
        <s v="GAMCA (Express Medical Center)"/>
        <s v="Tmmergara Clinical Labs-Through JMS"/>
        <s v="Taj Hematology and healthcare Center"/>
        <s v="Sahiwal Teaching Hospital"/>
        <s v="SASIM Sehwan through Z.A.M Traders &amp; Co."/>
        <s v="Welfare Hospital Sui (the indus hospital)"/>
        <s v="Ibn-E-Sina"/>
        <s v="Al-Khidmat Mashal Medical"/>
        <s v="M. Khan Lab (Through Jamal Brothers)"/>
        <s v="Attock Hospital (Through Humanity Care Diagnostic)"/>
        <s v="Biocare Labs (Private) Limited"/>
        <s v="NHS Sharah-e Qaideen"/>
        <s v="SASIM Sehwan through Mehran Trader" u="1"/>
        <s v="Laeq Rafiq Hospital" u="1"/>
        <s v="Al-Khidmat Diagnostic Center" u="1"/>
        <s v="Al Khidmat Foundation" u="1"/>
        <s v="Allied Hospital / DHQ Hospital" u="1"/>
        <s v="Magma International/CDA" u="1"/>
        <s v="Test Zone Peshawar" u="1"/>
        <s v="Advance International Hospital" u="1"/>
        <s v="DHQ  Hospital" u="1"/>
        <s v="Al-Khidmat Lab" u="1"/>
        <s v="Fatima Jinnah Institute of Chest Disease" u="1"/>
      </sharedItems>
    </cacheField>
    <cacheField name="Owner" numFmtId="0">
      <sharedItems containsBlank="1"/>
    </cacheField>
    <cacheField name="Adresss" numFmtId="0">
      <sharedItems containsBlank="1"/>
    </cacheField>
    <cacheField name="Phone" numFmtId="0">
      <sharedItems containsBlank="1" containsMixedTypes="1" containsNumber="1" containsInteger="1" minValue="3004102701" maxValue="3004102701"/>
    </cacheField>
    <cacheField name="Email" numFmtId="0">
      <sharedItems containsBlank="1"/>
    </cacheField>
    <cacheField name="NTN / STN" numFmtId="0">
      <sharedItems containsBlank="1"/>
    </cacheField>
    <cacheField name="CNIC" numFmtId="0">
      <sharedItems containsBlank="1"/>
    </cacheField>
    <cacheField name="Unit Cost" numFmtId="0">
      <sharedItems containsString="0" containsBlank="1" containsNumber="1" minValue="162901" maxValue="21992876"/>
    </cacheField>
    <cacheField name="Payback Period Approved in months" numFmtId="0">
      <sharedItems containsString="0" containsBlank="1" containsNumber="1" containsInteger="1" minValue="2" maxValue="73"/>
    </cacheField>
    <cacheField name="Per Month Reagent Commitment" numFmtId="0">
      <sharedItems containsString="0" containsBlank="1" containsNumber="1" minValue="25920" maxValue="4804146"/>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Comments by Business (July2023)" numFmtId="0">
      <sharedItems containsBlank="1" containsMixedTypes="1" containsNumber="1" containsInteger="1" minValue="0" maxValue="0"/>
    </cacheField>
    <cacheField name="Action Plan (July23)" numFmtId="0">
      <sharedItems containsBlank="1" containsMixedTypes="1" containsNumber="1" containsInteger="1" minValue="0" maxValue="0"/>
    </cacheField>
    <cacheField name="Comments by Business (Aug2023)" numFmtId="0">
      <sharedItems containsBlank="1"/>
    </cacheField>
    <cacheField name="Action Plan (Aug23)" numFmtId="0">
      <sharedItems containsBlank="1"/>
    </cacheField>
    <cacheField name="Comments by Business (Sep2023)" numFmtId="0">
      <sharedItems containsBlank="1"/>
    </cacheField>
    <cacheField name="Action Plan (Sep23)" numFmtId="0">
      <sharedItems containsBlank="1"/>
    </cacheField>
    <cacheField name="Comments by Business (Oct 2023)" numFmtId="0">
      <sharedItems containsNonDate="0" containsString="0" containsBlank="1"/>
    </cacheField>
    <cacheField name="Action Plan (Oct 23)" numFmtId="0">
      <sharedItems containsBlank="1"/>
    </cacheField>
    <cacheField name="Comments by Business (Nov 2023)" numFmtId="0">
      <sharedItems containsBlank="1"/>
    </cacheField>
    <cacheField name="Action Plan (Nov 23)" numFmtId="0">
      <sharedItems containsBlank="1"/>
    </cacheField>
    <cacheField name="Comments by Business (Dec 2023)" numFmtId="0">
      <sharedItems containsBlank="1"/>
    </cacheField>
    <cacheField name="Action Plan (Dec 23)" numFmtId="0">
      <sharedItems containsBlank="1"/>
    </cacheField>
    <cacheField name="Comments by Business (Feb 2024)" numFmtId="0">
      <sharedItems containsBlank="1"/>
    </cacheField>
    <cacheField name="Action Plan (Feb 24)" numFmtId="0">
      <sharedItems containsNonDate="0" containsString="0" containsBlank="1"/>
    </cacheField>
    <cacheField name="Comments by Business (Mar 2024)" numFmtId="0">
      <sharedItems containsBlank="1"/>
    </cacheField>
    <cacheField name="Comments by Business (April 2024)" numFmtId="0">
      <sharedItems containsBlank="1"/>
    </cacheField>
    <cacheField name="Comments by Business (May 2024)" numFmtId="0">
      <sharedItems containsNonDate="0" containsString="0" containsBlank="1"/>
    </cacheField>
    <cacheField name="Finance Comments July" numFmtId="0">
      <sharedItems containsBlank="1"/>
    </cacheField>
    <cacheField name="Comments by Business (Jun 2024)" numFmtId="0">
      <sharedItems containsBlank="1"/>
    </cacheField>
    <cacheField name="Comments by Business (Jan 2025)" numFmtId="0">
      <sharedItems containsNonDate="0" containsString="0" containsBlank="1"/>
    </cacheField>
    <cacheField name="Comments by Business (Feb 2026)" numFmtId="0">
      <sharedItems containsBlank="1"/>
    </cacheField>
    <cacheField name="Comments by Business (Mar 2026)" numFmtId="0">
      <sharedItems containsBlank="1"/>
    </cacheField>
    <cacheField name="Column2" numFmtId="0">
      <sharedItems containsString="0" containsBlank="1" containsNumber="1" containsInteger="1" minValue="1" maxValue="1"/>
    </cacheField>
    <cacheField name="Comments by Business" numFmtId="0">
      <sharedItems containsBlank="1"/>
    </cacheField>
    <cacheField name="Jan-24" numFmtId="0">
      <sharedItems containsString="0" containsBlank="1" containsNumber="1" minValue="0" maxValue="3781305.1599999997"/>
    </cacheField>
    <cacheField name="Feb-24" numFmtId="0">
      <sharedItems containsString="0" containsBlank="1" containsNumber="1" minValue="0" maxValue="5613694.8999999994"/>
    </cacheField>
    <cacheField name="Mar-24" numFmtId="0">
      <sharedItems containsString="0" containsBlank="1" containsNumber="1" minValue="0" maxValue="5357692"/>
    </cacheField>
    <cacheField name="Apr-24" numFmtId="0">
      <sharedItems containsString="0" containsBlank="1" containsNumber="1" minValue="0" maxValue="1329613.5"/>
    </cacheField>
    <cacheField name="May-24" numFmtId="0">
      <sharedItems containsString="0" containsBlank="1" containsNumber="1" minValue="0" maxValue="3924900"/>
    </cacheField>
    <cacheField name="Jun-24" numFmtId="0">
      <sharedItems containsString="0" containsBlank="1" containsNumber="1" minValue="0" maxValue="2081819.5"/>
    </cacheField>
    <cacheField name="Jul-24" numFmtId="0">
      <sharedItems containsString="0" containsBlank="1" containsNumber="1" minValue="0" maxValue="2496748.33"/>
    </cacheField>
    <cacheField name="Aug-24" numFmtId="0">
      <sharedItems containsString="0" containsBlank="1" containsNumber="1" minValue="-335500" maxValue="2602908.83"/>
    </cacheField>
    <cacheField name="Sep-24" numFmtId="0">
      <sharedItems containsString="0" containsBlank="1" containsNumber="1" minValue="0" maxValue="4129498"/>
    </cacheField>
    <cacheField name="Oct-24" numFmtId="0">
      <sharedItems containsString="0" containsBlank="1" containsNumber="1" minValue="-582966.1" maxValue="10851396"/>
    </cacheField>
    <cacheField name="Nov-24" numFmtId="0">
      <sharedItems containsString="0" containsBlank="1" containsNumber="1" minValue="-405300" maxValue="1628220.82"/>
    </cacheField>
    <cacheField name="Dec-24" numFmtId="0">
      <sharedItems containsString="0" containsBlank="1" containsNumber="1" minValue="0" maxValue="4221340.25"/>
    </cacheField>
    <cacheField name="YTD 2024" numFmtId="167">
      <sharedItems containsString="0" containsBlank="1" containsNumber="1" minValue="0" maxValue="24931373.599999998"/>
    </cacheField>
    <cacheField name="Jan-25" numFmtId="0">
      <sharedItems containsString="0" containsBlank="1" containsNumber="1" minValue="0" maxValue="3051906"/>
    </cacheField>
    <cacheField name="Feb-25" numFmtId="0">
      <sharedItems containsString="0" containsBlank="1" containsNumber="1" minValue="-114525" maxValue="1920800"/>
    </cacheField>
    <cacheField name="Mar-25" numFmtId="0">
      <sharedItems containsString="0" containsBlank="1" containsNumber="1" minValue="-376955" maxValue="8509108"/>
    </cacheField>
    <cacheField name="Apr-25" numFmtId="0">
      <sharedItems containsString="0" containsBlank="1" containsNumber="1" minValue="0" maxValue="6230153"/>
    </cacheField>
    <cacheField name="May-25" numFmtId="0">
      <sharedItems containsString="0" containsBlank="1" containsNumber="1" minValue="0" maxValue="5820256.3099999996"/>
    </cacheField>
    <cacheField name="Jun-25" numFmtId="0">
      <sharedItems containsString="0" containsBlank="1" containsNumber="1" minValue="0" maxValue="6057816"/>
    </cacheField>
    <cacheField name="Jul-25" numFmtId="0">
      <sharedItems containsString="0" containsBlank="1" containsNumber="1" minValue="0" maxValue="2783753"/>
    </cacheField>
    <cacheField name="Aug-25" numFmtId="0">
      <sharedItems containsString="0" containsBlank="1" containsNumber="1" minValue="-160800" maxValue="1348290"/>
    </cacheField>
    <cacheField name="Sep-25" numFmtId="0">
      <sharedItems containsString="0" containsBlank="1" containsNumber="1" minValue="-91200" maxValue="3437600"/>
    </cacheField>
    <cacheField name="Oct-25" numFmtId="0">
      <sharedItems containsString="0" containsBlank="1" containsNumber="1" minValue="0" maxValue="3372670"/>
    </cacheField>
    <cacheField name="Nov-25" numFmtId="0">
      <sharedItems containsString="0" containsBlank="1" containsNumber="1" minValue="-18142" maxValue="3825383"/>
    </cacheField>
    <cacheField name="Dec-25" numFmtId="0">
      <sharedItems containsString="0" containsBlank="1" containsNumber="1" minValue="-255468" maxValue="16873200"/>
    </cacheField>
    <cacheField name="YTD 2025" numFmtId="0">
      <sharedItems containsString="0" containsBlank="1" containsNumber="1" minValue="-491480" maxValue="19335600"/>
    </cacheField>
    <cacheField name="Jan-26" numFmtId="0">
      <sharedItems containsString="0" containsBlank="1" containsNumber="1" minValue="0" maxValue="5612247"/>
    </cacheField>
    <cacheField name="Feb-26" numFmtId="0">
      <sharedItems containsString="0" containsBlank="1" containsNumber="1" minValue="-120000" maxValue="3050848"/>
    </cacheField>
    <cacheField name="Mar-26" numFmtId="0">
      <sharedItems containsString="0" containsBlank="1" containsNumber="1" minValue="0" maxValue="995700"/>
    </cacheField>
    <cacheField name="YTD 2026" numFmtId="0">
      <sharedItems containsString="0" containsBlank="1" containsNumber="1" minValue="0" maxValue="6252124"/>
    </cacheField>
    <cacheField name="Last Six Month Avg" numFmtId="167">
      <sharedItems containsSemiMixedTypes="0" containsString="0" containsNumber="1" minValue="-255468" maxValue="9667800"/>
    </cacheField>
    <cacheField name="Finance Comments for YTD" numFmtId="0">
      <sharedItems containsBlank="1"/>
    </cacheField>
    <cacheField name="Total Reagent Sales till date Actual" numFmtId="0">
      <sharedItems containsString="0" containsBlank="1" containsNumber="1" minValue="0" maxValue="46878339.049999997"/>
    </cacheField>
    <cacheField name="Months" numFmtId="0">
      <sharedItems containsBlank="1" containsMixedTypes="1" containsNumber="1" containsInteger="1" minValue="1" maxValue="45"/>
    </cacheField>
    <cacheField name="Avg reagent Sales per month Actual" numFmtId="0">
      <sharedItems containsBlank="1" containsMixedTypes="1" containsNumber="1" minValue="0" maxValue="6445200"/>
    </cacheField>
    <cacheField name="Payback remaining estimate" numFmtId="0">
      <sharedItems containsString="0" containsBlank="1" containsNumber="1" minValue="-9335495.620000001" maxValue="16760799.177547878"/>
    </cacheField>
    <cacheField name="On Track / (behind) (avg per month)" numFmtId="0">
      <sharedItems containsBlank="1" containsMixedTypes="1" containsNumber="1" minValue="-2123885.52" maxValue="3370741.1666666665"/>
    </cacheField>
    <cacheField name="Finance Comments" numFmtId="0">
      <sharedItems containsBlank="1"/>
    </cacheField>
    <cacheField name="Deficit/Cost covered" numFmtId="0">
      <sharedItems containsBlank="1" containsMixedTypes="1" containsNumber="1" minValue="-786668.28" maxValue="3065649"/>
    </cacheField>
    <cacheField name="Margin %" numFmtId="0">
      <sharedItems containsString="0" containsBlank="1" containsNumber="1" minValue="0.25" maxValue="0.45"/>
    </cacheField>
    <cacheField name="Margin on Reagent sale" numFmtId="0">
      <sharedItems containsString="0" containsBlank="1" containsNumber="1" minValue="0" maxValue="18751335.620000001"/>
    </cacheField>
    <cacheField name="Column1" numFmtId="0">
      <sharedItems containsString="0" containsBlank="1" containsNumber="1" minValue="0" maxValue="0.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sin Alqamari - Controlling" refreshedDate="46122.499177893522" createdVersion="8" refreshedVersion="8" minRefreshableVersion="3" recordCount="200" xr:uid="{00000000-000A-0000-FFFF-FFFF04000000}">
  <cacheSource type="worksheet">
    <worksheetSource name="Table14"/>
  </cacheSource>
  <cacheFields count="100">
    <cacheField name="Sales Manager" numFmtId="0">
      <sharedItems containsBlank="1"/>
    </cacheField>
    <cacheField name="Businesst Managers" numFmtId="0">
      <sharedItems containsBlank="1"/>
    </cacheField>
    <cacheField name="Supplier name" numFmtId="0">
      <sharedItems containsBlank="1" count="12">
        <s v="YHLO"/>
        <s v="Vital Scientific"/>
        <s v="OCD"/>
        <s v="Boule"/>
        <s v="Stago"/>
        <s v="Dymind"/>
        <s v="Nova"/>
        <s v="Erba"/>
        <s v="Zybio"/>
        <s v="Headway"/>
        <m u="1"/>
        <s v="Elitech" u="1"/>
      </sharedItems>
    </cacheField>
    <cacheField name="Machine Name" numFmtId="0">
      <sharedItems containsBlank="1" count="56">
        <s v="iFlash 1800"/>
        <s v="Selectra PRO M Lite"/>
        <s v="Vitros ECiQ Immunodiagnostic System"/>
        <s v="iFlash 3000"/>
        <s v="iflash1800"/>
        <s v="Swelab Alfa Plus Standard"/>
        <s v="STA SATELLITE MAX"/>
        <s v="DYMIND DH-76"/>
        <s v="Selectra Mach 5"/>
        <s v="Swelab Alfa Plus AutoSampler"/>
        <s v="Nova Prime Plus"/>
        <s v="Vitros ECiQ Immunodiagnostic System (Refurb)"/>
        <s v="iFlash 1200"/>
        <s v="Vitros ECiQ"/>
        <s v="Swelab Lumi"/>
        <s v="Laura XL"/>
        <s v="EC90"/>
        <s v="Zybio U3600"/>
        <s v="Vitros ECiQ Analyzer"/>
        <s v="ECL760 Refurb"/>
        <s v="Vitros 3600"/>
        <s v="Laura Semi Automatic"/>
        <s v="START MAX"/>
        <s v="Nova Prime CCS"/>
        <s v="Nova Prime CSS"/>
        <s v="iFlash 1800 "/>
        <s v="STA Compact Max"/>
        <s v="Selectra PRO M "/>
        <s v="STA Compact Max Cap precing"/>
        <s v="Swelab Alfa Plus Sampler BD Ar"/>
        <s v="STA Compact Max3"/>
        <s v="ECL412"/>
        <s v="HUBT-20P"/>
        <s v="EC105"/>
        <s v="EC90 "/>
        <s v="Laura Smart "/>
        <s v="Microlab 300"/>
        <s v="Erba EC90"/>
        <s v="Vitros Eciq Immunoassay"/>
        <s v="Swelab Alfa Plus"/>
        <s v="Swelab-Autoloader"/>
        <s v="IFLASH 3000R"/>
        <s v="Swelab Alfa Plus Placement" u="1"/>
        <s v="Swelab Alfa Sampler" u="1"/>
        <m u="1"/>
        <s v="Laura Smart (Urine Analyzer)" u="1"/>
        <s v="Swelab Alfa Plus Std." u="1"/>
        <s v="Stat Strip Glu/Ket Meters (BLOOD GLUCOSE METER)" u="1"/>
        <s v="Laura" u="1"/>
        <s v="EC90 (Electrolyte Analyzer)" u="1"/>
        <s v="Swelab Alpha" u="1"/>
        <s v="iFlash1200" u="1"/>
        <s v="Swelab Alfa Plus Standard BD AR" u="1"/>
        <s v="Stat Strip Glu/Ket Meters" u="1"/>
        <s v="laura XL " u="1"/>
        <s v="Analyzer LAURA(Semi-automatic)" u="1"/>
      </sharedItems>
    </cacheField>
    <cacheField name="SAP Material No" numFmtId="0">
      <sharedItems containsString="0" containsBlank="1" containsNumber="1" containsInteger="1" minValue="15000003" maxValue="15003367"/>
    </cacheField>
    <cacheField name="Machine type" numFmtId="0">
      <sharedItems containsBlank="1"/>
    </cacheField>
    <cacheField name="Asset Number " numFmtId="0">
      <sharedItems containsBlank="1" containsMixedTypes="1" containsNumber="1" containsInteger="1" minValue="3002000001" maxValue="3002000121"/>
    </cacheField>
    <cacheField name="Transfer" numFmtId="0">
      <sharedItems containsBlank="1"/>
    </cacheField>
    <cacheField name="MachineSerial No." numFmtId="0">
      <sharedItems containsBlank="1" containsMixedTypes="1" containsNumber="1" containsInteger="1" minValue="1588" maxValue="324100000639" longText="1"/>
    </cacheField>
    <cacheField name="Machine Issue Date" numFmtId="0">
      <sharedItems containsBlank="1"/>
    </cacheField>
    <cacheField name="Agreement Date" numFmtId="0">
      <sharedItems containsDate="1" containsBlank="1" containsMixedTypes="1" minDate="2023-12-15T00:00:00" maxDate="2023-12-16T00:00:00"/>
    </cacheField>
    <cacheField name="Approval Date" numFmtId="14">
      <sharedItems containsBlank="1"/>
    </cacheField>
    <cacheField name="Business Case" numFmtId="0">
      <sharedItems containsBlank="1"/>
    </cacheField>
    <cacheField name="Remarks" numFmtId="0">
      <sharedItems containsBlank="1"/>
    </cacheField>
    <cacheField name="Status" numFmtId="0">
      <sharedItems containsBlank="1" count="20">
        <s v="Active"/>
        <s v="Closed"/>
        <s v="New"/>
        <s v="Closed 1"/>
        <s v="New Active"/>
        <s v="Revised"/>
        <s v=" Closed"/>
        <s v="Closed Quetta"/>
        <s v="Revised Quetta"/>
        <s v="New " u="1"/>
        <s v="Active 1" u="1"/>
        <s v="Active / Closed" u="1"/>
        <s v="Active / Completed" u="1"/>
        <s v="Active Quetta" u="1"/>
        <m u="1"/>
        <s v="Active " u="1"/>
        <s v="Active/ under capitalization" u="1"/>
        <s v="Closed &amp; revised" u="1"/>
        <s v="Approved" u="1"/>
        <s v="Approved " u="1"/>
      </sharedItems>
    </cacheField>
    <cacheField name="Region" numFmtId="0">
      <sharedItems containsBlank="1" count="6">
        <s v="South"/>
        <s v="Center"/>
        <s v="North"/>
        <m/>
        <s v="Centre" u="1"/>
        <s v="South " u="1"/>
      </sharedItems>
    </cacheField>
    <cacheField name="City" numFmtId="0">
      <sharedItems containsBlank="1"/>
    </cacheField>
    <cacheField name="Customer No." numFmtId="0">
      <sharedItems containsString="0" containsBlank="1" containsNumber="1" containsInteger="1" minValue="3020000013" maxValue="3020001814"/>
    </cacheField>
    <cacheField name="Customer Name" numFmtId="0">
      <sharedItems containsBlank="1" count="165">
        <s v="Dar ul Sehat Hospital"/>
        <s v="Dr. Essa Laboratory"/>
        <s v="Hormone lab "/>
        <s v="SICVD (Sindh Institute of Cardiovascular) Baldia-Karachi"/>
        <s v="SICVD (Sindh Institute of Cardiovascular) Hyderabad"/>
        <s v="SICVD (Sindh Institute of Cardiovascular) TMK"/>
        <s v="SICVD (Sindh Institute of Cardiovascular) Larkana"/>
        <s v="SICVD (Sindh Institute of Cardiovascular) Sukkur"/>
        <s v="SICVD, Larkana"/>
        <s v="SICVD, Nawabshah"/>
        <s v="National Institue of Blood Diseases"/>
        <s v="DHO Nawabshah Through HS Medical Nawab Shah"/>
        <s v="Minhaj Lab lahore"/>
        <s v="QAMC"/>
        <s v="QAMC Bahawalpur"/>
        <s v="Al Khidmat Razi Hospital"/>
        <s v="Citilab "/>
        <s v="Mughal Diagnostics &amp; Research Labs/Cancer Care Hospital"/>
        <s v="Mughal Lab Lahore"/>
        <s v="Mughal Diagnostics"/>
        <s v="University of Lahore Hospital"/>
        <s v="Hashmani Hospital"/>
        <s v="Hussaini Blood Bank"/>
        <s v="Fazle Umar Hospital"/>
        <s v="Al Maisarah Dialysis &amp; Diabetes trust "/>
        <s v="Burhani Hospital Trust"/>
        <s v="Aga Khan Hospital"/>
        <s v="AL Khidmat Diagnostic Center"/>
        <s v="Faisalabad Medical University (Allied to be changed)"/>
        <s v="DHQ Hospital (Allied Hospital-II )"/>
        <s v="Faisalabad Medical University"/>
        <s v="Anklesaria Hospital"/>
        <s v="PNS Shifa Hospital (V-Med Inter Trade)"/>
        <s v="PNS Rahat Hospital (V-Med Inter Trade)"/>
        <s v="Ali Medical Center Islamabad"/>
        <s v="Imperial Lab"/>
        <s v="The Children Hospital &amp; The Institute Multan"/>
        <s v="Children's Hospital Multan"/>
        <s v="Makhdoom Diagnostic Center MDC"/>
        <s v="Alamgir Welfare Trust Int."/>
        <s v="NHS"/>
        <s v="Saifee Hospital, Karachi"/>
        <s v="Creek General Hospital (Patients Welfare Foundation)"/>
        <s v="Pakistan International Airlines Co-operation Limited"/>
        <s v="FIC(Faisalabad Institute of Cardialogy)"/>
        <s v="Memon Medical Institute Hospital"/>
        <s v="Lady  Aitchison Hospital"/>
        <s v="Children's Hospital Faisalabad"/>
        <s v="BioPath Lab &amp;  Diagnostic Centre"/>
        <s v="Gulab devi Hosp. Lahore"/>
        <s v="Gulab Devi Chest Hospital"/>
        <s v="The Medical Lab Lahore"/>
        <s v="Hopes Diagnostics"/>
        <s v="Masood Hospital "/>
        <s v="Ghurki Trust Teaching Hospital"/>
        <s v="National institue of Child Health"/>
        <s v="Akbar Niazi Teaching Hospital"/>
        <s v="KKF"/>
        <s v="KKF "/>
        <s v="D&amp;R Lab"/>
        <s v="D&amp;R Lab (Dadu) /Liaquat University Of Medical &amp; Hea"/>
        <s v="Magma International/CDA Islamabad"/>
        <s v="Valley Health Care Laborotary "/>
        <s v="Arif Memorial Hospital"/>
        <s v="Medcare International Hospital Gujranwala"/>
        <s v="Med Care Hospital"/>
        <s v="Peshawar Fertility &amp; IVF center"/>
        <s v="National Medical Center"/>
        <s v="Al-Khidmat Hospital"/>
        <s v="Al-Khidmat Lab Mirpur Azad Kashmir"/>
        <s v="North Mehran Diagnostic Centre"/>
        <s v="NICVD"/>
        <s v="Karachi Instituite of Heart Diseases (KIHD)"/>
        <s v="Noor lab quetta "/>
        <s v="Army Cardiac Hospital-Taurus International"/>
        <s v="Al- Khidmat Welfare Society"/>
        <s v="Al Khidmat Hospital Karachi"/>
        <s v="Punjab Inst.Of Cardiology"/>
        <s v="Punjab Institute of Cardiology Lahore"/>
        <s v="Metlab-Shahmir Enterprises"/>
        <s v="Rafiq Anwar Memorial Trust Hospital"/>
        <s v="Sky Blue Lab Karachi"/>
        <s v="(SICHN) Sindh Institute of Child Health and Neonatology"/>
        <s v="Aziz Bhatti Shaheed Teaching Hospital"/>
        <s v="Sharif Trust Medical City Hospital"/>
        <s v="SOMH-FFH (shaukat umar memorial Hospital- fauji Foundation hospital)"/>
        <s v="Shaikh Zayed Hospital"/>
        <s v="Siddique Sadiq Memorial trust"/>
        <s v="Indus Clinical Laboratories"/>
        <s v="JDC Diagnostic Center"/>
        <s v="Test Zone"/>
        <s v="Test Zone Multan"/>
        <s v="Healthway Laboratories"/>
        <s v="Liaquat Univerty Hospital through Ojhal Enterprises"/>
        <s v="Ishtiaq Tarrar Medical Complex"/>
        <s v="Rehman Medical Institute, Peshawar"/>
        <s v="Rehman Medical Institute (Pvt) Ltd"/>
        <s v="Suhail Daignostic "/>
        <s v="Advance Diagnostic Centre"/>
        <s v="GAMCA (Peshawar Medical Check-up Center) Through Jan Marketing"/>
        <s v="Indus Hospital "/>
        <s v="Indus Hospital &amp; Health Network"/>
        <s v="Public Welfare Sheikh Zayed (The Indus Hospital)"/>
        <s v="Indus Hospital Health Network (SUI Campus)"/>
        <s v="Jinnah Post Graduate Medical Center (JPMC) through MHK Enterprises"/>
        <s v="JPMC through MHK Enterprises"/>
        <s v="Imran Idress Hospital /Test Zone"/>
        <s v="Gillani Hospital Quetta(Through Jamal Brothers)"/>
        <s v="Regional Blood Centre Through Jamal Brothers"/>
        <s v="Rehan Hospital Through Jamal Brothers"/>
        <s v="City International Hospital Quetta(Through Jamal Brothers)"/>
        <s v="Harmon Lab Quetta (through Jamal Brothers)"/>
        <s v="Sultan Tareen Hospital Quetta(Through Jamal Brothers)"/>
        <s v="Fayyaz Lab (Through Jamal brothers)"/>
        <s v="M khan Lab Quetta (Through Jamal brothers)"/>
        <s v="Rahat Hospital Quetta(Through Jamal brothers)"/>
        <s v="Yaseen Hospital(Through Jamal brothers)"/>
        <s v="Sardar Fateh M. Khan Buzdar Institute of Cardiology"/>
        <s v="KRL (through Professional Healthcare Services)"/>
        <s v="GAMCA (Venus Diagnostic Center) "/>
        <s v="Fatima Jinnah Institute of Chest Disease (Jamal brothers)"/>
        <s v="Dr.Najma Ghaffar Hospital(Through Jamal Brothers)"/>
        <s v="Dawood Lab(Through Jamal Brothers)"/>
        <s v="Haemophilia Treatment Center( molicular concern)"/>
        <s v="GAMCA (Express Medical Center)"/>
        <s v="Tmmergara Clinical Labs-Through JMS"/>
        <s v="Taj Hematology and healthcare Center"/>
        <s v="Sahiwal Teaching Hospital"/>
        <s v="SASIM Sehwan through Z.A.M Traders &amp; Co."/>
        <s v="Welfare Hospital Sui (the indus hospital)"/>
        <s v="Ibn-E-Sina"/>
        <s v="Al-Khidmat Mashal Medical"/>
        <s v="M. Khan Lab (Through Jamal Brothers)"/>
        <s v="Attock Hospital (Through Humanity Care Diagnostic)"/>
        <s v="Biocare Labs (Private) Limited"/>
        <s v="NHS Sharah-e Qaideen"/>
        <s v="SASIM Sehwan through Mehran Trader" u="1"/>
        <s v="Laeq Rafiq Hospital" u="1"/>
        <s v="Al-Khidmat Diagnostic Center" u="1"/>
        <s v="Al Khidmat Foundation" u="1"/>
        <s v="Allied Hospital / DHQ Hospital" u="1"/>
        <s v="Magma International/CDA" u="1"/>
        <s v="Test Zone Peshawar" u="1"/>
        <s v="Advance International Hospital" u="1"/>
        <s v="DHQ  Hospital" u="1"/>
        <s v="Al-Khidmat Lab" u="1"/>
        <s v="Fatima Jinnah Institute of Chest Disease" u="1"/>
        <s v="SICVD (Sindh Institute of Cardiovascular)" u="1"/>
        <m u="1"/>
        <s v="PNS Shifa Hospital" u="1"/>
        <s v="Allied Hospital" u="1"/>
        <s v="SICVD" u="1"/>
        <s v="Agha Khan Hospital" u="1"/>
        <s v="Mughal Diagnostics &amp; Research Labs" u="1"/>
        <s v="KKF Blood bank" u="1"/>
        <s v="(SICHN) Sindh Institute of Child Health and Neonatology " u="1"/>
        <s v="Fayyaz Lab" u="1"/>
        <s v="Magma International" u="1"/>
        <s v="Noor lab quetta / Jilani Hosp" u="1"/>
        <s v="Indus lab" u="1"/>
        <s v=" D&amp;R Lab (Dadu) /Liaquat University Of Medical &amp; Hea" u="1"/>
        <s v="Jinnah Post Graduate Medical Center (JPGMC) through MHK Enterprises" u="1"/>
        <s v="Medic Hospital Karachi (Prof. Masood Hameed Diagnositc And)" u="1"/>
        <s v="SICHN" u="1"/>
        <s v="Imran Idress Hospital " u="1"/>
      </sharedItems>
    </cacheField>
    <cacheField name="Owner" numFmtId="0">
      <sharedItems containsBlank="1"/>
    </cacheField>
    <cacheField name="Adresss" numFmtId="0">
      <sharedItems containsBlank="1"/>
    </cacheField>
    <cacheField name="Phone" numFmtId="0">
      <sharedItems containsBlank="1" containsMixedTypes="1" containsNumber="1" containsInteger="1" minValue="3004102701" maxValue="3004102701"/>
    </cacheField>
    <cacheField name="Email" numFmtId="0">
      <sharedItems containsBlank="1"/>
    </cacheField>
    <cacheField name="NTN / STN" numFmtId="0">
      <sharedItems containsBlank="1"/>
    </cacheField>
    <cacheField name="CNIC" numFmtId="0">
      <sharedItems containsBlank="1"/>
    </cacheField>
    <cacheField name="Unit Cost" numFmtId="0">
      <sharedItems containsString="0" containsBlank="1" containsNumber="1" minValue="162901" maxValue="21992876"/>
    </cacheField>
    <cacheField name="Payback Period Approved in months" numFmtId="0">
      <sharedItems containsString="0" containsBlank="1" containsNumber="1" containsInteger="1" minValue="2" maxValue="73"/>
    </cacheField>
    <cacheField name="Per Month Reagent Commitment" numFmtId="0">
      <sharedItems containsString="0" containsBlank="1" containsNumber="1" minValue="25920" maxValue="4804146"/>
    </cacheField>
    <cacheField name="Comments by Business (Aug22)" numFmtId="0">
      <sharedItems containsBlank="1"/>
    </cacheField>
    <cacheField name="Comments by Business (Sep22)" numFmtId="0">
      <sharedItems containsBlank="1"/>
    </cacheField>
    <cacheField name="Comments by Business (Feb23)" numFmtId="0">
      <sharedItems containsBlank="1"/>
    </cacheField>
    <cacheField name="Comments by Business (Mar23)" numFmtId="0">
      <sharedItems containsBlank="1"/>
    </cacheField>
    <cacheField name="Comments by Business (Jun23)" numFmtId="0">
      <sharedItems containsBlank="1"/>
    </cacheField>
    <cacheField name="Action Plan (Jun23)" numFmtId="0">
      <sharedItems containsBlank="1"/>
    </cacheField>
    <cacheField name="Comments by Business (July2023)" numFmtId="0">
      <sharedItems containsBlank="1" containsMixedTypes="1" containsNumber="1" containsInteger="1" minValue="0" maxValue="0" count="21">
        <m/>
        <s v="Work load decreased, it is advisable to revist the case"/>
        <e v="#N/A"/>
        <s v="LC awaited "/>
        <s v="workload decreased"/>
        <s v="Machine was moved from different location without informing HO"/>
        <s v="machine under installation phase "/>
        <s v="wil invoice in Q3 &amp; Q4, 4 Mio each"/>
        <s v="Mach 5 kits were N/A initally, once kits were order was on hold due to non payment"/>
        <s v="Machine is out of order"/>
        <s v="stock unavailable"/>
        <s v="LC delay, Order invoiced in August worth 0.8 Mio"/>
        <s v="machine was taken back &amp; placed at KKF first week of August"/>
        <s v="deficit will cover in upcoming months"/>
        <s v="0.5 Mio order received will be invoiced till 15th August. 0.5 Mio sales every month"/>
        <s v="order will be executed in Aug 0.6 Mio"/>
        <s v="issue in instrument "/>
        <s v="System is still not installed "/>
        <n v="0"/>
        <s v="machine out of order"/>
        <s v="working with customer to put workload on our equipment "/>
      </sharedItems>
    </cacheField>
    <cacheField name="Action Plan (July23)" numFmtId="0">
      <sharedItems containsBlank="1" containsMixedTypes="1" containsNumber="1" containsInteger="1" minValue="0" maxValue="0" count="23">
        <m/>
        <s v="Customer promised to shift workload on our equipment from other branches to cover the gap."/>
        <e v="#N/A"/>
        <s v="LC awaited "/>
        <s v="Patient flow has been increasing gradullay in the hospital, which will improve our business."/>
        <s v="We've decided to pull back our equipment and it'll be placed to another customer (Jillani Hospital - Quetta). Business Case will be submitted to get approval."/>
        <s v="Instrument cost covered we are executing new contract for the same analyzer in same institute expected business in Q3 Is Rs. 2.0 Million "/>
        <s v="Complete workload is on our equipment as they don’t have any back up equipment in their lab. Supplies issue has been resolved now, and business will be improved."/>
        <s v="First Reagents order will be issued within September as they are in finalizing stage of tender process"/>
        <s v=" we have receieved an order of 10 million will be invoice in Q3 ,Q4 we will cover our deficit in Q3. Govt institute ."/>
        <s v="Now machine is fixed after the visit of Elitech Team and we are getting supplies timely which will help us to improve our business."/>
        <s v="Now machine is fixed after the visit of Elitech Team and business will be improved."/>
        <s v="Due to stocks issue instrument is working at low volume . Customer will shift the maximum workload once shipment arrived . In Q4 we will cover the deficit "/>
        <s v=" They have Started Infectious panel on Iflash .It will significanly impact our Sales in Q4 we will not only cover the gap but surpass the comitment ."/>
        <s v="We've decided to pull back our equipment and it'll be placed to another customer (KKF Blood Bank - Karachi). Business Case will be submitted to get approval."/>
        <s v="They've to comsume remaining reagents of ROCHE, so they are dividing the load. In coming months, deficit will be covered once ROCHE kits has been finished."/>
        <s v="0.5 Mio order received will be invoiced till 15th August. 0.5 Mio sales every month"/>
        <s v="Stocks issue resolved few new parameters added we are expecting in Q3 we will cover the deficit ."/>
        <s v="Sales is below agreed terms ,reason prob in instrument and shortage of stocks . We are going to revise the prices @20% .Stocks issue resolved in next three month we will cover the deficit ."/>
        <s v="System is still not installed "/>
        <n v="0"/>
        <s v="Our engineer has managed to arrange the required tools locally. After discussing with the customer, they've agreed to shift the workload on our equipment once equipment is completely operational."/>
        <s v="We've increased their prices by 35%, furthermore revised business case will be submitted for approval based on actual workload."/>
      </sharedItems>
    </cacheField>
    <cacheField name="Comments by Business (Aug2023)" numFmtId="0">
      <sharedItems containsBlank="1"/>
    </cacheField>
    <cacheField name="Action Plan (Aug23)" numFmtId="0">
      <sharedItems containsBlank="1"/>
    </cacheField>
    <cacheField name="Comments by Business (Sep2023)" numFmtId="0">
      <sharedItems containsBlank="1"/>
    </cacheField>
    <cacheField name="Action Plan (Sep23)" numFmtId="0">
      <sharedItems containsBlank="1"/>
    </cacheField>
    <cacheField name="Comments by Business (Oct 2023)" numFmtId="0">
      <sharedItems containsNonDate="0" containsString="0" containsBlank="1"/>
    </cacheField>
    <cacheField name="Action Plan (Oct 23)" numFmtId="0">
      <sharedItems containsBlank="1"/>
    </cacheField>
    <cacheField name="Comments by Business (Nov 2023)" numFmtId="0">
      <sharedItems containsBlank="1"/>
    </cacheField>
    <cacheField name="Action Plan (Nov 23)" numFmtId="0">
      <sharedItems containsBlank="1"/>
    </cacheField>
    <cacheField name="Comments by Business (Dec 2023)" numFmtId="0">
      <sharedItems containsBlank="1"/>
    </cacheField>
    <cacheField name="Action Plan (Dec 23)" numFmtId="0">
      <sharedItems containsBlank="1"/>
    </cacheField>
    <cacheField name="Comments by Business (Feb 2024)" numFmtId="0">
      <sharedItems containsBlank="1"/>
    </cacheField>
    <cacheField name="Action Plan (Feb 24)" numFmtId="0">
      <sharedItems containsNonDate="0" containsString="0" containsBlank="1"/>
    </cacheField>
    <cacheField name="Comments by Business (Mar 2024)" numFmtId="0">
      <sharedItems containsBlank="1"/>
    </cacheField>
    <cacheField name="Comments by Business (April 2024)" numFmtId="0">
      <sharedItems containsBlank="1"/>
    </cacheField>
    <cacheField name="Comments by Business (May 2024)" numFmtId="0">
      <sharedItems containsNonDate="0" containsString="0" containsBlank="1"/>
    </cacheField>
    <cacheField name="Finance Comments July" numFmtId="0">
      <sharedItems containsBlank="1"/>
    </cacheField>
    <cacheField name="Comments by Business (Jun 2024)" numFmtId="0">
      <sharedItems containsBlank="1"/>
    </cacheField>
    <cacheField name="Comments by Business (Jan 2025)" numFmtId="0">
      <sharedItems containsNonDate="0" containsString="0" containsBlank="1"/>
    </cacheField>
    <cacheField name="Comments by Business (Feb 2026)" numFmtId="0">
      <sharedItems containsBlank="1"/>
    </cacheField>
    <cacheField name="Comments by Business (Mar 2026)" numFmtId="0">
      <sharedItems containsBlank="1"/>
    </cacheField>
    <cacheField name="Column2" numFmtId="0">
      <sharedItems containsString="0" containsBlank="1" containsNumber="1" containsInteger="1" minValue="1" maxValue="1"/>
    </cacheField>
    <cacheField name="Comments by Business" numFmtId="0">
      <sharedItems containsBlank="1"/>
    </cacheField>
    <cacheField name="Jan-24" numFmtId="0">
      <sharedItems containsString="0" containsBlank="1" containsNumber="1" minValue="0" maxValue="3781305.1599999997"/>
    </cacheField>
    <cacheField name="Feb-24" numFmtId="0">
      <sharedItems containsString="0" containsBlank="1" containsNumber="1" minValue="0" maxValue="5613694.8999999994"/>
    </cacheField>
    <cacheField name="Mar-24" numFmtId="0">
      <sharedItems containsString="0" containsBlank="1" containsNumber="1" minValue="0" maxValue="5357692"/>
    </cacheField>
    <cacheField name="Apr-24" numFmtId="0">
      <sharedItems containsString="0" containsBlank="1" containsNumber="1" minValue="0" maxValue="1329613.5"/>
    </cacheField>
    <cacheField name="May-24" numFmtId="0">
      <sharedItems containsString="0" containsBlank="1" containsNumber="1" minValue="0" maxValue="3924900"/>
    </cacheField>
    <cacheField name="Jun-24" numFmtId="0">
      <sharedItems containsString="0" containsBlank="1" containsNumber="1" minValue="0" maxValue="2081819.5"/>
    </cacheField>
    <cacheField name="Jul-24" numFmtId="0">
      <sharedItems containsString="0" containsBlank="1" containsNumber="1" minValue="0" maxValue="2496748.33"/>
    </cacheField>
    <cacheField name="Aug-24" numFmtId="0">
      <sharedItems containsString="0" containsBlank="1" containsNumber="1" minValue="-335500" maxValue="2602908.83"/>
    </cacheField>
    <cacheField name="Sep-24" numFmtId="0">
      <sharedItems containsString="0" containsBlank="1" containsNumber="1" minValue="0" maxValue="4129498"/>
    </cacheField>
    <cacheField name="Oct-24" numFmtId="0">
      <sharedItems containsString="0" containsBlank="1" containsNumber="1" minValue="-582966.1" maxValue="10851396"/>
    </cacheField>
    <cacheField name="Nov-24" numFmtId="0">
      <sharedItems containsString="0" containsBlank="1" containsNumber="1" minValue="-405300" maxValue="1628220.82"/>
    </cacheField>
    <cacheField name="Dec-24" numFmtId="0">
      <sharedItems containsString="0" containsBlank="1" containsNumber="1" minValue="0" maxValue="4221340.25"/>
    </cacheField>
    <cacheField name="YTD 2024" numFmtId="167">
      <sharedItems containsString="0" containsBlank="1" containsNumber="1" minValue="0" maxValue="24931373.599999998"/>
    </cacheField>
    <cacheField name="Jan-25" numFmtId="0">
      <sharedItems containsString="0" containsBlank="1" containsNumber="1" minValue="0" maxValue="3051906"/>
    </cacheField>
    <cacheField name="Feb-25" numFmtId="0">
      <sharedItems containsString="0" containsBlank="1" containsNumber="1" minValue="-114525" maxValue="1920800"/>
    </cacheField>
    <cacheField name="Mar-25" numFmtId="0">
      <sharedItems containsString="0" containsBlank="1" containsNumber="1" minValue="-376955" maxValue="8509108"/>
    </cacheField>
    <cacheField name="Apr-25" numFmtId="0">
      <sharedItems containsString="0" containsBlank="1" containsNumber="1" minValue="0" maxValue="6230153"/>
    </cacheField>
    <cacheField name="May-25" numFmtId="0">
      <sharedItems containsString="0" containsBlank="1" containsNumber="1" minValue="0" maxValue="5820256.3099999996"/>
    </cacheField>
    <cacheField name="Jun-25" numFmtId="0">
      <sharedItems containsString="0" containsBlank="1" containsNumber="1" minValue="0" maxValue="6057816"/>
    </cacheField>
    <cacheField name="Jul-25" numFmtId="0">
      <sharedItems containsString="0" containsBlank="1" containsNumber="1" minValue="0" maxValue="2783753"/>
    </cacheField>
    <cacheField name="Aug-25" numFmtId="0">
      <sharedItems containsString="0" containsBlank="1" containsNumber="1" minValue="-160800" maxValue="1348290"/>
    </cacheField>
    <cacheField name="Sep-25" numFmtId="0">
      <sharedItems containsString="0" containsBlank="1" containsNumber="1" minValue="-91200" maxValue="3437600"/>
    </cacheField>
    <cacheField name="Oct-25" numFmtId="0">
      <sharedItems containsString="0" containsBlank="1" containsNumber="1" minValue="0" maxValue="3372670"/>
    </cacheField>
    <cacheField name="Nov-25" numFmtId="0">
      <sharedItems containsString="0" containsBlank="1" containsNumber="1" minValue="-18142" maxValue="3825383"/>
    </cacheField>
    <cacheField name="Dec-25" numFmtId="0">
      <sharedItems containsString="0" containsBlank="1" containsNumber="1" minValue="-255468" maxValue="16873200"/>
    </cacheField>
    <cacheField name="YTD 2025" numFmtId="0">
      <sharedItems containsString="0" containsBlank="1" containsNumber="1" minValue="-491480" maxValue="19335600"/>
    </cacheField>
    <cacheField name="Jan-26" numFmtId="0">
      <sharedItems containsString="0" containsBlank="1" containsNumber="1" minValue="0" maxValue="5612247"/>
    </cacheField>
    <cacheField name="Feb-26" numFmtId="0">
      <sharedItems containsString="0" containsBlank="1" containsNumber="1" minValue="-120000" maxValue="3050848"/>
    </cacheField>
    <cacheField name="Mar-26" numFmtId="0">
      <sharedItems containsString="0" containsBlank="1" containsNumber="1" minValue="0" maxValue="995700"/>
    </cacheField>
    <cacheField name="YTD 2026" numFmtId="0">
      <sharedItems containsString="0" containsBlank="1" containsNumber="1" minValue="0" maxValue="6252124"/>
    </cacheField>
    <cacheField name="Last Six Month Avg" numFmtId="167">
      <sharedItems containsSemiMixedTypes="0" containsString="0" containsNumber="1" minValue="-255468" maxValue="9667800"/>
    </cacheField>
    <cacheField name="Finance Comments for YTD" numFmtId="0">
      <sharedItems containsBlank="1"/>
    </cacheField>
    <cacheField name="Total Reagent Sales till date Actual" numFmtId="0">
      <sharedItems containsString="0" containsBlank="1" containsNumber="1" minValue="0" maxValue="46878339.049999997"/>
    </cacheField>
    <cacheField name="Months" numFmtId="0">
      <sharedItems containsBlank="1" containsMixedTypes="1" containsNumber="1" containsInteger="1" minValue="0" maxValue="45" count="47">
        <n v="23"/>
        <n v="45"/>
        <n v="15"/>
        <n v="9"/>
        <n v="3"/>
        <n v="19"/>
        <n v="14"/>
        <n v="18"/>
        <n v="2"/>
        <m/>
        <n v="8"/>
        <n v="22"/>
        <n v="11"/>
        <n v="4"/>
        <n v="5"/>
        <n v="31"/>
        <n v="34"/>
        <n v="16"/>
        <n v="25"/>
        <n v="35"/>
        <n v="12"/>
        <n v="37"/>
        <n v="36"/>
        <n v="32"/>
        <n v="21"/>
        <n v="26"/>
        <n v="17"/>
        <n v="13"/>
        <n v="1"/>
        <n v="20"/>
        <n v="27"/>
        <n v="10"/>
        <s v="-"/>
        <n v="6"/>
        <n v="7"/>
        <n v="24"/>
        <n v="33" u="1"/>
        <n v="43" u="1"/>
        <n v="30" u="1"/>
        <n v="42" u="1"/>
        <n v="41" u="1"/>
        <n v="40" u="1"/>
        <n v="29" u="1"/>
        <n v="39" u="1"/>
        <n v="28" u="1"/>
        <n v="38" u="1"/>
        <n v="0" u="1"/>
      </sharedItems>
    </cacheField>
    <cacheField name="Avg reagent Sales per month Actual" numFmtId="0">
      <sharedItems containsBlank="1" containsMixedTypes="1" containsNumber="1" minValue="0" maxValue="6445200"/>
    </cacheField>
    <cacheField name="Payback remaining estimate" numFmtId="0">
      <sharedItems containsString="0" containsBlank="1" containsNumber="1" minValue="-9335495.620000001" maxValue="16760799.177547878"/>
    </cacheField>
    <cacheField name="On Track / (behind) (avg per month)" numFmtId="0">
      <sharedItems containsBlank="1" containsMixedTypes="1" containsNumber="1" minValue="-2123885.52" maxValue="3370741.1666666665"/>
    </cacheField>
    <cacheField name="Finance Comments" numFmtId="0">
      <sharedItems containsBlank="1" count="37">
        <s v="Sales on track"/>
        <s v="Sales behind track"/>
        <m/>
        <s v="Sales behind track (No sales after Aug)"/>
        <s v="No sales yet"/>
        <s v="Sales from April, Sales on track"/>
        <s v="Sales are going on, Cost covered"/>
        <s v="Sales behind track, sales every month"/>
        <s v="No sales after Oct-23"/>
        <s v="Sales on track "/>
        <s v="Sales behind track ( No sales after May 2023)"/>
        <s v="Sales behind track ( No sales after Aug)"/>
        <s v="Sales behind track ( No sales after Aug, beside commitment)"/>
        <s v="Sales not started yet"/>
        <s v="Sales from June, Sales on track"/>
        <s v="Sales beerind track"/>
        <s v="No sales after May-24"/>
        <s v=" Sales behind track 28 machines 1 quetaa 2 muzafgarh 2 badeen 1 bhong"/>
        <s v="Sales not started yet/closed"/>
        <s v="behind track, sales every month"/>
        <s v="No Sales in March'26"/>
        <s v="Sales behind Track " u="1"/>
        <s v="Sales behind track ( No sales after Mar 2023)" u="1"/>
        <s v="behind track (No Sales After Feb 2023)" u="1"/>
        <s v="Sales on track (No sales in September)" u="1"/>
        <s v="Sales behind track (No sales in Sep)" u="1"/>
        <s v="behind track, (No sales after Apr 2023)" u="1"/>
        <s v="No sales after Dec-23." u="1"/>
        <s v="No sales after Oct" u="1"/>
        <s v="No sales till date" u="1"/>
        <s v="No Sales after Nov22" u="1"/>
        <s v="Sales behind track ( No sales in Aug " u="1"/>
        <s v="First month sales" u="1"/>
        <s v="no agreement because of govt entity" u="1"/>
        <s v="No sales after Oct 22" u="1"/>
        <s v="Sales behind track ( No sales in Sep, as per commitment)" u="1"/>
        <s v="sales behind track (No sales in Aug" u="1"/>
      </sharedItems>
    </cacheField>
    <cacheField name="Deficit/Cost covered" numFmtId="0">
      <sharedItems containsBlank="1" containsMixedTypes="1" containsNumber="1" minValue="-786668.28" maxValue="3065649"/>
    </cacheField>
    <cacheField name="Margin %" numFmtId="0">
      <sharedItems containsString="0" containsBlank="1" containsNumber="1" minValue="0.25" maxValue="0.45"/>
    </cacheField>
    <cacheField name="Margin on Reagent sale" numFmtId="0">
      <sharedItems containsString="0" containsBlank="1" containsNumber="1" minValue="0" maxValue="18751335.620000001"/>
    </cacheField>
    <cacheField name="Column1" numFmtId="0">
      <sharedItems containsString="0" containsBlank="1" containsNumber="1" minValue="0" maxValue="0.45"/>
    </cacheField>
  </cacheFields>
  <extLst>
    <ext xmlns:x14="http://schemas.microsoft.com/office/spreadsheetml/2009/9/main" uri="{725AE2AE-9491-48be-B2B4-4EB974FC3084}">
      <x14:pivotCacheDefinition pivotCacheId="1727196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Hammad Hafeez "/>
    <x v="0"/>
    <x v="0"/>
    <n v="15002674"/>
    <s v="Electrolyte analyzer "/>
    <s v="Pending (issued against demo #  8300043042)"/>
    <s v="N/A"/>
    <s v="4286-2-202208"/>
    <s v="04.07.2023"/>
    <s v="05.07.2023"/>
    <s v="07.11.2023"/>
    <s v="08.03.2024"/>
    <s v="available"/>
    <x v="0"/>
    <x v="0"/>
    <s v="Karachi"/>
    <n v="3020001255"/>
    <x v="0"/>
    <m/>
    <s v=" House B-24, Block 20, FB Area, Gulberg Town,"/>
    <s v=" 0333-3351024, 021-36341059"/>
    <s v=" lab@jdcwelfare.org"/>
    <s v=" 4003056-3"/>
    <m/>
    <n v="442697"/>
    <n v="10"/>
    <n v="210665"/>
    <m/>
    <m/>
    <m/>
    <m/>
    <m/>
    <m/>
    <x v="0"/>
    <x v="0"/>
    <m/>
    <m/>
    <m/>
    <m/>
    <m/>
    <m/>
    <m/>
    <m/>
    <m/>
    <m/>
    <s v="Business case to be check for monthly commitment One machine to be pull back by 15 April"/>
    <m/>
    <n v="402500"/>
    <x v="0"/>
    <n v="67083.333333333328"/>
    <n v="321947"/>
    <n v="-143581.66666666669"/>
    <x v="0"/>
    <n v="-861490.00000000012"/>
    <n v="0.3"/>
    <n v="120750"/>
    <n v="0.27275992383052067"/>
  </r>
  <r>
    <s v="Hammad Hafeez "/>
    <x v="0"/>
    <x v="1"/>
    <n v="15002667"/>
    <s v="Coagulation Analyzer"/>
    <n v="3002000040"/>
    <s v="N/A"/>
    <s v="56-71-160517"/>
    <s v="10.02.2023"/>
    <s v="11.02.2023"/>
    <s v="31.10.2023"/>
    <s v="31.10.2023"/>
    <s v="available"/>
    <x v="0"/>
    <x v="0"/>
    <s v="Karachi"/>
    <n v="3020000692"/>
    <x v="1"/>
    <s v="N/A"/>
    <s v="Sector 48-H, Creek Road, Korangi Creek, Karachi"/>
    <s v="0302-8586998"/>
    <s v="psghospital123@gmail.com"/>
    <s v="7497628-7"/>
    <m/>
    <n v="1375572"/>
    <n v="36"/>
    <n v="134307"/>
    <m/>
    <m/>
    <m/>
    <m/>
    <m/>
    <m/>
    <x v="0"/>
    <x v="0"/>
    <m/>
    <m/>
    <m/>
    <m/>
    <m/>
    <m/>
    <m/>
    <m/>
    <m/>
    <m/>
    <s v="Price/workload revision - till 15 April 2024"/>
    <m/>
    <n v="846130"/>
    <x v="1"/>
    <n v="70510.833333333328"/>
    <n v="1121733"/>
    <n v="-63796.166666666672"/>
    <x v="0"/>
    <n v="-765554"/>
    <n v="0.3"/>
    <n v="253839"/>
    <n v="0.18453341591716027"/>
  </r>
  <r>
    <s v="Hammad Hafeez"/>
    <x v="1"/>
    <x v="2"/>
    <n v="15002553"/>
    <s v="Immunoassay"/>
    <s v="Emailed Nasir"/>
    <s v="N/A"/>
    <s v="ID00081331"/>
    <s v="13.02.2024 "/>
    <s v="15.02.2024 "/>
    <s v="Not mentioned on the agreement "/>
    <s v="02.02.2024"/>
    <s v="N/A"/>
    <x v="1"/>
    <x v="0"/>
    <s v="Karachi"/>
    <n v="3020000917"/>
    <x v="2"/>
    <m/>
    <s v="Diagnostic &amp; Research Laboratory Near Civil Hospital Hirabad,HYD Sindh Jamshoro"/>
    <s v=" 0334-0020341"/>
    <s v="fchandio@ymail.com"/>
    <s v=" 9030415-2"/>
    <m/>
    <n v="2868545"/>
    <n v="19"/>
    <n v="702513"/>
    <m/>
    <m/>
    <m/>
    <m/>
    <m/>
    <m/>
    <x v="0"/>
    <x v="0"/>
    <m/>
    <m/>
    <m/>
    <m/>
    <m/>
    <m/>
    <m/>
    <m/>
    <m/>
    <m/>
    <s v="Sales are on track"/>
    <m/>
    <m/>
    <x v="2"/>
    <m/>
    <m/>
    <m/>
    <x v="1"/>
    <n v="0"/>
    <n v="0.35"/>
    <n v="0"/>
    <n v="0"/>
  </r>
  <r>
    <s v="M.Hafiz Mujtaba"/>
    <x v="1"/>
    <x v="3"/>
    <n v="15002462"/>
    <s v="Immunoassay"/>
    <s v="E-mail forwarded to Mr. Asim &amp; Mr. Abdul Khalid for CAPEX appropriation requested because demo performed from 3200 Plant Lahore (mail attached)"/>
    <s v="N/A"/>
    <s v="iA00093422"/>
    <s v="19.09.2023"/>
    <s v="20.09.2023"/>
    <s v="20.09.2023"/>
    <s v="20.09.2023"/>
    <s v="N/A"/>
    <x v="0"/>
    <x v="1"/>
    <s v="Swat"/>
    <n v="3020001430"/>
    <x v="3"/>
    <s v="N/A"/>
    <s v=" Opposite Azeem Medical Centre,Fatima Jinnah Road,Quetta"/>
    <s v="081-2823350, 0331-8055742"/>
    <s v=" sohailenterprisesqta@gmail.com"/>
    <s v="4471634-7"/>
    <s v=" 54400-4142931-3"/>
    <n v="2983545"/>
    <n v="12"/>
    <n v="751293"/>
    <m/>
    <m/>
    <m/>
    <m/>
    <m/>
    <m/>
    <x v="0"/>
    <x v="0"/>
    <m/>
    <m/>
    <m/>
    <m/>
    <m/>
    <m/>
    <m/>
    <m/>
    <m/>
    <m/>
    <s v="Recently installed "/>
    <m/>
    <n v="5781796"/>
    <x v="3"/>
    <n v="1445449"/>
    <n v="959916.40000000014"/>
    <n v="694156"/>
    <x v="2"/>
    <n v="2776624"/>
    <n v="0.35"/>
    <n v="2023628.5999999999"/>
    <n v="0.67826313998950905"/>
  </r>
  <r>
    <s v="M. Akhtar"/>
    <x v="1"/>
    <x v="4"/>
    <n v="15002462"/>
    <s v="Immunoassay"/>
    <s v="E-mail forwarded to Mr. Asim &amp; Mr. Abdul Khalid for CAPEX appropriation requested because demo performed from 3200 Plant Lahore (mail attached)"/>
    <s v="N/A"/>
    <s v="IA00096724 "/>
    <s v="21.09.2023"/>
    <s v="22.09.2023"/>
    <s v="14.06.2023"/>
    <s v="06.07.2023"/>
    <s v="available"/>
    <x v="0"/>
    <x v="2"/>
    <s v="Sialkot"/>
    <n v="3020001659"/>
    <x v="4"/>
    <s v="N/A"/>
    <s v="2-Km Daska Raod, "/>
    <s v="0324-8787299, 052-3574812"/>
    <s v=" info.iih@smcs.edu.pk"/>
    <s v="8892361-1"/>
    <m/>
    <n v="4497465"/>
    <n v="34"/>
    <n v="592145"/>
    <m/>
    <m/>
    <m/>
    <m/>
    <m/>
    <m/>
    <x v="1"/>
    <x v="1"/>
    <m/>
    <m/>
    <s v=" "/>
    <s v=" "/>
    <m/>
    <m/>
    <m/>
    <m/>
    <m/>
    <m/>
    <m/>
    <m/>
    <n v="0"/>
    <x v="4"/>
    <n v="0"/>
    <n v="4497465"/>
    <n v="-592145"/>
    <x v="3"/>
    <n v="0"/>
    <n v="0.35"/>
    <n v="0"/>
    <n v="0"/>
  </r>
  <r>
    <s v="Hammad Hafeez "/>
    <x v="0"/>
    <x v="5"/>
    <n v="15002673"/>
    <s v="Urine Analyzer"/>
    <s v="Machine issued on demo and CAPEX working not start because business case and agreement still not received."/>
    <s v="N/A"/>
    <s v="6-X2-090418"/>
    <s v="29.09.2023"/>
    <s v="30.09.2023"/>
    <s v="24.10.2023"/>
    <s v="24.10.2023"/>
    <s v="in process"/>
    <x v="0"/>
    <x v="0"/>
    <s v="Karachi"/>
    <n v="3020000734"/>
    <x v="5"/>
    <s v="N/A"/>
    <s v="Hyder Buksh Gabol Road,Safora Chowrangi,Karachi"/>
    <s v="0345-2411026, 081-2664461"/>
    <s v="saifur.rehman@mhef.edu.pk"/>
    <s v="1414406-9"/>
    <m/>
    <n v="3278744"/>
    <n v="36"/>
    <n v="469938"/>
    <m/>
    <m/>
    <m/>
    <m/>
    <m/>
    <m/>
    <x v="0"/>
    <x v="0"/>
    <m/>
    <m/>
    <m/>
    <m/>
    <m/>
    <m/>
    <m/>
    <m/>
    <s v="supplies isnt avaiable "/>
    <s v="PO pending is in hand  0.2 M order in Hand "/>
    <s v="Six month machine was not operational. Now it is operational and sales will increase in two months time"/>
    <m/>
    <n v="1981790.8"/>
    <x v="1"/>
    <n v="165149.23333333334"/>
    <n v="2684206.7599999998"/>
    <n v="-304788.76666666666"/>
    <x v="0"/>
    <n v="-3657465.2"/>
    <n v="0.3"/>
    <n v="594537.24"/>
    <n v="0.1813307900830318"/>
  </r>
  <r>
    <s v="Hammad Hafeez "/>
    <x v="0"/>
    <x v="0"/>
    <n v="15002674"/>
    <s v="Electrolyte analyzer "/>
    <n v="3002000043"/>
    <s v="N/A"/>
    <s v="5782-2-202302 "/>
    <s v="07.08.2023 "/>
    <s v="08.08.2023"/>
    <s v="07.11.2023"/>
    <s v="03.08.2023"/>
    <s v="available"/>
    <x v="0"/>
    <x v="0"/>
    <s v="Karachi"/>
    <n v="3020001255"/>
    <x v="0"/>
    <s v="N/A"/>
    <s v=" House B-24, Block 20, FB Area, Gulberg Town,"/>
    <s v=" 0333-3351024, 021-36341059"/>
    <s v=" lab@jdcwelfare.org"/>
    <s v=" 4003056-3"/>
    <m/>
    <n v="442697"/>
    <n v="10"/>
    <n v="210665"/>
    <m/>
    <m/>
    <m/>
    <m/>
    <m/>
    <m/>
    <x v="2"/>
    <x v="2"/>
    <s v="We've received order of 280,000 in August 2023 "/>
    <s v="Order received as per commitment"/>
    <s v="No Orders received in Sep 2023 due to innaguration preparation"/>
    <s v="Working with customer to get the desired orders as per comittment"/>
    <m/>
    <m/>
    <m/>
    <m/>
    <s v="Still lab isnt completely opperational"/>
    <m/>
    <s v="Business case to be check for monthly commitment One machine to be pull back by 15 April"/>
    <m/>
    <n v="402500"/>
    <x v="5"/>
    <n v="57500"/>
    <n v="321947"/>
    <n v="-153165"/>
    <x v="0"/>
    <n v="-1072155"/>
    <n v="0.3"/>
    <n v="120750"/>
    <n v="0.27275992383052067"/>
  </r>
  <r>
    <s v="Hammad Hafeez "/>
    <x v="1"/>
    <x v="2"/>
    <n v="15002553"/>
    <s v="Immunoassay"/>
    <n v="3002000013"/>
    <s v="Machine has been returned from KKF to warehouse against asset # 3002000013 on dated 27.11.2023_x000a_Machine is now in Jilani Hospital Quetta"/>
    <s v="ID00026724"/>
    <s v="12.08.2022"/>
    <s v="14.08.2022"/>
    <s v="27.07.2022"/>
    <s v="08.05.2022"/>
    <s v="available"/>
    <x v="2"/>
    <x v="0"/>
    <s v="Karachi"/>
    <n v="3020000888"/>
    <x v="6"/>
    <s v="Masood Ahmed Khan"/>
    <s v="179, C.P. &amp; Berar Society Cp &amp; Berar Chs, Karachi, Karachi City, Sindh"/>
    <s v="N/A"/>
    <s v="medciagnostic19@gmail.com"/>
    <s v="0944239-1"/>
    <m/>
    <n v="1700000"/>
    <n v="6"/>
    <n v="786668.28"/>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x v="3"/>
    <x v="3"/>
    <s v="machine has been pulled back"/>
    <m/>
    <m/>
    <m/>
    <m/>
    <m/>
    <m/>
    <m/>
    <s v="Machine Move to Quetta"/>
    <s v="Machine Move to Quetta yaseen Hospital "/>
    <m/>
    <m/>
    <n v="86663"/>
    <x v="6"/>
    <n v="86663"/>
    <n v="1669667.95"/>
    <n v="-700005.28"/>
    <x v="4"/>
    <n v="-700005.28"/>
    <n v="0.35"/>
    <n v="30332.05"/>
    <n v="1.7842382352941177E-2"/>
  </r>
  <r>
    <s v="M. Akhtar"/>
    <x v="1"/>
    <x v="2"/>
    <n v="15002553"/>
    <s v="Immunoassay"/>
    <n v="3002000029"/>
    <s v="N/A"/>
    <s v="ID00030225"/>
    <s v="27.01.2023"/>
    <s v="28.01.2023"/>
    <d v="2023-11-01T00:00:00"/>
    <s v="27.02.2023"/>
    <s v="available"/>
    <x v="3"/>
    <x v="2"/>
    <s v="Lahore"/>
    <n v="3020000816"/>
    <x v="7"/>
    <s v="Dr. Anwar Masood"/>
    <s v="99-Garden Block, Garden Town, Lahore"/>
    <s v="042-111627663"/>
    <s v="info@masoodhospital.com"/>
    <s v="1520150-3"/>
    <m/>
    <n v="1962000"/>
    <n v="10"/>
    <n v="458397"/>
    <m/>
    <m/>
    <s v="Sales on track"/>
    <s v="Stock unavailable, although invoiced "/>
    <s v="stock unavailable"/>
    <s v="0.5 Mio invioce has been recieved in july "/>
    <x v="4"/>
    <x v="4"/>
    <s v="600,000 order Received "/>
    <s v="Started new parameters businesss gap will be mitigate in next three months "/>
    <m/>
    <m/>
    <m/>
    <m/>
    <m/>
    <m/>
    <m/>
    <m/>
    <m/>
    <m/>
    <n v="4959028.38"/>
    <x v="7"/>
    <n v="381463.72153846151"/>
    <n v="226340.06700000004"/>
    <n v="-76933.278461538488"/>
    <x v="0"/>
    <n v="-1000132.6200000003"/>
    <n v="0.35"/>
    <n v="1735659.933"/>
    <n v="0.88463809021406725"/>
  </r>
  <r>
    <s v="M.Hafiz Mujtaba"/>
    <x v="1"/>
    <x v="2"/>
    <n v="15002553"/>
    <s v="Immunoassay"/>
    <n v="3002000019"/>
    <s v="N/A"/>
    <s v="ID00026524"/>
    <s v="06.09.2022"/>
    <s v="07.09.2022"/>
    <s v="07.14.2022"/>
    <s v="18.07.2022"/>
    <s v="available"/>
    <x v="3"/>
    <x v="1"/>
    <s v="Abbotobad"/>
    <n v="3020000943"/>
    <x v="8"/>
    <s v="MR. KHALID HUSSAIN QURESHI"/>
    <s v="M/S VALLEY HEALTH CARE LABORATORIES,MAIN MANSEHRA ROAD, MIRPUR ABBOTTABAD."/>
    <s v="0345-9236895"/>
    <s v="healthcarecare204@gmail.com  "/>
    <s v="6392920-4"/>
    <m/>
    <n v="2100000"/>
    <n v="12"/>
    <n v="490395"/>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x v="5"/>
    <x v="5"/>
    <s v="New order of approx. 1 million will be recieved next month to cover the defecit"/>
    <s v="Strong follow up"/>
    <s v="Stock Unavailable"/>
    <s v="Stock has been Recieved ,will be invoiced"/>
    <m/>
    <s v="Stock has been Recieved ,will be invoiced"/>
    <m/>
    <m/>
    <m/>
    <m/>
    <s v="Meeting will be held in April to discuss this case"/>
    <m/>
    <n v="859007.49000000011"/>
    <x v="8"/>
    <n v="53687.968125000007"/>
    <n v="1799347.3785000001"/>
    <n v="-436707.03187499999"/>
    <x v="5"/>
    <n v="-6987312.5099999998"/>
    <n v="0.35"/>
    <n v="300652.62150000001"/>
    <n v="0.14316791500000001"/>
  </r>
  <r>
    <s v="Hammad Hafeez"/>
    <x v="1"/>
    <x v="3"/>
    <n v="15002462"/>
    <s v="Immunoassay"/>
    <n v="3002000009"/>
    <s v="Machine has been transferred from Noor to Jiliani"/>
    <s v="IA00092922"/>
    <s v="01.07.2022"/>
    <s v="03.08.2022"/>
    <s v="28.06.2022"/>
    <s v="28.06..2022"/>
    <s v="available"/>
    <x v="2"/>
    <x v="0"/>
    <s v="Quetta"/>
    <n v="3020001083"/>
    <x v="9"/>
    <s v="ASAD ULLAH"/>
    <s v="Shop # 5, Yet Road, Near M.A. Jinnah Road,"/>
    <s v="0307-3800575 , 081-2826500"/>
    <s v="noor.lab.surgical@gmail.com"/>
    <m/>
    <s v="54400-0524139-1"/>
    <n v="2675000"/>
    <n v="14"/>
    <n v="690432"/>
    <m/>
    <m/>
    <m/>
    <m/>
    <m/>
    <m/>
    <x v="0"/>
    <x v="0"/>
    <m/>
    <m/>
    <m/>
    <m/>
    <m/>
    <m/>
    <m/>
    <m/>
    <m/>
    <m/>
    <m/>
    <m/>
    <n v="594600"/>
    <x v="9"/>
    <n v="66066.666666666672"/>
    <n v="2466890"/>
    <n v="-624365.33333333337"/>
    <x v="0"/>
    <n v="-5619288"/>
    <n v="0.35"/>
    <n v="208110"/>
    <n v="7.7798130841121499E-2"/>
  </r>
  <r>
    <s v="Hammad Hafeez "/>
    <x v="1"/>
    <x v="3"/>
    <n v="15002462"/>
    <s v="Immunoassay"/>
    <n v="3002000009"/>
    <s v="Moved from Jilani Hospital to Burhani Hospital"/>
    <s v="IA00092922"/>
    <s v="14.12.2023"/>
    <s v="16.12.2023"/>
    <s v="21.11.2023"/>
    <s v="18.12.2023"/>
    <s v="available"/>
    <x v="0"/>
    <x v="0"/>
    <s v="Karachi"/>
    <n v="3020000447"/>
    <x v="10"/>
    <s v="ASAD ULLAH"/>
    <s v="Shop # 5, Yet Road, Near M.A. Jinnah Road,"/>
    <s v="0307-3800575 , 081-2826500"/>
    <s v="noor.lab.surgical@gmail.com"/>
    <m/>
    <s v="54400-0524139-1"/>
    <n v="2668545"/>
    <n v="27"/>
    <n v="499567"/>
    <m/>
    <m/>
    <m/>
    <m/>
    <s v="YHLO stock was N/A"/>
    <s v="we will recieve new order from customer as stock is available now "/>
    <x v="6"/>
    <x v="6"/>
    <m/>
    <m/>
    <m/>
    <m/>
    <m/>
    <m/>
    <m/>
    <m/>
    <s v="Move to Khi Burhani Hospital"/>
    <m/>
    <m/>
    <m/>
    <n v="1361800"/>
    <x v="10"/>
    <n v="453933.33333333331"/>
    <n v="2191915"/>
    <n v="-45633.666666666686"/>
    <x v="0"/>
    <n v="-136901.00000000006"/>
    <n v="0.35"/>
    <n v="476629.99999999994"/>
    <n v="0.17861044127043013"/>
  </r>
  <r>
    <s v="Hammad Hafeez "/>
    <x v="1"/>
    <x v="3"/>
    <n v="15002462"/>
    <s v="Immunoassay"/>
    <n v="3002000014"/>
    <s v="N/A"/>
    <s v="IA00093122"/>
    <s v="03.08.2022"/>
    <s v="04.08.2022"/>
    <s v="06.29.2022"/>
    <s v="20.07.2022"/>
    <s v="available"/>
    <x v="0"/>
    <x v="0"/>
    <s v="Karachi"/>
    <n v="3020000539"/>
    <x v="11"/>
    <s v="Dr. Burjor"/>
    <s v=" V28F+QFR, Garden Rd, near Makki Masjid، Preedy Quarters Karachi, Karachi"/>
    <s v="0300-8259525"/>
    <s v="gbanklesaria.nursing.home@gmail.com"/>
    <s v="1539892-7"/>
    <m/>
    <n v="2675000"/>
    <n v="16"/>
    <n v="493226.5"/>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x v="7"/>
    <x v="7"/>
    <s v="We've received order of 286,000 in August 2023 "/>
    <s v="Need to revise the business case as per Average Reagent Sales"/>
    <s v="Revised business case has been sent to Mr, Ebad for further approvals"/>
    <s v="Order received for Oct 2023 and its on hold."/>
    <m/>
    <m/>
    <m/>
    <m/>
    <s v="Prices will revies"/>
    <s v="Under discussion on prices, order will receive soon "/>
    <s v="45% price revision letter submitted"/>
    <m/>
    <n v="3807013.12"/>
    <x v="11"/>
    <n v="211500.7288888889"/>
    <n v="1342545.4080000001"/>
    <n v="-281725.7711111111"/>
    <x v="6"/>
    <n v="-5071063.88"/>
    <n v="0.35"/>
    <n v="1332454.5919999999"/>
    <n v="0.49811386616822428"/>
  </r>
  <r>
    <s v="Hammad Hafeez "/>
    <x v="1"/>
    <x v="3"/>
    <n v="15002462"/>
    <s v="Immunoassay"/>
    <n v="3002000010"/>
    <s v="N/A"/>
    <s v="IA00093222"/>
    <s v="26.09.2023"/>
    <s v="27.09.2023"/>
    <s v="11.09.2023"/>
    <s v="11.09.2023"/>
    <s v="available"/>
    <x v="0"/>
    <x v="0"/>
    <s v="Karachi"/>
    <n v="3020000013"/>
    <x v="12"/>
    <s v="N/A"/>
    <s v="St-19, KDA Scheme, Abul Asar Hafeez,"/>
    <s v="021-111-300-999, 0311-3060540"/>
    <s v=" rubina.sabir@lcmddsh.com.pk"/>
    <s v=" 2517101-1"/>
    <m/>
    <n v="2868545"/>
    <n v="29"/>
    <n v="586886"/>
    <m/>
    <m/>
    <m/>
    <m/>
    <m/>
    <m/>
    <x v="0"/>
    <x v="0"/>
    <m/>
    <m/>
    <s v="equipment installed &amp; Validation Done"/>
    <s v="We'll receive their first PO within this week"/>
    <m/>
    <m/>
    <m/>
    <m/>
    <m/>
    <m/>
    <m/>
    <m/>
    <n v="2382089.0199999996"/>
    <x v="3"/>
    <n v="595522.25499999989"/>
    <n v="2034813.8430000003"/>
    <n v="8636.2549999998882"/>
    <x v="2"/>
    <n v="34545.019999999553"/>
    <n v="0.35"/>
    <n v="833731.15699999977"/>
    <n v="0.29064600938803464"/>
  </r>
  <r>
    <s v="M. Akhtar"/>
    <x v="1"/>
    <x v="4"/>
    <n v="15002462"/>
    <s v="Immunoassay"/>
    <n v="3002000028"/>
    <s v="N/A"/>
    <s v="IA00096624"/>
    <s v="27.01.2023"/>
    <s v="28.01.2023"/>
    <s v="10.01.2023"/>
    <s v="27.02.2023"/>
    <s v="available"/>
    <x v="0"/>
    <x v="2"/>
    <s v="Gujranwala"/>
    <n v="3020001141"/>
    <x v="13"/>
    <s v="Mr. Nawaz Ahmed Bajwa"/>
    <s v="Sialkot Road, Gujranwala."/>
    <s v="055-3259061-3"/>
    <s v="Not Available"/>
    <s v="2298630-8"/>
    <m/>
    <n v="3706000"/>
    <n v="15"/>
    <n v="541370"/>
    <m/>
    <m/>
    <s v="1 month sales, first order sale still not completed due to unavailiblity of stock"/>
    <s v="Stock unavailable "/>
    <s v="account has been blocked "/>
    <s v="invoice 0.7 Mio has been recieved "/>
    <x v="8"/>
    <x v="8"/>
    <s v="800,000 order invoiced "/>
    <s v="in line as per business comitment "/>
    <m/>
    <m/>
    <m/>
    <m/>
    <m/>
    <m/>
    <m/>
    <m/>
    <m/>
    <m/>
    <n v="6221720"/>
    <x v="12"/>
    <n v="565610.90909090906"/>
    <n v="1528398"/>
    <n v="24240.909090909059"/>
    <x v="2"/>
    <n v="266649.99999999965"/>
    <n v="0.35"/>
    <n v="2177602"/>
    <n v="0.58758823529411763"/>
  </r>
  <r>
    <s v="M. Akhtar"/>
    <x v="0"/>
    <x v="5"/>
    <n v="15002673"/>
    <s v="Urine Analyzer"/>
    <n v="3002000030"/>
    <s v="N/A"/>
    <s v="0034-X2-230818"/>
    <s v="29.05.2023"/>
    <s v="30.05.2023"/>
    <s v="30.03.2023"/>
    <s v="19.05.2023"/>
    <s v="available"/>
    <x v="0"/>
    <x v="2"/>
    <s v="Lahore"/>
    <n v="3020000776"/>
    <x v="14"/>
    <s v="Dr. Zeenat Hussain"/>
    <s v="34-Lawrence Road, Lahore"/>
    <s v="042-35912882"/>
    <s v="zeenatlaboratory@gmail.com_x0009_"/>
    <s v="2302878-5"/>
    <m/>
    <n v="2500000"/>
    <n v="12"/>
    <n v="643570"/>
    <m/>
    <m/>
    <m/>
    <m/>
    <s v="stock unavailable"/>
    <m/>
    <x v="9"/>
    <x v="9"/>
    <s v="Business is not as per comitment "/>
    <s v="Going to return the equipment in this month "/>
    <m/>
    <m/>
    <m/>
    <m/>
    <m/>
    <m/>
    <m/>
    <m/>
    <s v="Will be returened back in March"/>
    <m/>
    <n v="278000"/>
    <x v="13"/>
    <n v="34750"/>
    <n v="2416600"/>
    <n v="-608820"/>
    <x v="7"/>
    <n v="-4870560"/>
    <n v="0.3"/>
    <n v="83400"/>
    <n v="3.3360000000000001E-2"/>
  </r>
  <r>
    <s v="M.Hafiz Mujtaba"/>
    <x v="2"/>
    <x v="6"/>
    <n v="15002711"/>
    <s v="Blood Gas Analyzer"/>
    <n v="3002000008"/>
    <s v="N/A"/>
    <s v="#PP13230140C"/>
    <s v="26.05.2023"/>
    <s v="27.05.2023"/>
    <s v="15.05.2022"/>
    <s v="19.05.2023"/>
    <s v="available"/>
    <x v="2"/>
    <x v="1"/>
    <s v="Islamabad"/>
    <n v="3020000190"/>
    <x v="15"/>
    <s v="Dr. Badar Alam"/>
    <s v="Al-Khair Plaza, Fazal-e-Haq Road, Blue Area, Islamabad"/>
    <s v="0333-8555611, 0301-5086177 &amp; 0321-5181280"/>
    <s v="info@citi-lab.com                   "/>
    <s v="4814745-2"/>
    <m/>
    <n v="3005386"/>
    <n v="38"/>
    <n v="228413"/>
    <m/>
    <m/>
    <m/>
    <m/>
    <s v="invoice under process"/>
    <m/>
    <x v="10"/>
    <x v="10"/>
    <s v="Due to the delay in supply customer is not willing to work on our machine "/>
    <s v="Meeting is planned with Dr. Jameel Nasir CEO of Citi Lab "/>
    <s v="meeting is pending with CEO"/>
    <s v="meeting is pending with CEO"/>
    <m/>
    <s v="meeting is pending with CEO"/>
    <s v="Machine is planned to be pulledback from customer site, approved by Nawaz Abid"/>
    <s v="Machine is planned to be pulledback from customer site, approved by Nawaz Abid"/>
    <m/>
    <m/>
    <s v="Returned back in stock"/>
    <m/>
    <n v="409135.62"/>
    <x v="13"/>
    <n v="51141.952499999999"/>
    <n v="2882645.3140000002"/>
    <n v="-177271.04749999999"/>
    <x v="8"/>
    <n v="-1418168.38"/>
    <n v="0.3"/>
    <n v="122740.68599999999"/>
    <n v="4.0840240155507475E-2"/>
  </r>
  <r>
    <s v="Hammad Hafeez "/>
    <x v="3"/>
    <x v="7"/>
    <n v="15002463"/>
    <s v="Clinical Chemistry"/>
    <n v="3002000011"/>
    <m/>
    <s v="22-5016"/>
    <s v="14.06.2022"/>
    <s v="15.06.2022"/>
    <s v="04.01.2022"/>
    <s v="15.06.2022"/>
    <s v="available"/>
    <x v="0"/>
    <x v="0"/>
    <s v="Karachi"/>
    <n v="3020000701"/>
    <x v="16"/>
    <s v="Government"/>
    <s v="M. T. Building, Head Office Karachi"/>
    <s v="0334-1047293"/>
    <s v="sanzsoomro34@gmail.com"/>
    <s v="0803450-8"/>
    <s v="-"/>
    <n v="4500000"/>
    <n v="12"/>
    <n v="761989"/>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x v="11"/>
    <x v="11"/>
    <s v="Machine was out of order and now has been installed and validation has been performed."/>
    <s v="Working with customer to get the PO."/>
    <s v="We've received order of 365,000 in Sep 2023 "/>
    <s v="Order value will increase gradually based on equipment proper functioning"/>
    <m/>
    <m/>
    <m/>
    <m/>
    <s v="machine wasnt in Working condition"/>
    <s v="since last month machine is working properply "/>
    <s v="Problem with machines. Now new business case will be prepared"/>
    <m/>
    <n v="1537005.0500000003"/>
    <x v="14"/>
    <n v="90412.061764705897"/>
    <n v="3808347.7275"/>
    <n v="-671576.93823529407"/>
    <x v="9"/>
    <n v="-11416807.949999999"/>
    <n v="0.45"/>
    <n v="691652.2725000002"/>
    <n v="0.15370050500000004"/>
  </r>
  <r>
    <s v="Hammad Hafeez "/>
    <x v="3"/>
    <x v="7"/>
    <n v="15002463"/>
    <s v="Clinical Chemistry"/>
    <n v="3002000017"/>
    <m/>
    <s v="22-5023"/>
    <s v="29.08.2022"/>
    <s v="30.08.2022"/>
    <s v="16.08.2022"/>
    <s v="22.08.2022"/>
    <s v="available"/>
    <x v="0"/>
    <x v="0"/>
    <s v="Karachi"/>
    <n v="3020001047"/>
    <x v="17"/>
    <s v="Shazia parveen"/>
    <s v="R 8, Sector 5c/4 Sector 5 C 4 New Karachi Town, Karachi,"/>
    <s v="0323-2342326"/>
    <s v="Not Available"/>
    <m/>
    <s v="42101-4970811-0"/>
    <n v="4500000"/>
    <n v="23"/>
    <n v="474155"/>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x v="12"/>
    <x v="12"/>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s v="Problem with machines. Now new business case will be prepared"/>
    <m/>
    <n v="3199536.1300000004"/>
    <x v="8"/>
    <n v="199971.00812500002"/>
    <n v="3060208.7414999995"/>
    <n v="-274183.99187499995"/>
    <x v="0"/>
    <n v="-4386943.8699999992"/>
    <n v="0.45"/>
    <n v="1439791.2585000002"/>
    <n v="0.31995361300000003"/>
  </r>
  <r>
    <s v="Hammad Hafeez "/>
    <x v="3"/>
    <x v="7"/>
    <n v="15002463"/>
    <s v="Clinical Chemistry"/>
    <n v="3002000012"/>
    <s v="N/A"/>
    <s v="22-5015"/>
    <s v="28.07.2022"/>
    <s v="29.07.2022"/>
    <s v="06.29.2022"/>
    <s v="07.07.2022"/>
    <s v="available"/>
    <x v="0"/>
    <x v="0"/>
    <s v="Karachi"/>
    <n v="3020000692"/>
    <x v="1"/>
    <s v="_x000a_Dr. Danish Muhammad Khan"/>
    <s v="Civil Hospital, New Labour Colony Nanakwara, Karachi, Karachi City, Sindh"/>
    <s v="0321-8784310"/>
    <s v="psghospital123@gamil.com"/>
    <s v="7497628-7"/>
    <m/>
    <n v="4500000"/>
    <n v="15"/>
    <n v="527731"/>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x v="12"/>
    <x v="12"/>
    <s v="We've received order of 233,000 in August 2023 due to workload has been divided between us and ROCHE"/>
    <s v="We've received required spare parts and consumables which will help us to improve our business."/>
    <s v="Machine was under observation from customer "/>
    <s v="Working with customer to get the desired orders as per comittment"/>
    <m/>
    <m/>
    <m/>
    <m/>
    <s v="machine wasnt in Working condition"/>
    <s v="since last month machine is working properply "/>
    <s v="Problem with machines. Now new business case will be prepared"/>
    <m/>
    <n v="4522929.83"/>
    <x v="14"/>
    <n v="266054.69588235294"/>
    <n v="2464681.5765"/>
    <n v="-261676.30411764706"/>
    <x v="0"/>
    <n v="-4448497.17"/>
    <n v="0.45"/>
    <n v="2035318.4235"/>
    <n v="0.45229298299999998"/>
  </r>
  <r>
    <s v="M. Akhtar"/>
    <x v="3"/>
    <x v="7"/>
    <n v="15002463"/>
    <s v="Clinical Chemistry"/>
    <n v="3002000001"/>
    <s v="N/A"/>
    <s v="22-5003"/>
    <s v="18.01.2022"/>
    <s v="19.01.2022"/>
    <s v="03.29.2022"/>
    <s v="03.29.2022"/>
    <s v="available"/>
    <x v="3"/>
    <x v="2"/>
    <s v="Gujranwala"/>
    <n v="3020001237"/>
    <x v="18"/>
    <s v="mr.usman"/>
    <s v="Sheikhupura road, Gujranwala"/>
    <s v="0304-1114242"/>
    <s v=" ssmtci@yahoo.com       "/>
    <s v="2073349-6"/>
    <m/>
    <n v="4520275"/>
    <n v="30"/>
    <n v="40000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x v="13"/>
    <x v="13"/>
    <s v=" Order is in process expected orderRs. 800,000 "/>
    <s v="prices revised to mitigate the commited Sales gap "/>
    <m/>
    <m/>
    <m/>
    <m/>
    <m/>
    <m/>
    <m/>
    <m/>
    <m/>
    <m/>
    <n v="4956938"/>
    <x v="15"/>
    <n v="247846.9"/>
    <n v="2289652.9"/>
    <n v="-152153.1"/>
    <x v="0"/>
    <n v="-3043062"/>
    <n v="0.45"/>
    <n v="2230622.1"/>
    <n v="0.49347044151074881"/>
  </r>
  <r>
    <s v="M. Akhtar"/>
    <x v="3"/>
    <x v="7"/>
    <n v="15002463"/>
    <s v="Clinical Chemistry"/>
    <n v="3002000018"/>
    <s v="N/A"/>
    <s v="22-5026"/>
    <s v="05.09.2022"/>
    <s v="05.09.2022"/>
    <s v="08.26.2022"/>
    <s v="30.08.2022"/>
    <s v="available"/>
    <x v="0"/>
    <x v="2"/>
    <s v="Multan"/>
    <n v="3020000633"/>
    <x v="19"/>
    <s v="Govt. Hospital"/>
    <s v="THE INSTITUTE OF CHILD HEALTH, CHILDREN HOSPITAL COMPLEX, ABDALI ROAD, MULTAN._x000a_"/>
    <s v="061-9200919"/>
    <s v="Not Available"/>
    <s v="9020100-7"/>
    <m/>
    <n v="4500000"/>
    <n v="9"/>
    <n v="1237668"/>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x v="14"/>
    <x v="14"/>
    <s v="Order Recevied "/>
    <s v="4 Million order will be invoice this month "/>
    <m/>
    <m/>
    <m/>
    <m/>
    <m/>
    <m/>
    <s v="Payment issue - Order in hand"/>
    <m/>
    <m/>
    <m/>
    <n v="12740247.859999999"/>
    <x v="8"/>
    <n v="796265.49124999996"/>
    <n v="-1233111.5369999995"/>
    <n v="-441402.50875000004"/>
    <x v="0"/>
    <n v="1233111.5369999995"/>
    <n v="0.45"/>
    <n v="5733111.5369999995"/>
    <n v="1.2740247859999998"/>
  </r>
  <r>
    <s v="Hammad Hafeez "/>
    <x v="3"/>
    <x v="8"/>
    <n v="15002128"/>
    <s v="Clinical Chemistry"/>
    <n v="3002000003"/>
    <s v="N/A"/>
    <s v="21-4087"/>
    <s v="26.10.2021"/>
    <s v="27.10.2021"/>
    <s v="04.22.2022"/>
    <s v="04.22.2022"/>
    <s v="available"/>
    <x v="0"/>
    <x v="0"/>
    <s v="Karachi"/>
    <n v="3020000022"/>
    <x v="20"/>
    <s v="Farhan Essa"/>
    <s v="B-122, Block H North Nazimabad Town, Karachi, Karachi City, Sindh"/>
    <s v="0333-2220711"/>
    <s v="ltcdrasgharali@gmail.com"/>
    <s v="0982474-0"/>
    <s v="42501-8253375-1"/>
    <n v="2606483"/>
    <n v="17"/>
    <n v="250000"/>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x v="7"/>
    <x v="15"/>
    <s v="We've received order of 122,000 in August 2023 "/>
    <s v="We've got the order of 400,000 in September 2023 to cover the deficit of August 2023. Furthermore, we've covered 94% of ROI in this case."/>
    <s v="We've received order of 400,000 in Sep 2023 "/>
    <s v="Working with customer to get the desired orders as per comittment"/>
    <m/>
    <m/>
    <m/>
    <m/>
    <s v="Due to shifting of Lab, wordload is down."/>
    <s v="From on wards will receive commited value PO "/>
    <s v="Improvement in sales expected"/>
    <m/>
    <n v="5123140.129999999"/>
    <x v="16"/>
    <n v="204925.60519999996"/>
    <n v="-467401.07799999928"/>
    <n v="-45074.394800000038"/>
    <x v="0"/>
    <n v="-1126859.870000001"/>
    <n v="0.6"/>
    <n v="3073884.0779999993"/>
    <n v="1.1793225115989627"/>
  </r>
  <r>
    <s v="Hammad Hafeez "/>
    <x v="4"/>
    <x v="9"/>
    <n v="15001967"/>
    <s v="Hematology "/>
    <s v="CAPEX transaction is under process against appropriation request # 8600000 pending"/>
    <s v="N/A"/>
    <n v="123197"/>
    <s v="22.11.2023"/>
    <s v="23.11.2023"/>
    <s v="31.10.2023"/>
    <s v="07.11.2023"/>
    <s v="available"/>
    <x v="0"/>
    <x v="0"/>
    <s v="Hyderabad"/>
    <n v="3020001382"/>
    <x v="21"/>
    <s v=" Junaid Ahmed Jatoi"/>
    <s v="National Stadium Road, Karachi"/>
    <s v="022-2666644, 0333-2751669"/>
    <s v="enterprisesojal@gmail.com"/>
    <m/>
    <s v="45501-4957284-1"/>
    <n v="880301.4"/>
    <n v="15"/>
    <n v="156749.4"/>
    <m/>
    <m/>
    <m/>
    <m/>
    <m/>
    <m/>
    <x v="0"/>
    <x v="0"/>
    <m/>
    <m/>
    <m/>
    <m/>
    <m/>
    <m/>
    <m/>
    <m/>
    <m/>
    <m/>
    <m/>
    <m/>
    <n v="3261000"/>
    <x v="13"/>
    <n v="407625"/>
    <n v="-750198.6"/>
    <n v="250875.6"/>
    <x v="2"/>
    <n v="2007004.8"/>
    <n v="0.5"/>
    <n v="1630500"/>
    <n v="1.8522065283549474"/>
  </r>
  <r>
    <s v="Hammad Hafeez "/>
    <x v="4"/>
    <x v="9"/>
    <n v="15001967"/>
    <s v="Hematology"/>
    <s v="CAPEX transaction is under process against appropriation request # 8600000 pending"/>
    <m/>
    <n v="122531"/>
    <m/>
    <m/>
    <m/>
    <s v="07.11.2023"/>
    <s v="available"/>
    <x v="0"/>
    <x v="0"/>
    <s v="Hyderabad"/>
    <n v="3020001382"/>
    <x v="21"/>
    <s v=" Junaid Ahmed Jatoi"/>
    <s v="National Stadium Road, Karachi"/>
    <s v="022-2666644, 0333-2751669"/>
    <s v="enterprisesojal@gmail.com"/>
    <m/>
    <s v="45501-4957284-1"/>
    <n v="880301.4"/>
    <n v="15"/>
    <n v="156749.4"/>
    <m/>
    <m/>
    <m/>
    <m/>
    <m/>
    <m/>
    <x v="0"/>
    <x v="0"/>
    <m/>
    <m/>
    <m/>
    <m/>
    <m/>
    <m/>
    <m/>
    <m/>
    <m/>
    <m/>
    <m/>
    <m/>
    <n v="3261000"/>
    <x v="13"/>
    <n v="407625"/>
    <n v="-750198.6"/>
    <n v="250875.6"/>
    <x v="2"/>
    <n v="2007004.8"/>
    <n v="0.5"/>
    <n v="1630500"/>
    <n v="1.8522065283549474"/>
  </r>
  <r>
    <s v="Hammad Hafeez "/>
    <x v="4"/>
    <x v="9"/>
    <n v="15001967"/>
    <s v="Hematology"/>
    <n v="3002000039"/>
    <m/>
    <n v="121495"/>
    <m/>
    <m/>
    <m/>
    <s v="07.11.2023"/>
    <s v="available"/>
    <x v="0"/>
    <x v="0"/>
    <s v="Hyderabad"/>
    <n v="3020001382"/>
    <x v="21"/>
    <s v=" Junaid Ahmed Jatoi"/>
    <s v="National Stadium Road, Karachi"/>
    <s v="022-2666644, 0333-2751669"/>
    <s v="enterprisesojal@gmail.com"/>
    <m/>
    <s v="45501-4957284-1"/>
    <n v="880301.4"/>
    <n v="15"/>
    <n v="156749.4"/>
    <m/>
    <m/>
    <m/>
    <m/>
    <m/>
    <m/>
    <x v="0"/>
    <x v="0"/>
    <m/>
    <m/>
    <m/>
    <m/>
    <m/>
    <m/>
    <m/>
    <m/>
    <m/>
    <m/>
    <m/>
    <m/>
    <n v="3261000"/>
    <x v="13"/>
    <n v="407625"/>
    <n v="-750198.6"/>
    <n v="250875.6"/>
    <x v="2"/>
    <n v="2007004.8"/>
    <n v="0.5"/>
    <n v="1630500"/>
    <n v="1.8522065283549474"/>
  </r>
  <r>
    <s v="Hammad Hafeez "/>
    <x v="4"/>
    <x v="9"/>
    <n v="15001967"/>
    <s v="Hematology"/>
    <n v="3002000039"/>
    <m/>
    <n v="121496"/>
    <m/>
    <m/>
    <m/>
    <s v="07.11.2023"/>
    <s v="available"/>
    <x v="0"/>
    <x v="0"/>
    <s v="Hyderabad"/>
    <n v="3020001382"/>
    <x v="21"/>
    <s v=" Junaid Ahmed Jatoi"/>
    <s v="National Stadium Road, Karachi"/>
    <s v="022-2666644, 0333-2751669"/>
    <s v="enterprisesojal@gmail.com"/>
    <m/>
    <s v="45501-4957284-1"/>
    <n v="880301.4"/>
    <n v="15"/>
    <n v="156749.4"/>
    <m/>
    <m/>
    <m/>
    <m/>
    <m/>
    <m/>
    <x v="0"/>
    <x v="0"/>
    <m/>
    <m/>
    <m/>
    <m/>
    <m/>
    <m/>
    <m/>
    <m/>
    <m/>
    <m/>
    <m/>
    <m/>
    <n v="3261000"/>
    <x v="13"/>
    <n v="407625"/>
    <n v="-750198.6"/>
    <n v="250875.6"/>
    <x v="2"/>
    <n v="2007004.8"/>
    <n v="0.5"/>
    <n v="1630500"/>
    <n v="1.8522065283549474"/>
  </r>
  <r>
    <s v="Hammad Hafeez "/>
    <x v="4"/>
    <x v="9"/>
    <n v="15001967"/>
    <s v="Hematology"/>
    <n v="3002000039"/>
    <m/>
    <n v="121497"/>
    <m/>
    <m/>
    <m/>
    <s v="07.11.2023"/>
    <s v="available"/>
    <x v="0"/>
    <x v="0"/>
    <s v="Hyderabad"/>
    <n v="3020001382"/>
    <x v="21"/>
    <s v=" Junaid Ahmed Jatoi"/>
    <s v="National Stadium Road, Karachi"/>
    <s v="022-2666644, 0333-2751669"/>
    <s v="enterprisesojal@gmail.com"/>
    <m/>
    <s v="45501-4957284-1"/>
    <n v="880301.4"/>
    <n v="15"/>
    <n v="156749.4"/>
    <m/>
    <m/>
    <m/>
    <m/>
    <m/>
    <m/>
    <x v="0"/>
    <x v="0"/>
    <m/>
    <m/>
    <m/>
    <m/>
    <m/>
    <m/>
    <m/>
    <m/>
    <m/>
    <m/>
    <m/>
    <m/>
    <n v="3261000"/>
    <x v="13"/>
    <n v="407625"/>
    <n v="-750198.6"/>
    <n v="250875.6"/>
    <x v="2"/>
    <n v="2007004.8"/>
    <n v="0.5"/>
    <n v="1630500"/>
    <n v="1.8522065283549474"/>
  </r>
  <r>
    <s v="M. Akhtar"/>
    <x v="4"/>
    <x v="9"/>
    <n v="15001967"/>
    <s v="Hematology"/>
    <n v="3002000004"/>
    <s v="N/A"/>
    <n v="104282"/>
    <s v="27.11.2021"/>
    <s v="28.11.2021"/>
    <s v="06.01.2021"/>
    <s v="06.01.2021"/>
    <s v="available"/>
    <x v="0"/>
    <x v="2"/>
    <s v="Faisalabad"/>
    <n v="3020000515"/>
    <x v="22"/>
    <s v="Govt. Hospital"/>
    <s v="near pinum hospital, faisalabad"/>
    <s v="041-9210082"/>
    <s v="Not Available"/>
    <s v="9020100-7"/>
    <m/>
    <n v="1262290"/>
    <n v="12"/>
    <n v="450000"/>
    <s v="tender based ,Tender completed "/>
    <s v="instruments will be return after depletion of stocks "/>
    <s v="Sales on track"/>
    <s v="Sales on track"/>
    <s v="sales on track "/>
    <s v="new contract in process"/>
    <x v="0"/>
    <x v="16"/>
    <s v="Contract renewed for three months "/>
    <s v="Initial order of amount Rs 1.8 Million invoiced "/>
    <m/>
    <m/>
    <m/>
    <m/>
    <m/>
    <m/>
    <m/>
    <m/>
    <s v="Cost Covered and will be return back as tender period is ended."/>
    <m/>
    <n v="11676740"/>
    <x v="8"/>
    <n v="729796.25"/>
    <n v="-4576080"/>
    <n v="279796.25"/>
    <x v="10"/>
    <n v="4476740"/>
    <n v="0.5"/>
    <n v="5838370"/>
    <n v="4.6252208288111287"/>
  </r>
  <r>
    <s v="Hammad Hafeez "/>
    <x v="4"/>
    <x v="9"/>
    <n v="15001967"/>
    <s v="Hematology "/>
    <n v="3002000041"/>
    <s v="N/A"/>
    <n v="120754"/>
    <s v="22.11.2022"/>
    <s v="23.11.2022"/>
    <s v="07.11.2022"/>
    <s v="27.10.2023"/>
    <s v="available"/>
    <x v="0"/>
    <x v="0"/>
    <s v="Karachi"/>
    <n v="3020001067"/>
    <x v="23"/>
    <s v="N/A"/>
    <s v="H.J Rafique Shaheed Road, South Saddar Town, Karachi "/>
    <s v=" 0322-2328894"/>
    <s v="mursaleem.nicvd@gmail.com"/>
    <s v="9033300-4"/>
    <m/>
    <n v="1954396"/>
    <n v="36"/>
    <n v="323047"/>
    <m/>
    <m/>
    <m/>
    <m/>
    <m/>
    <m/>
    <x v="0"/>
    <x v="0"/>
    <m/>
    <m/>
    <m/>
    <m/>
    <m/>
    <m/>
    <m/>
    <m/>
    <s v="Order is in process due to Payment issue we didnt consider po."/>
    <s v="this month we will recevie order and exicute "/>
    <m/>
    <m/>
    <n v="3151500"/>
    <x v="17"/>
    <n v="225107.14285714287"/>
    <n v="378646"/>
    <n v="-97939.85714285713"/>
    <x v="0"/>
    <n v="-1371157.9999999998"/>
    <n v="0.5"/>
    <n v="1575750"/>
    <n v="0.80625932513165188"/>
  </r>
  <r>
    <s v="Hammad Hafeez "/>
    <x v="5"/>
    <x v="10"/>
    <n v="15002758"/>
    <s v="Immunoassay"/>
    <n v="3002000025"/>
    <s v="N/A"/>
    <n v="36000907"/>
    <s v="04.01.2023"/>
    <s v="05.01.2023"/>
    <s v="06.12.2022"/>
    <s v="06.12.2022"/>
    <s v="available"/>
    <x v="0"/>
    <x v="0"/>
    <s v="Quetta"/>
    <n v="3020001748"/>
    <x v="24"/>
    <s v="Dr. Fayaz butt"/>
    <s v="Jinnah Road Quetta"/>
    <s v="0812-822360"/>
    <s v="Not Available"/>
    <s v="5132026-1"/>
    <s v="54400-1404155-1"/>
    <n v="10856400"/>
    <n v="29"/>
    <n v="1266339"/>
    <m/>
    <m/>
    <s v="Reagents Not available"/>
    <s v="Partial items received, already processed the orders"/>
    <s v="machine out of order"/>
    <s v="working with OCD technical team to resolve the issue as early as possible callibration and allignment tools are needed which is under process by procurement "/>
    <x v="15"/>
    <x v="17"/>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n v="6544574"/>
    <x v="7"/>
    <n v="503428.76923076925"/>
    <n v="9547485.1999999993"/>
    <n v="-762910.23076923075"/>
    <x v="6"/>
    <n v="-9917833"/>
    <n v="0.2"/>
    <n v="1308914.8"/>
    <n v="0.12056619137098855"/>
  </r>
  <r>
    <s v="Hammad Hafeez "/>
    <x v="5"/>
    <x v="10"/>
    <n v="15002758"/>
    <s v="Immunoassay"/>
    <n v="3002000027"/>
    <s v="N/A"/>
    <n v="36001565"/>
    <s v="05.05.2023"/>
    <s v="06.05.2023"/>
    <s v="17.04.2023"/>
    <s v="17.04.2023"/>
    <s v="available"/>
    <x v="0"/>
    <x v="0"/>
    <s v="Dadu"/>
    <n v="3020000917"/>
    <x v="25"/>
    <s v="N/A"/>
    <s v="Liaqat University of Medical &amp; Health (Jamshoro)"/>
    <s v="0334-0020341"/>
    <s v="fehandio@gmail.com"/>
    <s v="9030415-2"/>
    <m/>
    <n v="16350883"/>
    <n v="29"/>
    <n v="1477881"/>
    <m/>
    <m/>
    <m/>
    <m/>
    <s v="on track "/>
    <m/>
    <x v="16"/>
    <x v="18"/>
    <s v="No order received in August 2023"/>
    <s v="Working with customer to get the PO to cover the deficit of August 2023"/>
    <s v="No Orders received in Sep 2023"/>
    <s v="Following up for Over due payments before getting their order"/>
    <m/>
    <m/>
    <m/>
    <m/>
    <s v="Due payment issues"/>
    <s v=" Working to get all over due payment and new PO will process"/>
    <s v="Price/workload revision - till 15 April 2024"/>
    <m/>
    <n v="7898620"/>
    <x v="9"/>
    <n v="877624.4444444445"/>
    <n v="14771159"/>
    <n v="-600256.5555555555"/>
    <x v="0"/>
    <n v="-5402309"/>
    <n v="0.2"/>
    <n v="1579724"/>
    <n v="9.6613987146749195E-2"/>
  </r>
  <r>
    <s v="M. Akhtar"/>
    <x v="5"/>
    <x v="10"/>
    <n v="15002758"/>
    <s v="Immunoassay"/>
    <n v="3002000026"/>
    <s v="N/A"/>
    <n v="36001150"/>
    <s v="17.05.2023"/>
    <s v="18.05.2023"/>
    <s v="13.04.2023"/>
    <s v="13.04.2023"/>
    <s v="available"/>
    <x v="0"/>
    <x v="2"/>
    <s v="Lahore"/>
    <n v="3020000771"/>
    <x v="26"/>
    <s v="Govt. Hospital_x0009_"/>
    <s v="Ferozepur Road, Lahore"/>
    <s v="042-99230312"/>
    <s v="gulabdevi@hotmail.com"/>
    <s v="4022666-2"/>
    <m/>
    <n v="16350883"/>
    <n v="27"/>
    <n v="1316953"/>
    <m/>
    <m/>
    <m/>
    <m/>
    <s v="stock unavailable"/>
    <m/>
    <x v="9"/>
    <x v="9"/>
    <s v="Waiting for Inventory &amp; then invoice execution "/>
    <m/>
    <s v="New PO has been generated ,waiting for shipment "/>
    <s v="Waiting for Invoice "/>
    <m/>
    <s v="Waiting for Invoice "/>
    <s v="One po is in proceeded and waiting for another new order"/>
    <m/>
    <m/>
    <m/>
    <m/>
    <m/>
    <n v="1163495"/>
    <x v="18"/>
    <n v="116349.5"/>
    <n v="16118184"/>
    <n v="-1200603.5"/>
    <x v="0"/>
    <n v="-12006035"/>
    <n v="0.2"/>
    <n v="232699"/>
    <n v="1.4231586147365863E-2"/>
  </r>
  <r>
    <s v="Hammad Hafeez "/>
    <x v="5"/>
    <x v="11"/>
    <n v="15002760"/>
    <s v="Immunoassay"/>
    <n v="3002000024"/>
    <s v="N/A"/>
    <n v="30006173"/>
    <s v="01.06.2023"/>
    <s v="02.6.2023"/>
    <s v="12.12.2022"/>
    <s v="12.12.2022"/>
    <s v="available"/>
    <x v="0"/>
    <x v="0"/>
    <s v="Karachi"/>
    <n v="3020000888"/>
    <x v="27"/>
    <s v="Dr. Sheikh Abdul Ahad"/>
    <s v="St-7,Block 14,F.B Area Gulberg, Karachi"/>
    <s v="021-36323839 / 021-111222553"/>
    <s v="Not Available"/>
    <s v="4315201-5"/>
    <m/>
    <n v="9297200"/>
    <n v="31"/>
    <n v="967223"/>
    <m/>
    <m/>
    <s v="Reagents Not available"/>
    <s v="Partial items received, already processed the orders"/>
    <s v="machine out of order"/>
    <m/>
    <x v="4"/>
    <x v="4"/>
    <s v="Equipment has been functional now."/>
    <s v="Waiting to receive the PO on new prices"/>
    <s v="Revised business case has been sent to Mr, Irfan for further approvals"/>
    <s v="Order received for Sep 2023 and its on hold."/>
    <m/>
    <m/>
    <m/>
    <m/>
    <s v="M"/>
    <s v="Machine was not opperational 3 months"/>
    <s v="Business case revision to be submitted"/>
    <m/>
    <n v="6953999"/>
    <x v="17"/>
    <n v="496714.21428571426"/>
    <n v="7906400.2000000002"/>
    <n v="-470508.78571428574"/>
    <x v="0"/>
    <n v="-6587123"/>
    <n v="0.2"/>
    <n v="1390799.8"/>
    <n v="0.1495934044658607"/>
  </r>
  <r>
    <s v="Hammad Hafeez "/>
    <x v="5"/>
    <x v="11"/>
    <n v="15002760"/>
    <s v="Immunoassay"/>
    <n v="3002000020"/>
    <s v="N/A"/>
    <n v="30006249"/>
    <s v="01.10.2022"/>
    <s v="02.10.2022"/>
    <s v="26.09.2022"/>
    <s v="26.09.2022"/>
    <s v="available"/>
    <x v="0"/>
    <x v="0"/>
    <s v="Quetta"/>
    <n v="3020001748"/>
    <x v="28"/>
    <s v="Installed through Trader Jamal Brothers"/>
    <s v="Art School Rd, Quetta, Balochistan 83200"/>
    <s v="0336-3557475"/>
    <s v="ahmed_ullah26@yahoo.com"/>
    <m/>
    <s v="54400-1404155-1"/>
    <n v="9297200"/>
    <n v="30"/>
    <n v="1380048"/>
    <m/>
    <s v="Order received and processed"/>
    <s v="Reagents Not available"/>
    <s v="Partial items received, already processed the orders"/>
    <s v="working with customer to put workload on our equipment "/>
    <m/>
    <x v="17"/>
    <x v="19"/>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n v="6953999"/>
    <x v="19"/>
    <n v="463599.93333333335"/>
    <n v="7906400.2000000002"/>
    <n v="-916448.06666666665"/>
    <x v="6"/>
    <n v="-13746721"/>
    <n v="0.2"/>
    <n v="1390799.8"/>
    <n v="0.1495934044658607"/>
  </r>
  <r>
    <s v="Hammad Hafeez "/>
    <x v="5"/>
    <x v="11"/>
    <n v="15002760"/>
    <s v="Immunoassay"/>
    <n v="3002000021"/>
    <s v="N/A"/>
    <n v="30006248"/>
    <s v="01.10.2022"/>
    <s v="02.10.2022"/>
    <s v="23.09.2022"/>
    <s v="26.09.2022"/>
    <s v="available"/>
    <x v="0"/>
    <x v="0"/>
    <s v="Quetta"/>
    <n v="3020001748"/>
    <x v="29"/>
    <s v="Installed through Trader Jamal Brothers"/>
    <s v="Saleem Medical Complex, Quetta, Pakistan-87300"/>
    <s v="0336-3557475"/>
    <s v="ahmed_ullah26@yahoo.com"/>
    <m/>
    <s v="54400-1404155-1"/>
    <n v="9297200"/>
    <n v="30"/>
    <n v="1002975"/>
    <m/>
    <s v="Order received and processed"/>
    <s v="Reagents Not available"/>
    <s v="Partial items received, already processed the orders"/>
    <s v="working with customer to put workload on our equipment "/>
    <m/>
    <x v="17"/>
    <x v="19"/>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n v="7898620"/>
    <x v="19"/>
    <n v="526574.66666666663"/>
    <n v="7717476"/>
    <n v="-476400.33333333337"/>
    <x v="6"/>
    <n v="-7146005.0000000009"/>
    <n v="0.2"/>
    <n v="1579724"/>
    <n v="0.16991395258787592"/>
  </r>
  <r>
    <s v="Hammad Hafeez "/>
    <x v="5"/>
    <x v="11"/>
    <n v="15002760"/>
    <s v="Immunoassay"/>
    <n v="3002000022"/>
    <s v="N/A"/>
    <n v="30006240"/>
    <s v="29.10.2022"/>
    <s v="30.10.2022"/>
    <s v="19.10.2022"/>
    <s v="19.10.2022"/>
    <s v="available"/>
    <x v="0"/>
    <x v="0"/>
    <s v="Quetta"/>
    <n v="3020001748"/>
    <x v="30"/>
    <s v="Dr. Hanif Mangel"/>
    <s v="52Q5+VJ4, Patel Road, Patel Bagh Quetta, Balochistan"/>
    <s v="0336-3557475"/>
    <s v="ahmed_ullah26@yahoo.com"/>
    <m/>
    <s v="54400-1404155-1"/>
    <n v="9297200"/>
    <n v="29"/>
    <n v="1059783"/>
    <m/>
    <m/>
    <s v="Reagents Not available"/>
    <s v="Partial items received, already processed the orders"/>
    <s v="working with customer to put workload on our equipment "/>
    <m/>
    <x v="17"/>
    <x v="19"/>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n v="5781796"/>
    <x v="17"/>
    <n v="412985.42857142858"/>
    <n v="8140840.7999999998"/>
    <n v="-646797.57142857136"/>
    <x v="6"/>
    <n v="-9055166"/>
    <n v="0.2"/>
    <n v="1156359.2"/>
    <n v="0.12437714580733984"/>
  </r>
  <r>
    <s v="Hammad Hafeez "/>
    <x v="5"/>
    <x v="11"/>
    <n v="15002760"/>
    <s v="Immunoassay"/>
    <n v="3002000036"/>
    <s v="N/A"/>
    <n v="30006183"/>
    <s v="31.07.2023"/>
    <s v="01.08.2023"/>
    <s v="20.10.2022"/>
    <s v="20.10.2022"/>
    <s v="available"/>
    <x v="0"/>
    <x v="0"/>
    <s v="Karachi"/>
    <n v="3020000547"/>
    <x v="31"/>
    <s v="Dr. Syed Durrani"/>
    <s v="R3P2+Q37, Main Korangi Rd, near Kala Pul، Clifton, Karachi"/>
    <s v="021-35392001-2 / 0300-8255140"/>
    <s v="vmedintertrade@yahoo.com"/>
    <m/>
    <s v="42201-8906429-9"/>
    <n v="9297200"/>
    <n v="35"/>
    <n v="829374"/>
    <m/>
    <m/>
    <s v="Equipment not placed yet, due to unavailability"/>
    <s v="Equipment not placed yet, due to unavailability"/>
    <s v="machine under installation phase "/>
    <m/>
    <x v="18"/>
    <x v="20"/>
    <s v="Equipment installed, validation done"/>
    <s v="Waiting to receive the PO from Customer end."/>
    <s v="First Order received through Distributor V-MED Inter. (amount: 1,100,000)"/>
    <s v="We'll be receiving continuous order of committed amount"/>
    <m/>
    <m/>
    <m/>
    <m/>
    <s v="last tender was scraped, new tender is awarded First PO is received,"/>
    <m/>
    <m/>
    <m/>
    <n v="3507715"/>
    <x v="20"/>
    <n v="701543"/>
    <n v="8595657"/>
    <n v="-127831"/>
    <x v="0"/>
    <n v="-639155"/>
    <n v="0.2"/>
    <n v="701543"/>
    <n v="7.5457449554704639E-2"/>
  </r>
  <r>
    <s v="Hammad Hafeez "/>
    <x v="5"/>
    <x v="11"/>
    <n v="15002760"/>
    <s v="Immunoassay"/>
    <n v="3002000033"/>
    <s v="N/A"/>
    <n v="30006238"/>
    <s v=" 01.03.2023"/>
    <s v="02.03.2023"/>
    <m/>
    <m/>
    <s v="available"/>
    <x v="0"/>
    <x v="0"/>
    <s v="Karachi"/>
    <n v="3020000477"/>
    <x v="32"/>
    <s v="Approved"/>
    <s v="Stadium Road, Karachi"/>
    <s v="021-34930051, 0313-3691916"/>
    <s v=" zain.mansoor@aku.edu"/>
    <s v=" 0709421-3"/>
    <m/>
    <n v="18600000"/>
    <n v="35"/>
    <n v="3542857.1428571432"/>
    <m/>
    <m/>
    <m/>
    <m/>
    <m/>
    <m/>
    <x v="0"/>
    <x v="0"/>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s v="Agreemanet pending "/>
    <m/>
    <n v="18213225"/>
    <x v="19"/>
    <n v="2312587.5"/>
    <n v="13049790"/>
    <n v="-1230269.6428571432"/>
    <x v="0"/>
    <n v="-14763235.714285718"/>
    <n v="0.2"/>
    <n v="5550210"/>
    <n v="0.29839838709677419"/>
  </r>
  <r>
    <s v="Hammad Hafeez "/>
    <x v="5"/>
    <x v="11"/>
    <n v="15002760"/>
    <s v="Immunoassay"/>
    <n v="3002000037"/>
    <s v="N/A"/>
    <n v="30006243"/>
    <s v=" 01.03.2023"/>
    <s v="02.03.2023"/>
    <m/>
    <m/>
    <m/>
    <x v="0"/>
    <x v="0"/>
    <s v="Karachi"/>
    <n v="3020000477"/>
    <x v="32"/>
    <s v="Available"/>
    <s v="Stadium Road, Karachi"/>
    <s v="021-34930051, 0313-3691916"/>
    <s v=" zain.mansoor@aku.edu"/>
    <s v=" 0709421-3"/>
    <m/>
    <n v="18600000"/>
    <n v="35"/>
    <n v="3542857.1428571432"/>
    <m/>
    <m/>
    <m/>
    <m/>
    <m/>
    <m/>
    <x v="0"/>
    <x v="0"/>
    <m/>
    <m/>
    <s v="We've received order of 5.7 million in Sep 2023 "/>
    <s v="Order received as per commitment"/>
    <m/>
    <m/>
    <m/>
    <m/>
    <m/>
    <m/>
    <s v="Agreemanet pending "/>
    <m/>
    <n v="18213225"/>
    <x v="19"/>
    <n v="1214215"/>
    <n v="14957355"/>
    <n v="-2328642.1428571432"/>
    <x v="0"/>
    <n v="-34929632.142857149"/>
    <n v="0.2"/>
    <n v="3642645"/>
    <n v="0.19584112903225806"/>
  </r>
  <r>
    <s v="Hammad Hafeez "/>
    <x v="5"/>
    <x v="11"/>
    <n v="15002760"/>
    <s v="Immunoassay"/>
    <n v="3002000023"/>
    <s v="N/A"/>
    <n v="30004829"/>
    <s v="29.10.2022"/>
    <s v="30.10.2022"/>
    <s v="10.09.2022"/>
    <s v="09.10.2022"/>
    <s v="available"/>
    <x v="0"/>
    <x v="0"/>
    <s v="Karachi"/>
    <n v="3020000439"/>
    <x v="33"/>
    <s v="Not Available"/>
    <s v="plot # GRE/550, Gul meher street, off Jahangir road garden east , Karachi"/>
    <s v="0321-9232142"/>
    <s v="hanif.baig@amdtrust.org "/>
    <s v="4665344-1"/>
    <m/>
    <n v="5847387"/>
    <n v="28"/>
    <n v="545522"/>
    <m/>
    <m/>
    <s v="Reagents Not available"/>
    <s v="Partial items received, already processed the orders"/>
    <s v="working with customer to put workload on our equipment "/>
    <m/>
    <x v="19"/>
    <x v="21"/>
    <m/>
    <m/>
    <s v="Revised business case has been sent to Mr, Irfan for further approvals"/>
    <s v="Order for Sep &amp; Oct 2023 has been received"/>
    <m/>
    <m/>
    <m/>
    <m/>
    <m/>
    <m/>
    <s v="Price/workload revision - till 15 April 2024"/>
    <m/>
    <n v="2871614.48"/>
    <x v="17"/>
    <n v="205115.32"/>
    <n v="5273064.1040000003"/>
    <n v="-340406.68"/>
    <x v="6"/>
    <n v="-4765693.5199999996"/>
    <n v="0.2"/>
    <n v="574322.89600000007"/>
    <n v="9.8218725047615293E-2"/>
  </r>
  <r>
    <s v="Irfan Ikram"/>
    <x v="5"/>
    <x v="11"/>
    <n v="15002760"/>
    <s v="Immunoassay"/>
    <n v="3002000035"/>
    <s v="N/A"/>
    <n v="30006187"/>
    <s v="20.07.2023"/>
    <s v="21.07.2023"/>
    <s v="17.05.2023"/>
    <s v="17.05.2023"/>
    <s v="available"/>
    <x v="0"/>
    <x v="2"/>
    <s v="Lahore"/>
    <n v="3020001238"/>
    <x v="34"/>
    <s v="Dr. Mateen Izhar"/>
    <s v="100-A, Shadman-1, Lahore-54000"/>
    <s v="042-37550666 &amp; 37550555"/>
    <s v="zubairee786@gmail.com     "/>
    <s v="1533283-7"/>
    <m/>
    <n v="7000000"/>
    <n v="22"/>
    <n v="909975"/>
    <m/>
    <m/>
    <m/>
    <m/>
    <s v="System is still not installed "/>
    <m/>
    <x v="20"/>
    <x v="22"/>
    <s v="Waiting for Inventory &amp; then invoice execution "/>
    <m/>
    <s v="New PO has been Recieved Amount Subject to Invoice "/>
    <s v="Parameter Woking Planning to shift from Roche "/>
    <m/>
    <s v="Parameter Woking Planning to shift from Roche "/>
    <s v="PO is in hand , waiting for payment "/>
    <s v="once payment will receive then order will be released by our finance and number will shown in sales "/>
    <s v="credit days issue , actually we block the orders after 30 days and our competitor has given the supplies. i think we redefine the credit days to 60"/>
    <m/>
    <m/>
    <m/>
    <n v="536700"/>
    <x v="13"/>
    <n v="67087.5"/>
    <n v="6892660"/>
    <n v="-842887.5"/>
    <x v="11"/>
    <n v="-6743100"/>
    <n v="0.2"/>
    <n v="107340"/>
    <n v="1.5334285714285713E-2"/>
  </r>
  <r>
    <s v="M. Akhtar"/>
    <x v="5"/>
    <x v="11"/>
    <n v="15002759"/>
    <s v="Immunoassay"/>
    <n v="3002000034"/>
    <s v="N/A"/>
    <n v="30006181"/>
    <s v="20.07.2023"/>
    <s v="21.07.2023"/>
    <s v="11.08.2023"/>
    <s v="11.08.2023"/>
    <s v="available"/>
    <x v="0"/>
    <x v="2"/>
    <s v="Lahore"/>
    <n v="3020000072"/>
    <x v="35"/>
    <s v="N/A"/>
    <s v="561-A, Edhi Street, Faisal Town, Opposite Jinnah Hospital Emergency Gate, Lahore"/>
    <s v="0331-9699586"/>
    <s v=" kjabran87@gmail.com"/>
    <s v=" 0224883-2"/>
    <m/>
    <n v="7385000"/>
    <n v="37"/>
    <n v="755925"/>
    <m/>
    <m/>
    <m/>
    <m/>
    <m/>
    <m/>
    <x v="1"/>
    <x v="1"/>
    <s v="Waiting for Inventory &amp; then invoice execution "/>
    <m/>
    <s v="New PO has been Recieved Amount Subject to Invoice "/>
    <s v="Parameter Woking Planning to shift from Roche "/>
    <m/>
    <s v="Parameter Woking Planning to shift from Roche "/>
    <s v="One PO is proceeded and waiting for another PO"/>
    <s v="Follow up "/>
    <s v="Consumables and electricity cost issue."/>
    <m/>
    <m/>
    <m/>
    <n v="566443"/>
    <x v="5"/>
    <n v="80920.428571428565"/>
    <n v="7271711.4000000004"/>
    <n v="-675004.57142857148"/>
    <x v="0"/>
    <n v="-4725032"/>
    <n v="0.2"/>
    <n v="113288.6"/>
    <n v="1.5340365605958023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s v="M. Akhtar"/>
    <x v="0"/>
    <n v="15002463"/>
    <s v="Clinical Chemistry"/>
    <n v="3002000001"/>
    <s v="22-5003"/>
    <s v="18.01.2022"/>
    <d v="2022-03-29T00:00:00"/>
    <d v="2022-03-29T00:00:00"/>
    <s v="Approved"/>
    <s v="Center"/>
    <s v="Gujranwala"/>
    <n v="3020001237"/>
    <s v="Siddique Sadiq Memorial trust"/>
    <s v="mr.usman"/>
    <s v="Sheikhupura road, Gujranwala"/>
    <s v="0304-1114242"/>
    <s v=" ssmtci@yahoo.com       "/>
    <s v="2073349-6"/>
    <m/>
    <m/>
    <n v="4520275"/>
    <n v="400000"/>
    <n v="3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n v="2865844"/>
    <n v="14"/>
    <n v="204703.14285714287"/>
    <n v="3373937.4"/>
    <n v="-195296.85714285713"/>
    <s v="Sales behind track "/>
  </r>
  <r>
    <n v="2"/>
    <s v="Hammad Noor"/>
    <x v="0"/>
    <n v="15002463"/>
    <s v="Clinical Chemistry"/>
    <n v="3002000002"/>
    <s v="21-5017"/>
    <s v="18.01.2022"/>
    <d v="2022-03-31T00:00:00"/>
    <d v="2022-03-31T00:00:00"/>
    <s v="Approved"/>
    <s v="South"/>
    <s v="Karachi"/>
    <n v="3020001675"/>
    <s v="Advance Lab"/>
    <s v="Dr. Rafiq Khanani"/>
    <s v=" B-31 Al Raee Road, (Dunkin Donut) off, Main University Rd, Block 15 Gulshan-e-Iqbal, Karachi"/>
    <s v="0333-3219576"/>
    <s v="scm@advancedhealth.com.pk"/>
    <s v="5579087-5"/>
    <m/>
    <m/>
    <n v="4520275"/>
    <n v="375000"/>
    <n v="30"/>
    <s v="Instrument was not fully stabalized, they are using Selectra ProM side by side."/>
    <s v="MACH5 kits was not availble in stock. Furthermore, instrument is not performing as per the expectations of customers"/>
    <s v="Instrument pulled back as customer was not satisfied with machine performance. They've start using Selectra Pro M (Purchased) now."/>
    <s v="Please close as they are not using MACH5 now, mentioned in previous comments as well."/>
    <s v="case closed "/>
    <m/>
    <n v="1684872.7599999998"/>
    <n v="14"/>
    <n v="120348.05428571427"/>
    <n v="3846325.8960000002"/>
    <n v="-254651.94571428571"/>
    <s v="Sales behind track"/>
  </r>
  <r>
    <n v="3"/>
    <s v="Hammad Noor"/>
    <x v="1"/>
    <n v="15002128"/>
    <s v="Clinical Chemistry"/>
    <n v="3002000003"/>
    <s v="21-4087"/>
    <s v="26.10.2021"/>
    <d v="2022-04-22T00:00:00"/>
    <d v="2022-04-22T00:00:00"/>
    <s v="Approved"/>
    <s v="South"/>
    <s v="Karachi"/>
    <n v="3020000022"/>
    <s v="Dr. Essa Laboratory"/>
    <s v="Farhan Essa"/>
    <s v="B-122, Block H North Nazimabad Town, Karachi, Karachi City, Sindh"/>
    <s v="0333-2220711"/>
    <s v="ltcdrasgharali@gmail.com"/>
    <s v="0982474-0"/>
    <m/>
    <s v="42501-8253375-1"/>
    <n v="2606483"/>
    <n v="250000"/>
    <n v="17"/>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n v="3416747.88"/>
    <n v="19"/>
    <n v="179828.83578947367"/>
    <n v="1239783.848"/>
    <n v="-70171.164210526331"/>
    <s v="Sales behind track"/>
  </r>
  <r>
    <n v="4"/>
    <s v="M. Akhtar"/>
    <x v="2"/>
    <n v="15001967"/>
    <s v="Hematology"/>
    <n v="3002000004"/>
    <s v="104282 &amp; 11695"/>
    <s v="27.11.2021"/>
    <d v="2021-06-01T00:00:00"/>
    <d v="2021-06-01T00:00:00"/>
    <s v="Approved"/>
    <s v="Center"/>
    <s v="Faisalabad"/>
    <n v="3020000515"/>
    <s v="Allied Hospital"/>
    <s v="Govt. Hospital"/>
    <s v="near pinum hospital, faisalabad"/>
    <s v="041-9210082"/>
    <s v="not available"/>
    <s v="9020100-7"/>
    <m/>
    <m/>
    <n v="1262290"/>
    <n v="450000"/>
    <n v="12"/>
    <s v="tender based ,Tender completed "/>
    <s v="instruments will be return after depletion of stocks "/>
    <s v="Sales on track"/>
    <s v="Sales on track"/>
    <s v="sales on track "/>
    <s v="new contract in process"/>
    <n v="9680100"/>
    <n v="12"/>
    <n v="450000"/>
    <n v="-2609750"/>
    <n v="0"/>
    <s v="Sales are going on, Cost covered"/>
  </r>
  <r>
    <n v="5"/>
    <s v="M. Akhtar"/>
    <x v="3"/>
    <n v="15002462"/>
    <s v="Immunoassay"/>
    <s v="invoiced 9200031293 from 3200 plant "/>
    <s v="IA0009111C"/>
    <s v="16.03.2022"/>
    <d v="2022-03-25T00:00:00"/>
    <d v="2022-10-03T00:00:00"/>
    <s v="Approved"/>
    <s v="Center"/>
    <s v="Sahiwal"/>
    <n v="3020000215"/>
    <s v="Health Zone Diagnostic"/>
    <s v="Mr. Zain"/>
    <s v="opposite DHQ Teaching Hospital, Kot Khadim Ali Shah Habib Town Kot Khadim Ali Shah, Sahiwal."/>
    <s v="0308-4564533"/>
    <s v="healthzonelabswl@gmail.com     "/>
    <s v="4463878-0"/>
    <m/>
    <m/>
    <n v="2656000"/>
    <n v="569773"/>
    <n v="6"/>
    <s v="stocks not avaialable /order received "/>
    <s v="stocks just arrived will be invoiced in a week Rs. 400,000"/>
    <s v="Stock unavailable "/>
    <s v="Stock unavailable "/>
    <s v="stock unavailable"/>
    <s v="stock has been recieved in july ,invoiced has been raised "/>
    <m/>
    <m/>
    <m/>
    <n v="2656000"/>
    <n v="-569773"/>
    <s v="Machine invoiced price 1,583,333/-"/>
  </r>
  <r>
    <n v="6"/>
    <s v="M. Akhtar"/>
    <x v="3"/>
    <n v="15002462"/>
    <s v="Immunoassay"/>
    <s v="invoiced 9200030850 from 3200 plant "/>
    <s v="IA0009101C"/>
    <s v="14.03.2022"/>
    <d v="2022-03-14T00:00:00"/>
    <s v="13/03/2022"/>
    <s v="Approved"/>
    <s v="Center"/>
    <s v="Sahiwal"/>
    <n v="3020000470"/>
    <s v="Adnan Enterprises C/o Drs Lab"/>
    <s v="MR. ADNAN SIKANDER,"/>
    <s v="GRAIN MARKET, WARD # 6, STREET # 2,SAHIWAL."/>
    <s v="0300-6913584"/>
    <s v="malikadnansikander@hotmail.com  "/>
    <s v="7309503-0"/>
    <m/>
    <m/>
    <n v="2656000"/>
    <n v="425947"/>
    <n v="6"/>
    <s v="stocks not avaialable /order received ,will be invoiced in october"/>
    <s v="stocks just arrived will be invoiced in a week Rs.400,000"/>
    <s v="Stock unavailable "/>
    <s v="Stock unavailable "/>
    <s v="stock unavailable"/>
    <s v="stock has been recieved in july ,invoiced has been raised "/>
    <n v="4621157"/>
    <n v="15"/>
    <n v="308077.13333333336"/>
    <n v="807537.2"/>
    <n v="-117869.86666666664"/>
    <s v="Machine invoiced price 1,623,932/- No sales after March)"/>
  </r>
  <r>
    <n v="7"/>
    <s v="M. Akhtar"/>
    <x v="3"/>
    <n v="15002462"/>
    <s v="Immunoassay"/>
    <s v="Invoiced 9200030701 from 3300 Plant"/>
    <s v="IA0009121C"/>
    <s v="10.03.2022"/>
    <d v="2022-03-09T00:00:00"/>
    <s v="16/03/2022"/>
    <s v="Approved"/>
    <s v="Center"/>
    <s v="Sahiwal"/>
    <n v="3020001578"/>
    <s v="Life Care Lab"/>
    <s v="ASGHAR ALI"/>
    <s v="M/S LIFE CARE DIAGNOSTIC LAB, OPPOSITE: SAHIWAL TEACHING HOSPITAL, SAHIWAL."/>
    <s v="0300-6731268"/>
    <s v=" lifecarelabswl@gmail.com "/>
    <s v="4392794-7"/>
    <m/>
    <m/>
    <n v="2656000"/>
    <n v="447448"/>
    <n v="6"/>
    <s v="stocks not available PO received will be invoiced in october"/>
    <s v="stocks just arrived will be invoiced in a week Rs.450,000"/>
    <s v="Stock unavailable "/>
    <s v="Stock unavailable "/>
    <s v="stock unavailable"/>
    <s v="stock has been recieved in july ,invoiced has been raised "/>
    <m/>
    <m/>
    <m/>
    <n v="2656000"/>
    <n v="-447448"/>
    <s v="Machine invoiced price 1,583,333/-"/>
  </r>
  <r>
    <n v="8"/>
    <s v="M.Hafiz Mujtaba"/>
    <x v="0"/>
    <n v="15002463"/>
    <s v="Clinical Chemistry"/>
    <n v="3002000008"/>
    <s v="22-5017"/>
    <s v="24.06.2022"/>
    <d v="2022-04-26T00:00:00"/>
    <d v="2022-04-26T00:00:00"/>
    <s v="Approved "/>
    <s v="North"/>
    <s v="Islamabad"/>
    <n v="3020000190"/>
    <s v="Citilab "/>
    <s v="MUHAMMAD BADAR ALAM"/>
    <s v="CITI LABORATORY, AL-KHAIR PLAZA,FAZAL-E-HAQ ROAD,BLUE AREA,ISLAMABAD."/>
    <s v="0321-5181280"/>
    <s v="info@citi-lab.com       "/>
    <s v="4814745-2"/>
    <s v="-"/>
    <s v="-"/>
    <n v="4500000"/>
    <n v="400000"/>
    <n v="30"/>
    <s v="Direct, Installation completed and now it will be a regular business."/>
    <s v="Unavailability of stock"/>
    <s v="Stock unavailable "/>
    <s v="Stock unavailable/ dissmental due  "/>
    <m/>
    <m/>
    <n v="823643"/>
    <n v="10"/>
    <n v="82364.3"/>
    <n v="4170542.8"/>
    <n v="-317635.7"/>
    <s v="No sales after Sep22, Machine will be returned to Stock in July 2023"/>
  </r>
  <r>
    <n v="9"/>
    <s v="Hammad Noor"/>
    <x v="3"/>
    <n v="15002462"/>
    <s v="Immunoassay"/>
    <n v="3002000009"/>
    <s v="IA00092922"/>
    <s v="01.07.2022"/>
    <d v="2022-06-28T00:00:00"/>
    <s v="28/06/2022"/>
    <s v="Approved"/>
    <s v="South"/>
    <s v="Quetta"/>
    <n v="3020001083"/>
    <s v="Noor lab quetta"/>
    <s v="ASAD ULLAH"/>
    <s v="Shop # 5, Yet Road, Near M.A. Jinnah Road,"/>
    <s v="0307-3800575 , 081-2826500"/>
    <s v="noor.lab.surgical@gmail.com"/>
    <n v="0"/>
    <s v="-"/>
    <s v="54400-0524139-1"/>
    <n v="2675000"/>
    <n v="690432.13"/>
    <n v="14"/>
    <s v="Installation completed in September."/>
    <s v="YHLO reagents was not availble in stock. New Stock received, customer will process new order within this month."/>
    <s v="They've stopped using the equipment due to variation in some results, after resolving the problem we've received some orders from them which are under process."/>
    <s v="Order hold/ Stock unavailable "/>
    <s v="YHLO stock was N/A"/>
    <s v="we will recieve new order from customer as stock is available now "/>
    <n v="594600"/>
    <n v="11"/>
    <n v="54054.545454545456"/>
    <n v="2437160"/>
    <n v="-636377.58454545459"/>
    <s v="behind track (No Sales After Feb 2023)"/>
  </r>
  <r>
    <n v="10"/>
    <s v="Hammad Noor"/>
    <x v="3"/>
    <n v="15002462"/>
    <s v="Immunoassay"/>
    <n v="3002000010"/>
    <s v="IA00093222"/>
    <s v="17.06.2022"/>
    <d v="2022-10-06T00:00:00"/>
    <d v="2022-10-06T00:00:00"/>
    <s v="Approved"/>
    <s v="South"/>
    <s v="Karachi"/>
    <n v="3020001591"/>
    <s v="Karachi XRays &amp; Ultrasound Hospital"/>
    <s v="Mr. Qasim / Dr. Salim Shah"/>
    <s v="Khorasana Road, Soldier Bazaar Catholic Colony, Karachi, Karachi City"/>
    <s v="021-322290001"/>
    <s v="karachixrays@yahoo.com"/>
    <s v="0710856-7"/>
    <s v="-"/>
    <s v="-"/>
    <n v="2675000"/>
    <n v="492150"/>
    <n v="18"/>
    <s v="Installation done, Order was not processed due to unavailability of Kits"/>
    <s v="Agreement signing in process"/>
    <s v="We've pulled back the equipment as most of the time kits was not available whenever they've needed it."/>
    <s v="Please close as they are not using iflash 1800 now, mentioned in previous comments as well."/>
    <s v="case closed "/>
    <m/>
    <m/>
    <m/>
    <m/>
    <n v="2675000"/>
    <n v="-492150"/>
    <s v="No Sales till date"/>
  </r>
  <r>
    <n v="11"/>
    <s v="Hammad Noor"/>
    <x v="0"/>
    <n v="15002463"/>
    <s v="Clinical Chemistry"/>
    <n v="3002000011"/>
    <s v="22-5016"/>
    <s v="14.06.2022"/>
    <d v="2022-04-01T00:00:00"/>
    <s v="15/06/2022"/>
    <s v="Approved"/>
    <s v="South"/>
    <s v="Karachi"/>
    <n v="3020000701"/>
    <s v="Pakistan International Airlines Co-operation Limited"/>
    <s v="Company"/>
    <s v="M. T. Building, Head Office Karachi"/>
    <s v="0334-1047293"/>
    <s v="sanzsoomro34@gmail.com"/>
    <s v="0803450-8"/>
    <s v="-"/>
    <s v="-"/>
    <n v="4500000"/>
    <n v="761989"/>
    <n v="12"/>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n v="1199513.5"/>
    <n v="11"/>
    <n v="109046.68181818182"/>
    <n v="4020194.6"/>
    <n v="-652942.31818181812"/>
    <s v="Sales behind track ( No sales after Mar 2023)"/>
  </r>
  <r>
    <n v="12"/>
    <s v="Hammad Noor"/>
    <x v="0"/>
    <n v="15002463"/>
    <s v="Clinical Chemistry"/>
    <n v="3002000012"/>
    <s v="22-5015"/>
    <s v="28.07.2022"/>
    <d v="2022-06-29T00:00:00"/>
    <d v="2022-07-07T00:00:00"/>
    <s v="Approved"/>
    <s v="South"/>
    <s v="Karachi"/>
    <n v="3020000692"/>
    <s v="Creek General Hospital (Patients Welfare Foundation)"/>
    <s v="_x000a_Dr. Danish Muhammad Khan"/>
    <s v="Civil Hospital, New Labour Colony Nanakwara, Karachi, Karachi City, Sindh"/>
    <s v="0321-8784310"/>
    <s v="psghospital123@gamil.com"/>
    <s v="7497628-7"/>
    <m/>
    <m/>
    <n v="4500000"/>
    <n v="527731"/>
    <n v="15"/>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n v="2883811.83"/>
    <n v="11"/>
    <n v="262164.71181818185"/>
    <n v="3346475.2680000002"/>
    <n v="-265566.28818181815"/>
    <s v="Sales behind track"/>
  </r>
  <r>
    <n v="13"/>
    <s v="Hammad Noor"/>
    <x v="4"/>
    <n v="15002553"/>
    <s v="Immunoassay"/>
    <n v="3002000013"/>
    <s v="ID00026724"/>
    <s v="12.08.2022"/>
    <d v="2022-07-27T00:00:00"/>
    <d v="2022-05-08T00:00:00"/>
    <s v="Approved "/>
    <s v="South"/>
    <s v="Karachi"/>
    <n v="3020000160"/>
    <s v="Medic Hospital Karachi (Prof. Masood Hameed Diagnositc And)"/>
    <s v="Masood Ahmed Khan"/>
    <s v="179, C.P. &amp; Berar Society Cp &amp; Berar Chs, Karachi, Karachi City, Sindh"/>
    <s v="N/A"/>
    <s v="medciagnostic19@gmail.com"/>
    <s v="0944239-1"/>
    <m/>
    <m/>
    <n v="1700000"/>
    <n v="786668.28"/>
    <n v="6"/>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n v="513000"/>
    <n v="11"/>
    <n v="46636.36363636364"/>
    <n v="1494800"/>
    <n v="-740031.91636363638"/>
    <s v="No sales after Oct 22"/>
  </r>
  <r>
    <n v="14"/>
    <s v="Hammad Noor"/>
    <x v="3"/>
    <n v="15002462"/>
    <s v="Immunoassay"/>
    <n v="3002000014"/>
    <s v="IA00093122"/>
    <s v="03.08.2022"/>
    <d v="2022-06-29T00:00:00"/>
    <s v="20/07/2022"/>
    <s v="Approved"/>
    <s v="South"/>
    <s v="Karachi"/>
    <n v="3020000539"/>
    <s v="Anklesaria Hospital"/>
    <s v="Dr. Burjor"/>
    <s v=" V28F+QFR, Garden Rd, near Makki Masjid، Preedy Quarters Karachi, Karachi"/>
    <s v="0300-8259525"/>
    <s v="gbanklesaria.nursing.home@gmail.com"/>
    <s v="1539892-7"/>
    <m/>
    <m/>
    <n v="2675000"/>
    <n v="493226.5"/>
    <n v="16"/>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n v="2380028.1799999997"/>
    <n v="11"/>
    <n v="216366.19818181815"/>
    <n v="1722988.7280000001"/>
    <n v="-276860.30181818188"/>
    <s v="behind track, sales every month"/>
  </r>
  <r>
    <n v="15"/>
    <s v="Hammad Noor"/>
    <x v="0"/>
    <n v="15002463"/>
    <s v="Clinical Chemistry"/>
    <n v="3002000017"/>
    <s v="22-5023"/>
    <s v="29.08.2022"/>
    <d v="2022-08-16T00:00:00"/>
    <s v="22/08/2022"/>
    <s v="Approved"/>
    <s v="South"/>
    <s v="Karachi"/>
    <n v="3020001047"/>
    <s v="North Mehran Diagnostic Centre"/>
    <s v="Shazia parveen"/>
    <s v="R 8, Sector 5c/4 Sector 5 C 4 New Karachi Town, Karachi,"/>
    <s v="0323-2342326"/>
    <s v="not available"/>
    <n v="0"/>
    <m/>
    <m/>
    <n v="4500000"/>
    <n v="474155"/>
    <n v="23"/>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n v="1968621.42"/>
    <n v="10"/>
    <n v="196862.14199999999"/>
    <n v="3712551.432"/>
    <n v="-277292.85800000001"/>
    <s v="behind track, (No sales after Mar 2023)"/>
  </r>
  <r>
    <n v="16"/>
    <s v="M. Akhtar"/>
    <x v="0"/>
    <n v="15002463"/>
    <s v="Clinical Chemistry"/>
    <n v="3002000018"/>
    <s v="22-5026"/>
    <s v="05.09.2022"/>
    <d v="2022-08-26T00:00:00"/>
    <s v="30/08/2022"/>
    <s v="Approved "/>
    <s v="Center"/>
    <s v="Multan"/>
    <n v="3020000633"/>
    <s v="The Children Hospital &amp; The Institute Multan"/>
    <s v="Govt. Hospital"/>
    <s v="THE INSTITUTE OF CHILD HEALTH, CHILDREN HOSPITAL COMPLEX, ABDALI ROAD, MULTAN._x000a_"/>
    <s v="061-9200919"/>
    <s v="not available"/>
    <s v="9020100-7"/>
    <m/>
    <m/>
    <n v="4500000"/>
    <n v="1237668"/>
    <n v="9"/>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n v="9358968.75"/>
    <n v="9"/>
    <n v="1039885.4166666666"/>
    <n v="756412.5"/>
    <n v="-197782.58333333337"/>
    <s v="Sales behind track"/>
  </r>
  <r>
    <n v="17"/>
    <s v="M.Hafiz Mujtaba"/>
    <x v="4"/>
    <n v="15002553"/>
    <s v="Immunoassay"/>
    <n v="3002000019"/>
    <s v="ID00026524"/>
    <s v="06.09.2022"/>
    <d v="2022-07-14T00:00:00"/>
    <s v="18/07/2022"/>
    <s v="Approved"/>
    <s v="North"/>
    <s v="Abbotobad"/>
    <n v="3020000943"/>
    <s v="Valley Health Care Laborotary "/>
    <s v="MR. KHALID HUSSAIN QURESHI"/>
    <s v="M/S VALLEY HEALTH CARE LABORATORIES,MAIN MANSEHRA ROAD, MIRPUR ABBOTTABAD."/>
    <s v="0345-9236895"/>
    <s v="healthcarecare204@gmail.com  "/>
    <s v="6392920-4"/>
    <m/>
    <m/>
    <n v="2100000"/>
    <n v="490395"/>
    <n v="12"/>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n v="516287"/>
    <n v="9"/>
    <n v="57365.222222222219"/>
    <n v="1893485.2"/>
    <n v="-433029.77777777775"/>
    <s v="No Sales after Nov22"/>
  </r>
  <r>
    <n v="18"/>
    <s v="Hammad Noor"/>
    <x v="5"/>
    <n v="15002760"/>
    <s v="Immunoassay"/>
    <n v="3002000020"/>
    <n v="30006249"/>
    <s v="01.10.2022"/>
    <d v="2022-09-26T00:00:00"/>
    <s v="26/09/2022"/>
    <s v="Approved "/>
    <s v="South"/>
    <s v="Quetta"/>
    <n v="3020001748"/>
    <s v="Rahat Hospital Quetta(Through Jamal brothers)"/>
    <s v="Installed through Trader Jamal Brothers"/>
    <s v="Art School Rd, Quetta, Balochistan 83200"/>
    <s v="Not Available"/>
    <s v="not available"/>
    <n v="0"/>
    <m/>
    <m/>
    <n v="9297200"/>
    <n v="1380048"/>
    <n v="30"/>
    <m/>
    <s v="Order received and processed"/>
    <s v="Reagents Not available"/>
    <s v="Partial items received, already processed the orders"/>
    <s v="working with customer to put workload on our equipment "/>
    <m/>
    <n v="4798183.0066666668"/>
    <n v="8"/>
    <n v="599772.87583333335"/>
    <n v="7377926.7973333336"/>
    <n v="-780275.12416666665"/>
    <s v="behind track, sales every month"/>
  </r>
  <r>
    <n v="19"/>
    <s v="Hammad Noor"/>
    <x v="5"/>
    <n v="15002760"/>
    <s v="Immunoassay"/>
    <n v="3002000021"/>
    <n v="30006248"/>
    <s v="01.10.2022"/>
    <d v="2022-09-23T00:00:00"/>
    <s v="26/09/2022"/>
    <s v="Approved"/>
    <s v="South"/>
    <s v="Quetta"/>
    <n v="3020001748"/>
    <s v="M khan Lab Quetta (Through Jamal brothers)"/>
    <s v="Installed through Trader Jamal Brothers"/>
    <s v="Saleem Medical Complex, Quetta, Pakistan-87300"/>
    <s v="Not Available"/>
    <s v="not available"/>
    <n v="0"/>
    <m/>
    <m/>
    <n v="9297200"/>
    <n v="1002975"/>
    <n v="30"/>
    <m/>
    <s v="Order received and processed"/>
    <s v="Reagents Not available"/>
    <s v="Partial items received, already processed the orders"/>
    <s v="working with customer to put workload on our equipment "/>
    <m/>
    <n v="4798183.0066666668"/>
    <n v="8"/>
    <n v="599772.87583333335"/>
    <n v="7377926.7973333336"/>
    <n v="-403202.12416666665"/>
    <s v="behind track, sales every month"/>
  </r>
  <r>
    <n v="20"/>
    <s v="Hammad Noor"/>
    <x v="5"/>
    <n v="15002760"/>
    <s v="Immunoassay"/>
    <n v="3002000022"/>
    <n v="30006240"/>
    <s v="29.10.2022"/>
    <d v="2022-10-19T00:00:00"/>
    <s v="19/10/2022"/>
    <s v="Approved "/>
    <s v="South"/>
    <s v="Quetta"/>
    <n v="3020001748"/>
    <s v="Yaseen Hospital(Through Jamal brothers)"/>
    <s v="Dr. Hanif Mangel"/>
    <s v="52Q5+VJ4, Patel Road, Patel Bagh Quetta, Balochistan"/>
    <s v="0812-822424"/>
    <s v="not available"/>
    <n v="0"/>
    <m/>
    <m/>
    <n v="9297200"/>
    <n v="1059783"/>
    <n v="29"/>
    <m/>
    <m/>
    <s v="Reagents Not available"/>
    <s v="Partial items received, already processed the orders"/>
    <s v="working with customer to put workload on our equipment "/>
    <m/>
    <n v="4798183.0066666668"/>
    <n v="7"/>
    <n v="685454.71523809526"/>
    <n v="7377926.7973333336"/>
    <n v="-374328.28476190474"/>
    <s v="behind track, sales every month"/>
  </r>
  <r>
    <n v="21"/>
    <s v="Hammad Noor"/>
    <x v="5"/>
    <n v="15002760"/>
    <s v="Immunoassay"/>
    <n v="3002000023"/>
    <n v="30004829"/>
    <s v="29.10.2022"/>
    <d v="2022-10-09T00:00:00"/>
    <d v="2022-09-10T00:00:00"/>
    <s v="Approved"/>
    <s v="South"/>
    <s v="Karachi"/>
    <n v="3020000439"/>
    <s v="Al Maisarah Dialysis &amp; Diabetes trust "/>
    <s v="Not Available"/>
    <s v="plot # GRE/550, Gul meher street, off Jahangir road garden east , Karachi"/>
    <s v="0321-9232142"/>
    <s v="hanif.baig@amdtrust.org "/>
    <s v="4665344-1"/>
    <m/>
    <m/>
    <n v="5847387"/>
    <n v="545522"/>
    <n v="28"/>
    <m/>
    <m/>
    <s v="Reagents Not available"/>
    <s v="Partial items received, already processed the orders"/>
    <s v="working with customer to put workload on our equipment "/>
    <m/>
    <n v="1469514.9300000002"/>
    <n v="7"/>
    <n v="209930.70428571431"/>
    <n v="5259581.0279999999"/>
    <n v="-335591.29571428569"/>
    <s v="behind track, sales every month"/>
  </r>
  <r>
    <n v="22"/>
    <s v="M. Akhtar"/>
    <x v="4"/>
    <n v="15002553"/>
    <s v="Immunoassay"/>
    <n v="3002000024"/>
    <s v="ID00030225"/>
    <s v="27.01.2023"/>
    <d v="2023-11-01T00:00:00"/>
    <s v="27/02/2023"/>
    <s v="Approved"/>
    <s v="Center"/>
    <s v="Lahore"/>
    <n v="3020000816"/>
    <s v="Masood Hospital "/>
    <s v="Dr. Anwar Masood"/>
    <s v="99-Garden Block, Garden Town, Lahore"/>
    <s v="042-111627663"/>
    <s v="info@masoodhospital.com"/>
    <s v="1520150-3"/>
    <s v="1520150-3"/>
    <m/>
    <n v="1962000"/>
    <n v="458397"/>
    <n v="10"/>
    <m/>
    <m/>
    <s v="Sales on track"/>
    <s v="Stock unavailable, although invoiced "/>
    <s v="stock unavailable"/>
    <s v="0.5 Mio invioce has been recieved in july "/>
    <n v="1846458.68"/>
    <n v="5"/>
    <n v="369291.73599999998"/>
    <n v="1223416.5279999999"/>
    <n v="-89105.264000000025"/>
    <s v="Sales behind track"/>
  </r>
  <r>
    <n v="23"/>
    <s v="Hammad Noor"/>
    <x v="5"/>
    <n v="15002760"/>
    <s v="Immunoassay"/>
    <n v="3002000025"/>
    <n v="30006240"/>
    <s v="31.07.2023"/>
    <d v="2022-10-20T00:00:00"/>
    <s v="20/10/2022"/>
    <s v="Approved "/>
    <s v="South"/>
    <s v="Karachi"/>
    <n v="3020001109"/>
    <s v="PNS Shifa Hospital"/>
    <s v="Not Available"/>
    <s v="R3P2+Q37, Main Korangi Rd, near Kala Pul، Clifton, Karachi"/>
    <s v="Not Available"/>
    <s v="not available"/>
    <n v="0"/>
    <m/>
    <m/>
    <n v="9297200"/>
    <n v="829374"/>
    <n v="35"/>
    <m/>
    <m/>
    <s v="Equipment not placed yet, due to unavailability"/>
    <s v="Equipment not placed yet, due to unavailability"/>
    <s v="machine under installation phase "/>
    <m/>
    <m/>
    <m/>
    <m/>
    <n v="9297200"/>
    <n v="-829374"/>
    <s v="No sales yet"/>
  </r>
  <r>
    <n v="24"/>
    <s v="Hammad Noor"/>
    <x v="6"/>
    <n v="15002758"/>
    <s v="Immunoassay"/>
    <s v="Issued on demo 8300039526 from 3200 plant"/>
    <n v="36000907"/>
    <s v="04.01.2023"/>
    <d v="2022-06-12T00:00:00"/>
    <d v="2022-06-12T00:00:00"/>
    <s v="Approved "/>
    <s v="South"/>
    <s v="Quetta"/>
    <n v="3020000683"/>
    <s v="Fayyaz Lab"/>
    <s v="Dr. Fayaz butt"/>
    <s v="Jinnah Road Quetta"/>
    <s v="0812-822360"/>
    <s v="not available"/>
    <n v="0"/>
    <m/>
    <m/>
    <n v="10856400"/>
    <n v="1266339"/>
    <n v="29"/>
    <m/>
    <m/>
    <s v="Reagents Not available"/>
    <s v="Partial items received, already processed the orders"/>
    <s v="machine out of order"/>
    <s v="working with OCD technical team to resolve the issue as early as possible callibration and allignment tools are needed which is under process by procurement "/>
    <m/>
    <m/>
    <m/>
    <n v="10856400"/>
    <n v="-1266339"/>
    <s v="No sales till Apr 23"/>
  </r>
  <r>
    <n v="25"/>
    <s v="M. Akhtar"/>
    <x v="7"/>
    <n v="15002462"/>
    <s v="Immunoassay"/>
    <n v="3002000028"/>
    <s v="IA00096624"/>
    <s v="27.01.2023"/>
    <d v="2023-10-01T00:00:00"/>
    <s v="27/02/2023"/>
    <s v="Approved"/>
    <s v="Center"/>
    <s v="Gujranwala"/>
    <n v="3020001141"/>
    <s v="Rafiq Anwar Memorial Trust Hospital"/>
    <s v="Mr. Nawaz Ahmed Bajwa"/>
    <s v="Sialkot Road, Gujranwala."/>
    <s v="055-3259061-3"/>
    <s v="not available"/>
    <s v="2298630-8"/>
    <s v="2298630-8"/>
    <m/>
    <n v="3706000"/>
    <n v="541370"/>
    <n v="15"/>
    <m/>
    <m/>
    <s v="1 month sales, first order sale still not completed due to unavailiblity of stock"/>
    <s v="Stock unavailable "/>
    <s v="account has been blocked "/>
    <s v="invoice 0.7 Mio has been recieved "/>
    <n v="1197320"/>
    <n v="4"/>
    <n v="299330"/>
    <n v="3227072"/>
    <n v="-242040"/>
    <s v="Sales behind track"/>
  </r>
  <r>
    <n v="26"/>
    <s v="Hammad Noor"/>
    <x v="5"/>
    <n v="15002760"/>
    <s v="Immunoassay"/>
    <n v="3002000024"/>
    <n v="30006173"/>
    <d v="2023-01-06T00:00:00"/>
    <d v="2022-12-12T00:00:00"/>
    <d v="2022-12-12T00:00:00"/>
    <s v="Approved "/>
    <s v="South"/>
    <s v="Karachi"/>
    <n v="3020000888"/>
    <s v="KKF Blood bank"/>
    <s v="Dr. Sheikh Abdul Ahad"/>
    <s v="St-7,Block 14,F.B Area Gulberg, Karachi"/>
    <s v="021-36323839 / 021-111222553"/>
    <s v="not available"/>
    <s v="4315201-5"/>
    <s v="4315201-5"/>
    <m/>
    <n v="9297200"/>
    <n v="967223"/>
    <n v="31"/>
    <m/>
    <m/>
    <s v="Reagents Not available"/>
    <s v="Partial items received, already processed the orders"/>
    <s v="machine out of order"/>
    <m/>
    <n v="1509069.65"/>
    <n v="6"/>
    <n v="251511.60833333331"/>
    <n v="8693572.1400000006"/>
    <n v="-715711.39166666672"/>
    <s v="behind track, (No sales after Apr 2023)"/>
  </r>
  <r>
    <n v="27"/>
    <s v="Irfan Ikram"/>
    <x v="5"/>
    <n v="15002760"/>
    <s v="Immunoassay"/>
    <m/>
    <m/>
    <m/>
    <s v="20/04/2023"/>
    <d v="2023-04-20T00:00:00"/>
    <s v="Approved"/>
    <s v="Center"/>
    <s v="Lahore"/>
    <n v="30200001280"/>
    <s v="Test Zone Lab"/>
    <s v="Mr. Naser Iqbal"/>
    <s v="38-C-1, Main Boulevard, Faisal Town, Lahore"/>
    <s v="042-35163747"/>
    <s v="testzonelab@gmail.com       "/>
    <s v="4008662-3"/>
    <m/>
    <m/>
    <n v="7000000"/>
    <n v="1254200"/>
    <n v="17"/>
    <m/>
    <m/>
    <m/>
    <m/>
    <s v="Please exclude it in the list because deal is still not matured, cuatomer has not accepting our financial offer "/>
    <m/>
    <m/>
    <m/>
    <m/>
    <n v="7000000"/>
    <n v="-1254200"/>
    <m/>
  </r>
  <r>
    <n v="28"/>
    <s v="Irfan Ikram"/>
    <x v="5"/>
    <m/>
    <s v="Immunoassay"/>
    <m/>
    <m/>
    <m/>
    <s v="17/05/2023"/>
    <s v="17/05/2023"/>
    <s v="Approved"/>
    <s v="Center"/>
    <s v="Lahore"/>
    <n v="3020001238"/>
    <s v="Indus lab"/>
    <s v="Dr. Mateen Izhar"/>
    <s v="100-A, Shadman-1, Lahore-54000"/>
    <s v="042-37550666 &amp; 37550555"/>
    <s v="zubairee786@gmail.com     "/>
    <s v="1533283-7"/>
    <m/>
    <m/>
    <n v="7000000"/>
    <n v="909975"/>
    <n v="22"/>
    <m/>
    <m/>
    <m/>
    <m/>
    <s v="System is still not installed "/>
    <m/>
    <m/>
    <m/>
    <m/>
    <n v="7000000"/>
    <n v="-909975"/>
    <m/>
  </r>
  <r>
    <n v="29"/>
    <s v="M.Hafiz Mujtaba"/>
    <x v="8"/>
    <n v="15002711"/>
    <s v="Blood Gas Analyzer"/>
    <n v="3002000008"/>
    <s v="# PP13230140C"/>
    <s v="26.05.2023"/>
    <s v="15/05/2022"/>
    <s v="19/05/2023"/>
    <s v="Approved"/>
    <s v="North"/>
    <s v="Islamabad"/>
    <n v="3020000190"/>
    <s v="Citilab "/>
    <s v="Dr. Badar Alam"/>
    <s v="Al-Khair Plaza, Fazal-e-Haq Road, Blue Area, Islamabad"/>
    <s v="0333-8555611, 0301-5086177 &amp; 0321-5181280"/>
    <s v="info@citi-lab.com                   "/>
    <s v="4814745-2"/>
    <m/>
    <m/>
    <n v="3005386"/>
    <n v="228413"/>
    <n v="38"/>
    <m/>
    <m/>
    <m/>
    <m/>
    <s v="invoice under process"/>
    <m/>
    <n v="174545.45"/>
    <n v="1"/>
    <n v="174545.45"/>
    <n v="2935567.82"/>
    <n v="-53867.549999999988"/>
    <s v="one month sales"/>
  </r>
  <r>
    <n v="30"/>
    <s v="M. Akhtar"/>
    <x v="6"/>
    <n v="15002758"/>
    <s v="immunodiagnostic"/>
    <n v="3002000026"/>
    <n v="36001150"/>
    <s v="17.05.2023"/>
    <s v="13/04/2023"/>
    <s v="13/04/2023"/>
    <s v="Approved "/>
    <s v="Center"/>
    <s v="Lahore"/>
    <n v="3020000771"/>
    <s v="Gulab devi Hosp. Lahore"/>
    <s v="Govt. Hospital_x0009_"/>
    <s v="Ferozepur Road, Lahore"/>
    <s v="042-99230312"/>
    <s v="gulabdevi@hotmail.com"/>
    <s v="4022666-2"/>
    <s v="Exempt"/>
    <m/>
    <n v="16350883"/>
    <n v="1316953"/>
    <n v="27"/>
    <m/>
    <m/>
    <m/>
    <m/>
    <s v="stock unavailable"/>
    <m/>
    <n v="371231"/>
    <n v="1"/>
    <n v="371231"/>
    <n v="16202390.6"/>
    <n v="-945722"/>
    <s v="First month sales"/>
  </r>
  <r>
    <n v="31"/>
    <s v="Hammad Noor"/>
    <x v="6"/>
    <n v="15002758"/>
    <s v="immunodiagnostic"/>
    <n v="3002000027"/>
    <n v="36001565"/>
    <s v="05.05.2023"/>
    <s v="17/04/2023"/>
    <s v="17/04/2023"/>
    <s v="Approved"/>
    <s v="South"/>
    <s v="Dadu"/>
    <n v="3020000917"/>
    <s v=" D&amp;R Lab (Dadu)"/>
    <s v="N/A"/>
    <s v="Liaqat University of Medical &amp; Health (Jamshoro)"/>
    <s v="0334-0020341"/>
    <s v="fehandio@gmail.com"/>
    <s v="9030415-2"/>
    <m/>
    <m/>
    <n v="16350883"/>
    <n v="1477881"/>
    <n v="29"/>
    <m/>
    <m/>
    <m/>
    <m/>
    <s v="on track "/>
    <m/>
    <n v="2153700"/>
    <n v="2"/>
    <n v="1076850"/>
    <n v="15489403"/>
    <n v="-401031"/>
    <s v="Sales behind track"/>
  </r>
  <r>
    <n v="33"/>
    <s v="M. Akhtar"/>
    <x v="9"/>
    <n v="15002673"/>
    <s v="Urine Analyzer"/>
    <n v="3002000030"/>
    <s v="0034-X2-230818"/>
    <s v="29-05-2023"/>
    <s v="30/03/2023"/>
    <s v="19/05/2023"/>
    <s v="Approved"/>
    <s v="Center"/>
    <s v="Lahore"/>
    <n v="3020000776"/>
    <s v="The Medical Lab Lahore"/>
    <s v="Dr. Zeenat Hussain"/>
    <s v="34-Lawrence Road, Lahore"/>
    <s v="042-35912882"/>
    <s v="zeenatlaboratory@gmail.com_x0009_"/>
    <s v="2302878-5"/>
    <m/>
    <m/>
    <n v="2500000"/>
    <n v="643570"/>
    <n v="12"/>
    <m/>
    <m/>
    <m/>
    <m/>
    <s v="stock unavailable"/>
    <m/>
    <n v="278000"/>
    <n v="2"/>
    <n v="139000"/>
    <n v="2388800"/>
    <n v="-504570"/>
    <s v="Sales behind track"/>
  </r>
  <r>
    <m/>
    <m/>
    <x v="10"/>
    <m/>
    <m/>
    <m/>
    <m/>
    <m/>
    <m/>
    <m/>
    <m/>
    <m/>
    <m/>
    <m/>
    <m/>
    <m/>
    <m/>
    <m/>
    <m/>
    <m/>
    <m/>
    <m/>
    <m/>
    <m/>
    <m/>
    <m/>
    <m/>
    <m/>
    <m/>
    <m/>
    <m/>
    <m/>
    <m/>
    <m/>
    <m/>
    <m/>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1"/>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r>
    <m/>
    <m/>
    <x v="10"/>
    <m/>
    <m/>
    <m/>
    <m/>
    <m/>
    <m/>
    <m/>
    <m/>
    <m/>
    <m/>
    <m/>
    <m/>
    <m/>
    <m/>
    <m/>
    <m/>
    <m/>
    <m/>
    <m/>
    <m/>
    <m/>
    <m/>
    <m/>
    <m/>
    <m/>
    <m/>
    <m/>
    <m/>
    <m/>
    <m/>
    <m/>
    <m/>
    <n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Hammad Noor"/>
    <s v="YHLO"/>
    <s v="iFlash 1800"/>
    <n v="15002462"/>
    <s v="Immunoassay"/>
    <n v="3002000010"/>
    <s v="N/A"/>
    <s v="IA00093222"/>
    <s v="26.09.2023"/>
    <s v="11.09.2023"/>
    <s v="11.09.2023"/>
    <s v="Available"/>
    <m/>
    <x v="0"/>
    <x v="0"/>
    <s v="Karachi"/>
    <n v="3020000013"/>
    <s v="Dar ul Sehat Hospital"/>
    <s v="N/A"/>
    <s v="St-19, KDA Scheme, Abul Asar Hafeez,"/>
    <s v="021-111-300-999, 0311-3060540"/>
    <s v=" rubina.sabir@lcmddsh.com.pk"/>
    <s v="2517101-1"/>
    <m/>
    <n v="2868545"/>
    <n v="29"/>
    <n v="586886"/>
    <m/>
    <m/>
    <m/>
    <m/>
    <m/>
    <m/>
    <m/>
    <m/>
    <m/>
    <m/>
    <s v="equipment installed &amp; Validation Done"/>
    <s v="We'll receive their first PO within this week"/>
    <m/>
    <m/>
    <m/>
    <m/>
    <m/>
    <m/>
    <s v="Sales are on track"/>
    <m/>
    <s v="Sales will be on track in next two months"/>
    <m/>
    <m/>
    <s v="No sales in june"/>
    <m/>
    <m/>
    <s v="on Track"/>
    <n v="1"/>
    <s v="Placed"/>
    <n v="261866"/>
    <n v="759548.4"/>
    <n v="450046.8"/>
    <n v="230685.51"/>
    <n v="1817060.11"/>
    <n v="0"/>
    <n v="2496748.33"/>
    <n v="314131.19"/>
    <n v="0"/>
    <n v="1208280"/>
    <n v="1281910"/>
    <n v="1289650"/>
    <n v="10109926.34"/>
    <n v="524840"/>
    <n v="0"/>
    <n v="712890"/>
    <n v="1228210"/>
    <n v="484650"/>
    <n v="784342"/>
    <n v="137760"/>
    <n v="1348290"/>
    <n v="896470"/>
    <n v="147358"/>
    <n v="1219060"/>
    <n v="964490"/>
    <n v="8448360"/>
    <n v="597810"/>
    <n v="442650"/>
    <m/>
    <n v="1040460"/>
    <n v="719236"/>
  </r>
  <r>
    <s v="Hammad Noor"/>
    <s v="Vital Scientific"/>
    <s v="Selectra PRO M Lite"/>
    <n v="15002128"/>
    <s v="Clinical Chemistry"/>
    <n v="3002000003"/>
    <s v="N/A"/>
    <s v="21-4087"/>
    <s v="26.10.2021"/>
    <s v="22.04.2022"/>
    <s v="22.04.2022"/>
    <s v="Available"/>
    <m/>
    <x v="0"/>
    <x v="0"/>
    <s v="Karachi"/>
    <n v="3020000022"/>
    <s v="Dr. Essa Laboratory"/>
    <s v="Farhan Essa"/>
    <s v="B-122, Block H North Nazimabad Town, Karachi, Karachi City, Sindh"/>
    <s v="0333-2220711"/>
    <s v="ltcdrasgharali@gmail.com"/>
    <s v="0982474-0"/>
    <s v="42501-8253375-1"/>
    <n v="2606483"/>
    <n v="18"/>
    <n v="250000"/>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s v="Work load decreased, it is advisable to revist the case"/>
    <s v="Customer promised to shift workload on our equipment from other branches to cover the gap."/>
    <s v="We've received order of 122,000 in August 2023 "/>
    <s v="We've got the order of 400,000 in September 2023 to cover the deficit of August 2023. Furthermore, we've covered 94% of ROI in this case."/>
    <s v="We've received order of 400,000 in Sep 2023 "/>
    <s v="Working with customer to get the desired orders as per comittment"/>
    <m/>
    <m/>
    <m/>
    <m/>
    <s v="Due to shifting of Lab, wordload is down."/>
    <s v="From on wards will receive commited value PO "/>
    <s v="Improvement in sales expected"/>
    <m/>
    <s v="Under discussion with Essa lab for price revision or replacement of machine with Mach 5"/>
    <s v="New Quoation has been submitted, under discussion with management of Essa Lab"/>
    <m/>
    <m/>
    <m/>
    <m/>
    <s v="behind track (followup by sales team)"/>
    <n v="1"/>
    <s v="Placed"/>
    <n v="293210.25"/>
    <n v="141695.46"/>
    <n v="114322.96"/>
    <n v="230296.74"/>
    <n v="253481.28"/>
    <n v="0"/>
    <n v="167380.73000000001"/>
    <n v="406400"/>
    <n v="84600"/>
    <n v="0"/>
    <n v="196100"/>
    <n v="236400"/>
    <n v="2123887.42"/>
    <n v="0"/>
    <n v="0"/>
    <n v="380500"/>
    <n v="97500"/>
    <n v="247800"/>
    <n v="17200"/>
    <n v="99800"/>
    <n v="53300"/>
    <n v="313800"/>
    <n v="271000"/>
    <n v="265200"/>
    <m/>
    <n v="1746100"/>
    <n v="24000"/>
    <n v="0"/>
    <n v="0"/>
    <n v="24000"/>
    <n v="146728.57142857142"/>
  </r>
  <r>
    <s v="Jahangir Jalil"/>
    <s v="OCD"/>
    <s v="Vitros ECiQ Immunodiagnostic System"/>
    <n v="15002760"/>
    <s v="Immunoassay"/>
    <n v="3002000034"/>
    <s v="N/A"/>
    <n v="30006181"/>
    <s v="20.07.2023"/>
    <s v="11.08.2023"/>
    <s v="11.08.2023"/>
    <s v="Available"/>
    <m/>
    <x v="1"/>
    <x v="1"/>
    <s v="Lahore"/>
    <n v="3020000072"/>
    <s v="Hormone lab "/>
    <s v="N/A"/>
    <s v="561-A, Edhi Street, Faisal Town, Opposite Jinnah Hospital Emergency Gate, Lahore"/>
    <s v="0331-9699586"/>
    <s v=" kjabran87@gmail.com"/>
    <s v="0224883-2"/>
    <m/>
    <n v="7385000"/>
    <n v="39"/>
    <n v="755925"/>
    <m/>
    <m/>
    <m/>
    <m/>
    <m/>
    <m/>
    <e v="#N/A"/>
    <e v="#N/A"/>
    <s v="Waiting for Inventory &amp; then invoice execution "/>
    <m/>
    <s v="New PO has been Recieved Amount Subject to Invoice "/>
    <s v="Parameter Woking Planning to shift from Roche "/>
    <m/>
    <s v="Parameter Woking Planning to shift from Roche "/>
    <s v="One PO is proceeded and waiting for another PO"/>
    <s v="Follow up "/>
    <s v="Consumables and electricity cost issue."/>
    <m/>
    <s v="in process to terminate the contract. Instrument will be placed at Ghulab devi."/>
    <m/>
    <s v="Will be returned by end April"/>
    <m/>
    <m/>
    <s v="Machine pull back and place at ridhan ( machine will be on demo) "/>
    <m/>
    <m/>
    <m/>
    <m/>
    <s v="Closed"/>
    <n v="40943"/>
    <n v="141500"/>
    <n v="31500"/>
    <m/>
    <m/>
    <m/>
    <m/>
    <m/>
    <m/>
    <m/>
    <m/>
    <m/>
    <n v="213943"/>
    <m/>
    <m/>
    <m/>
    <m/>
    <m/>
    <m/>
    <m/>
    <m/>
    <m/>
    <m/>
    <m/>
    <m/>
    <n v="0"/>
    <n v="0"/>
    <n v="0"/>
    <m/>
    <n v="0"/>
    <n v="0"/>
  </r>
  <r>
    <s v="Hammad Noor"/>
    <s v="YHLO"/>
    <s v="iFlash 1800"/>
    <n v="15002462"/>
    <s v="Immunoassay"/>
    <n v="3002000097"/>
    <m/>
    <s v="IA00146846"/>
    <s v="28.04.2025"/>
    <m/>
    <s v="10.04.2025"/>
    <m/>
    <m/>
    <x v="0"/>
    <x v="0"/>
    <s v="Karachi"/>
    <n v="3020000084"/>
    <s v="SICVD (Sindh Institute of Cardiovascular) Baldia-Karachi"/>
    <m/>
    <s v="Rafique (HJ), Shaheed road,Saddar Town,Karachi"/>
    <s v="0300-2607223"/>
    <s v="mursaleen.khan@nicvd.org"/>
    <s v="4867225-3"/>
    <m/>
    <n v="4171088"/>
    <n v="32"/>
    <n v="1012173"/>
    <m/>
    <m/>
    <m/>
    <m/>
    <m/>
    <m/>
    <m/>
    <m/>
    <m/>
    <m/>
    <m/>
    <m/>
    <m/>
    <m/>
    <m/>
    <m/>
    <m/>
    <m/>
    <m/>
    <m/>
    <m/>
    <m/>
    <m/>
    <m/>
    <m/>
    <m/>
    <s v="on Track"/>
    <n v="1"/>
    <s v="Placed"/>
    <m/>
    <m/>
    <m/>
    <m/>
    <m/>
    <m/>
    <m/>
    <m/>
    <m/>
    <m/>
    <m/>
    <m/>
    <n v="0"/>
    <m/>
    <m/>
    <m/>
    <n v="0"/>
    <n v="581166.66666666663"/>
    <n v="964500"/>
    <n v="335666.66666666669"/>
    <n v="1132916.6666666667"/>
    <n v="886166.66666666663"/>
    <n v="1327250"/>
    <n v="900000"/>
    <n v="2909812.5"/>
    <n v="9037479.166666666"/>
    <m/>
    <n v="1740000"/>
    <m/>
    <n v="1740000"/>
    <n v="1318830.357142857"/>
  </r>
  <r>
    <s v="Hammad Noor"/>
    <s v="YHLO"/>
    <s v="iFlash 3000"/>
    <n v="15003241"/>
    <s v="Immunoassay"/>
    <m/>
    <m/>
    <s v="FC10330839"/>
    <s v="06.05.2025"/>
    <m/>
    <s v="10.04.2025"/>
    <m/>
    <m/>
    <x v="0"/>
    <x v="0"/>
    <s v="Hyderabad"/>
    <n v="3020000084"/>
    <s v="SICVD (Sindh Institute of Cardiovascular) Hyderabad"/>
    <m/>
    <s v="Rafique (HJ), Shaheed road,Saddar Town,Karachi"/>
    <s v="0300-2607223"/>
    <s v="mursaleen.khan@nicvd.org"/>
    <s v="4867225-3"/>
    <m/>
    <n v="4171088"/>
    <n v="32"/>
    <n v="1012173"/>
    <m/>
    <m/>
    <m/>
    <m/>
    <m/>
    <m/>
    <m/>
    <m/>
    <m/>
    <m/>
    <m/>
    <m/>
    <m/>
    <m/>
    <m/>
    <m/>
    <m/>
    <m/>
    <m/>
    <m/>
    <m/>
    <m/>
    <m/>
    <m/>
    <m/>
    <m/>
    <s v="on Track"/>
    <n v="1"/>
    <s v="Placed"/>
    <m/>
    <m/>
    <m/>
    <m/>
    <m/>
    <m/>
    <m/>
    <m/>
    <m/>
    <m/>
    <m/>
    <m/>
    <n v="0"/>
    <m/>
    <m/>
    <m/>
    <n v="0"/>
    <n v="581166.66666666663"/>
    <n v="964500"/>
    <n v="335666.66666666669"/>
    <n v="1132916.6666666667"/>
    <n v="886166.66666666663"/>
    <n v="1327250"/>
    <n v="900000"/>
    <n v="2909812.5"/>
    <n v="9037479.166666666"/>
    <m/>
    <n v="1740000"/>
    <m/>
    <n v="1740000"/>
    <n v="1318830.357142857"/>
  </r>
  <r>
    <s v="Hammad Noor"/>
    <s v="YHLO"/>
    <s v="iFlash 3000"/>
    <n v="15003241"/>
    <s v="Immunoassay"/>
    <m/>
    <m/>
    <s v="FC10330939"/>
    <s v="06.05.2025"/>
    <m/>
    <s v="10.04.2025"/>
    <m/>
    <m/>
    <x v="0"/>
    <x v="0"/>
    <s v="TMK (Tando Muhammad Khan)"/>
    <n v="3020000084"/>
    <s v="SICVD (Sindh Institute of Cardiovascular) TMK"/>
    <m/>
    <s v="Rafique (HJ), Shaheed road,Saddar Town,Karachi"/>
    <s v="0300-2607223"/>
    <s v="mursaleen.khan@nicvd.org"/>
    <s v="4867225-3"/>
    <m/>
    <n v="4171088"/>
    <n v="32"/>
    <n v="1012173"/>
    <m/>
    <m/>
    <m/>
    <m/>
    <m/>
    <m/>
    <m/>
    <m/>
    <m/>
    <m/>
    <m/>
    <m/>
    <m/>
    <m/>
    <m/>
    <m/>
    <m/>
    <m/>
    <m/>
    <m/>
    <m/>
    <m/>
    <m/>
    <m/>
    <m/>
    <m/>
    <s v="on Track"/>
    <n v="1"/>
    <s v="Placed"/>
    <m/>
    <m/>
    <m/>
    <m/>
    <m/>
    <m/>
    <m/>
    <m/>
    <m/>
    <m/>
    <m/>
    <m/>
    <n v="0"/>
    <m/>
    <m/>
    <m/>
    <n v="0"/>
    <n v="581166.66666666663"/>
    <n v="964500"/>
    <n v="335666.66666666669"/>
    <n v="1132916.6666666667"/>
    <n v="886166.66666666663"/>
    <n v="1327250"/>
    <n v="900000"/>
    <n v="2909812.5"/>
    <n v="9037479.166666666"/>
    <m/>
    <n v="1740000"/>
    <m/>
    <n v="1740000"/>
    <n v="1318830.357142857"/>
  </r>
  <r>
    <s v="Hammad Noor"/>
    <s v="YHLO"/>
    <s v="iflash1800"/>
    <n v="15003241"/>
    <s v="Immunoassay"/>
    <m/>
    <m/>
    <m/>
    <m/>
    <m/>
    <s v="10.11.2025"/>
    <m/>
    <m/>
    <x v="0"/>
    <x v="0"/>
    <s v="Sukkur"/>
    <n v="3020000084"/>
    <s v="SICVD (Sindh Institute of Cardiovascular) TMK"/>
    <m/>
    <s v="Rafique (HJ), Shaheed road,Saddar Town,Karachi"/>
    <s v="0300-2607223"/>
    <s v="mursaleen.khan@nicvd.org"/>
    <s v="4867225-3"/>
    <m/>
    <n v="18188372"/>
    <n v="28"/>
    <n v="1484753"/>
    <m/>
    <m/>
    <m/>
    <m/>
    <m/>
    <m/>
    <m/>
    <m/>
    <m/>
    <m/>
    <m/>
    <m/>
    <m/>
    <m/>
    <m/>
    <m/>
    <m/>
    <m/>
    <m/>
    <m/>
    <m/>
    <m/>
    <m/>
    <m/>
    <m/>
    <m/>
    <s v="on Track"/>
    <n v="1"/>
    <s v="Placed"/>
    <m/>
    <m/>
    <m/>
    <m/>
    <n v="1710000"/>
    <m/>
    <m/>
    <m/>
    <m/>
    <m/>
    <m/>
    <m/>
    <n v="1710000"/>
    <m/>
    <m/>
    <m/>
    <m/>
    <m/>
    <m/>
    <m/>
    <m/>
    <m/>
    <m/>
    <n v="900000"/>
    <n v="2909812.5"/>
    <n v="3809812.5"/>
    <m/>
    <n v="1740000"/>
    <m/>
    <n v="1740000"/>
    <n v="1849937.5"/>
  </r>
  <r>
    <s v="Hammad Noor"/>
    <s v="Vital Scientific"/>
    <s v="Selectra PRO M Lite"/>
    <n v="15002128"/>
    <s v="Clinical Chemistry"/>
    <n v="3002000081"/>
    <m/>
    <s v="24-4068"/>
    <m/>
    <m/>
    <s v="08.12.2024"/>
    <s v="Available"/>
    <m/>
    <x v="0"/>
    <x v="0"/>
    <s v="Karachi"/>
    <n v="3020000084"/>
    <s v="SICVD (Sindh Institute of Cardiovascular) Baldia-Karachi"/>
    <m/>
    <s v="Rafique (HJ), Shaheed road,Saddar Town,Karachi"/>
    <s v="0300-2607223"/>
    <s v="mursaleen.khan@nicvd.org"/>
    <s v="4867225-3"/>
    <m/>
    <n v="4115000"/>
    <n v="24"/>
    <n v="283560"/>
    <m/>
    <m/>
    <m/>
    <m/>
    <m/>
    <m/>
    <m/>
    <m/>
    <m/>
    <m/>
    <m/>
    <m/>
    <m/>
    <m/>
    <m/>
    <m/>
    <m/>
    <m/>
    <e v="#N/A"/>
    <m/>
    <m/>
    <m/>
    <m/>
    <m/>
    <m/>
    <m/>
    <s v="on Track"/>
    <n v="1"/>
    <s v="Placed"/>
    <m/>
    <m/>
    <m/>
    <m/>
    <m/>
    <m/>
    <m/>
    <n v="1065505"/>
    <n v="0"/>
    <n v="78277"/>
    <n v="1540420"/>
    <n v="561386"/>
    <n v="3245588"/>
    <n v="1223011"/>
    <n v="1253286"/>
    <n v="113082.75"/>
    <n v="119298"/>
    <n v="1486333.75"/>
    <n v="264025"/>
    <n v="624061.5"/>
    <n v="491460.5"/>
    <n v="1210939.75"/>
    <n v="575090"/>
    <n v="1430316.75"/>
    <n v="959210"/>
    <n v="9750115"/>
    <n v="688263"/>
    <n v="237745"/>
    <n v="0"/>
    <n v="926008"/>
    <n v="777135.8125"/>
  </r>
  <r>
    <s v="Hammad Noor"/>
    <s v="Vital Scientific"/>
    <s v="Selectra PRO M Lite"/>
    <n v="15002128"/>
    <s v="Clinical Chemistry"/>
    <n v="3002000076"/>
    <m/>
    <s v="24-4078"/>
    <s v="11.02.2025"/>
    <m/>
    <s v="20.12.2024"/>
    <s v="Available"/>
    <m/>
    <x v="0"/>
    <x v="0"/>
    <s v="Hyderabad"/>
    <n v="3020000084"/>
    <s v="SICVD (Sindh Institute of Cardiovascular) Hyderabad"/>
    <m/>
    <s v="Rafique (HJ), Shaheed road,Saddar Town,Karachi"/>
    <s v="0300-2607223"/>
    <s v="mursaleen.khan@nicvd.org"/>
    <s v="4867225-3"/>
    <m/>
    <n v="4115000"/>
    <n v="34"/>
    <n v="216625"/>
    <m/>
    <m/>
    <m/>
    <m/>
    <m/>
    <m/>
    <m/>
    <m/>
    <m/>
    <m/>
    <m/>
    <m/>
    <m/>
    <m/>
    <m/>
    <m/>
    <m/>
    <m/>
    <m/>
    <m/>
    <m/>
    <m/>
    <m/>
    <m/>
    <m/>
    <m/>
    <s v="on Track"/>
    <n v="1"/>
    <s v="Placed"/>
    <m/>
    <m/>
    <m/>
    <m/>
    <m/>
    <m/>
    <m/>
    <m/>
    <m/>
    <m/>
    <m/>
    <m/>
    <n v="0"/>
    <n v="1223011"/>
    <n v="1253286"/>
    <n v="113082.75"/>
    <n v="119298"/>
    <n v="1486333.75"/>
    <n v="264025"/>
    <n v="624061.5"/>
    <n v="491461"/>
    <n v="1210940"/>
    <n v="575090"/>
    <n v="1430316.75"/>
    <n v="959210"/>
    <n v="9750115.75"/>
    <n v="688263"/>
    <n v="237745"/>
    <n v="0"/>
    <n v="926008"/>
    <n v="777135.90625"/>
  </r>
  <r>
    <s v="Hammad Noor"/>
    <s v="Vital Scientific"/>
    <s v="Selectra PRO M Lite"/>
    <n v="15002128"/>
    <s v="Clinical Chemistry"/>
    <n v="3002000073"/>
    <m/>
    <s v="24-4069"/>
    <s v="25.03.2025"/>
    <m/>
    <s v="20.12.2024"/>
    <s v="Available"/>
    <m/>
    <x v="0"/>
    <x v="0"/>
    <s v="larkana"/>
    <n v="3020000084"/>
    <s v="SICVD (Sindh Institute of Cardiovascular) Larkana"/>
    <m/>
    <s v="Rafique (HJ), Shaheed road,Saddar Town,Karachi"/>
    <s v="0300-2607223"/>
    <s v="mursaleen.khan@nicvd.org"/>
    <s v="4867225-3"/>
    <m/>
    <n v="4115000"/>
    <n v="36"/>
    <n v="195417"/>
    <m/>
    <m/>
    <m/>
    <m/>
    <m/>
    <m/>
    <m/>
    <m/>
    <m/>
    <m/>
    <m/>
    <m/>
    <m/>
    <m/>
    <m/>
    <m/>
    <m/>
    <m/>
    <m/>
    <m/>
    <m/>
    <m/>
    <m/>
    <m/>
    <m/>
    <m/>
    <s v="on Track"/>
    <n v="1"/>
    <s v="Placed"/>
    <m/>
    <m/>
    <m/>
    <m/>
    <m/>
    <m/>
    <m/>
    <m/>
    <m/>
    <m/>
    <m/>
    <m/>
    <n v="0"/>
    <n v="1223011"/>
    <n v="1253286"/>
    <n v="113082.75"/>
    <n v="119298"/>
    <n v="1486333.75"/>
    <n v="264025"/>
    <n v="624061.5"/>
    <n v="491461"/>
    <n v="1210940"/>
    <n v="575090"/>
    <n v="1430316.75"/>
    <n v="959210"/>
    <n v="9750115.75"/>
    <n v="688263"/>
    <n v="237745"/>
    <n v="0"/>
    <n v="926008"/>
    <n v="777135.90625"/>
  </r>
  <r>
    <s v="Hammad Noor"/>
    <s v="Vital Scientific"/>
    <s v="Selectra PRO M Lite"/>
    <n v="15002128"/>
    <s v="Clinical Chemistry"/>
    <s v=" 3002000113"/>
    <m/>
    <s v="23-4166"/>
    <s v="11.02.2025"/>
    <m/>
    <s v="20.12.2024"/>
    <s v="Available"/>
    <m/>
    <x v="0"/>
    <x v="0"/>
    <s v="TMK (Tando Muhammad Khan)"/>
    <n v="3020000084"/>
    <s v="SICVD (Sindh Institute of Cardiovascular) TMK"/>
    <m/>
    <s v="Rafique (HJ), Shaheed road,Saddar Town,Karachi"/>
    <s v="0300-2607223"/>
    <s v="mursaleen.khan@nicvd.org"/>
    <s v="4867225-3"/>
    <m/>
    <n v="4115000"/>
    <n v="34"/>
    <n v="220363"/>
    <m/>
    <m/>
    <m/>
    <m/>
    <m/>
    <m/>
    <m/>
    <m/>
    <m/>
    <m/>
    <m/>
    <m/>
    <m/>
    <m/>
    <m/>
    <m/>
    <m/>
    <m/>
    <m/>
    <m/>
    <m/>
    <m/>
    <m/>
    <m/>
    <m/>
    <m/>
    <s v="on Track"/>
    <n v="1"/>
    <s v="Placed"/>
    <m/>
    <m/>
    <m/>
    <m/>
    <m/>
    <m/>
    <m/>
    <m/>
    <m/>
    <m/>
    <m/>
    <m/>
    <n v="0"/>
    <n v="1223011"/>
    <n v="1253286"/>
    <n v="113082.75"/>
    <n v="119298"/>
    <n v="1486333.75"/>
    <n v="264025"/>
    <n v="624061.5"/>
    <n v="491461"/>
    <n v="1210940"/>
    <n v="575090"/>
    <n v="1430316.75"/>
    <n v="959210"/>
    <n v="9750115.75"/>
    <n v="688263"/>
    <n v="237745"/>
    <n v="0"/>
    <n v="926008"/>
    <n v="777135.90625"/>
  </r>
  <r>
    <s v="Hammad Noor"/>
    <s v="Boule"/>
    <s v="Swelab Alfa Plus Standard"/>
    <n v="15001967"/>
    <s v="Hematology "/>
    <n v="3002000097"/>
    <m/>
    <n v="123213"/>
    <m/>
    <m/>
    <m/>
    <m/>
    <m/>
    <x v="0"/>
    <x v="0"/>
    <s v="Karachi"/>
    <n v="3020000084"/>
    <s v="SICVD (Sindh Institute of Cardiovascular) Baldia-Karachi"/>
    <m/>
    <s v="Rafique (HJ), Shaheed road,Saddar Town,Karachi"/>
    <s v="0300-2607223"/>
    <s v="mursaleen.khan@nicvd.org"/>
    <s v="4867225-3"/>
    <m/>
    <n v="1071000"/>
    <n v="25"/>
    <n v="98797"/>
    <m/>
    <m/>
    <m/>
    <m/>
    <m/>
    <m/>
    <m/>
    <m/>
    <m/>
    <m/>
    <m/>
    <m/>
    <m/>
    <m/>
    <m/>
    <m/>
    <m/>
    <m/>
    <e v="#N/A"/>
    <m/>
    <m/>
    <m/>
    <m/>
    <m/>
    <m/>
    <m/>
    <s v="on Track"/>
    <n v="1"/>
    <s v="Placed"/>
    <m/>
    <m/>
    <m/>
    <m/>
    <m/>
    <m/>
    <m/>
    <m/>
    <m/>
    <n v="99750"/>
    <n v="0"/>
    <n v="228000"/>
    <n v="327750"/>
    <n v="0"/>
    <n v="332500"/>
    <n v="0"/>
    <n v="0"/>
    <n v="95000"/>
    <n v="76000"/>
    <n v="61750"/>
    <n v="28500"/>
    <n v="95000"/>
    <n v="76000"/>
    <n v="133000"/>
    <n v="152000"/>
    <n v="1049750"/>
    <n v="0"/>
    <n v="270750"/>
    <n v="0"/>
    <n v="270750"/>
    <n v="102125"/>
  </r>
  <r>
    <s v="Hammad Noor"/>
    <s v="Boule"/>
    <s v="Swelab Alfa Plus Standard"/>
    <n v="15001967"/>
    <s v="Hematology "/>
    <n v="3002000064"/>
    <m/>
    <n v="121497"/>
    <m/>
    <m/>
    <s v="27.12.2024"/>
    <m/>
    <m/>
    <x v="0"/>
    <x v="0"/>
    <s v="Hyderabad"/>
    <n v="3020000084"/>
    <s v="SICVD (Sindh Institute of Cardiovascular) Hyderabad"/>
    <m/>
    <s v="Rafique (HJ), Shaheed road,Saddar Town,Karachi"/>
    <s v="0300-2607223"/>
    <s v="mursaleen.khan@nicvd.org"/>
    <s v="4867225-3"/>
    <m/>
    <n v="1065000"/>
    <n v="36"/>
    <n v="88427"/>
    <m/>
    <m/>
    <m/>
    <m/>
    <m/>
    <m/>
    <m/>
    <m/>
    <m/>
    <m/>
    <m/>
    <m/>
    <m/>
    <m/>
    <m/>
    <m/>
    <m/>
    <m/>
    <e v="#N/A"/>
    <m/>
    <m/>
    <m/>
    <m/>
    <m/>
    <m/>
    <m/>
    <s v="on Track"/>
    <n v="1"/>
    <s v="Placed"/>
    <m/>
    <m/>
    <m/>
    <m/>
    <m/>
    <m/>
    <m/>
    <m/>
    <m/>
    <n v="99750"/>
    <n v="0"/>
    <n v="228000"/>
    <n v="327750"/>
    <n v="0"/>
    <n v="332500"/>
    <n v="0"/>
    <n v="0"/>
    <n v="95000"/>
    <n v="76000"/>
    <n v="61750"/>
    <n v="28500"/>
    <n v="95000"/>
    <n v="76000"/>
    <n v="133000"/>
    <n v="152000"/>
    <n v="1049750"/>
    <n v="0"/>
    <n v="270750"/>
    <n v="0"/>
    <n v="270750"/>
    <n v="102125"/>
  </r>
  <r>
    <s v="Hammad Noor"/>
    <s v="Boule"/>
    <s v="Swelab Alfa Plus Standard"/>
    <n v="15001967"/>
    <s v="Hematology "/>
    <s v=" 3002000111"/>
    <m/>
    <n v="123120"/>
    <m/>
    <m/>
    <m/>
    <m/>
    <m/>
    <x v="0"/>
    <x v="0"/>
    <s v="Sukkur"/>
    <n v="3020000084"/>
    <s v="SICVD (Sindh Institute of Cardiovascular) Sukkur"/>
    <m/>
    <s v="Rafique (HJ), Shaheed road,Saddar Town,Karachi"/>
    <s v="0300-2607223"/>
    <s v="mursaleen.khan@nicvd.org"/>
    <s v="4867225-3"/>
    <m/>
    <n v="1055000"/>
    <n v="36"/>
    <n v="88427"/>
    <m/>
    <m/>
    <m/>
    <m/>
    <m/>
    <m/>
    <m/>
    <m/>
    <m/>
    <m/>
    <m/>
    <m/>
    <m/>
    <m/>
    <m/>
    <m/>
    <m/>
    <m/>
    <e v="#N/A"/>
    <m/>
    <m/>
    <m/>
    <m/>
    <m/>
    <m/>
    <m/>
    <s v="on Track"/>
    <n v="1"/>
    <s v="Placed"/>
    <m/>
    <m/>
    <m/>
    <m/>
    <m/>
    <m/>
    <m/>
    <m/>
    <m/>
    <n v="99750"/>
    <n v="0"/>
    <n v="228000"/>
    <n v="327750"/>
    <n v="0"/>
    <n v="332500"/>
    <n v="0"/>
    <n v="0"/>
    <n v="95000"/>
    <n v="76000"/>
    <n v="61750"/>
    <n v="28500"/>
    <n v="95000"/>
    <n v="76000"/>
    <n v="133000"/>
    <n v="152000"/>
    <n v="1049750"/>
    <n v="0"/>
    <n v="270750"/>
    <n v="0"/>
    <n v="270750"/>
    <n v="102125"/>
  </r>
  <r>
    <s v="Hammad Noor"/>
    <s v="Boule"/>
    <s v="Swelab Alfa Plus Standard"/>
    <n v="15001967"/>
    <s v="Hematology "/>
    <n v="3002000048"/>
    <m/>
    <n v="121496"/>
    <m/>
    <m/>
    <s v="27.12.2024"/>
    <m/>
    <m/>
    <x v="0"/>
    <x v="0"/>
    <s v="TMK (Tando Muhammad Khan)"/>
    <n v="3020000084"/>
    <s v="SICVD (Sindh Institute of Cardiovascular) TMK"/>
    <m/>
    <s v="Rafique (HJ), Shaheed road,Saddar Town,Karachi"/>
    <s v="0300-2607223"/>
    <s v="mursaleen.khan@nicvd.org"/>
    <s v="4867225-3"/>
    <m/>
    <n v="1065000"/>
    <n v="36"/>
    <n v="87448"/>
    <m/>
    <m/>
    <m/>
    <m/>
    <m/>
    <m/>
    <m/>
    <m/>
    <m/>
    <m/>
    <m/>
    <m/>
    <m/>
    <m/>
    <m/>
    <m/>
    <m/>
    <m/>
    <e v="#N/A"/>
    <m/>
    <m/>
    <m/>
    <m/>
    <m/>
    <m/>
    <m/>
    <s v="on Track"/>
    <n v="1"/>
    <s v="Placed"/>
    <m/>
    <m/>
    <m/>
    <m/>
    <m/>
    <m/>
    <m/>
    <m/>
    <m/>
    <n v="99750"/>
    <n v="0"/>
    <n v="228000"/>
    <n v="327750"/>
    <n v="0"/>
    <n v="332500"/>
    <n v="0"/>
    <n v="0"/>
    <n v="95000"/>
    <n v="76000"/>
    <n v="61750"/>
    <n v="28500"/>
    <n v="95000"/>
    <n v="76000"/>
    <n v="133000"/>
    <n v="152000"/>
    <n v="1049750"/>
    <n v="0"/>
    <n v="270750"/>
    <n v="0"/>
    <n v="270750"/>
    <n v="102125"/>
  </r>
  <r>
    <s v="Hammad Noor"/>
    <s v="Boule"/>
    <s v="Swelab Alfa Plus Standard"/>
    <n v="15001967"/>
    <s v="Hematology"/>
    <m/>
    <m/>
    <m/>
    <m/>
    <m/>
    <s v="15.12.2025"/>
    <m/>
    <m/>
    <x v="0"/>
    <x v="0"/>
    <s v="larkana"/>
    <n v="3020000084"/>
    <s v="SICVD, Larkana"/>
    <m/>
    <s v="Rafique (HJ), Shaheed road,Saddar Town,Karachi"/>
    <s v="0300-2607223"/>
    <s v="mursaleen.khan@nicvd.org"/>
    <s v="4867225-3"/>
    <m/>
    <n v="1194415"/>
    <n v="36"/>
    <n v="125415"/>
    <m/>
    <m/>
    <m/>
    <m/>
    <m/>
    <m/>
    <m/>
    <m/>
    <m/>
    <m/>
    <m/>
    <m/>
    <m/>
    <m/>
    <m/>
    <m/>
    <m/>
    <m/>
    <m/>
    <m/>
    <m/>
    <m/>
    <m/>
    <m/>
    <m/>
    <m/>
    <s v="New Installation"/>
    <n v="1"/>
    <s v="Placed"/>
    <m/>
    <m/>
    <m/>
    <m/>
    <n v="1710000"/>
    <m/>
    <m/>
    <m/>
    <m/>
    <m/>
    <m/>
    <m/>
    <n v="1710000"/>
    <m/>
    <m/>
    <m/>
    <m/>
    <m/>
    <m/>
    <m/>
    <m/>
    <m/>
    <m/>
    <m/>
    <m/>
    <n v="0"/>
    <n v="0"/>
    <n v="0"/>
    <n v="0"/>
    <n v="0"/>
    <n v="0"/>
  </r>
  <r>
    <s v="Hammad Noor"/>
    <s v="Boule"/>
    <s v="Swelab Alfa Plus Standard"/>
    <n v="15001967"/>
    <s v="Hematology"/>
    <m/>
    <m/>
    <m/>
    <m/>
    <m/>
    <s v="15.12.2025"/>
    <m/>
    <m/>
    <x v="0"/>
    <x v="0"/>
    <s v="Nawabshah"/>
    <n v="3020000084"/>
    <s v="SICVD, Nawabshah"/>
    <m/>
    <s v="Rafique (HJ), Shaheed road,Saddar Town,Karachi"/>
    <s v="0300-2607223"/>
    <s v="mursaleen.khan@nicvd.org"/>
    <s v="4867225-3"/>
    <m/>
    <n v="1194415"/>
    <n v="36"/>
    <n v="125415"/>
    <m/>
    <m/>
    <m/>
    <m/>
    <m/>
    <m/>
    <m/>
    <m/>
    <m/>
    <m/>
    <m/>
    <m/>
    <m/>
    <m/>
    <m/>
    <m/>
    <m/>
    <m/>
    <m/>
    <m/>
    <m/>
    <m/>
    <m/>
    <m/>
    <m/>
    <m/>
    <s v="New Installation"/>
    <m/>
    <s v="Placed"/>
    <m/>
    <m/>
    <m/>
    <m/>
    <m/>
    <m/>
    <m/>
    <m/>
    <m/>
    <m/>
    <m/>
    <m/>
    <n v="0"/>
    <m/>
    <m/>
    <m/>
    <m/>
    <m/>
    <m/>
    <m/>
    <m/>
    <m/>
    <m/>
    <m/>
    <m/>
    <n v="0"/>
    <n v="0"/>
    <n v="0"/>
    <n v="0"/>
    <n v="0"/>
    <n v="0"/>
  </r>
  <r>
    <s v="Jahangir Jalil"/>
    <s v="Stago"/>
    <s v="STA SATELLITE MAX"/>
    <n v="15003000"/>
    <s v="Coagulation Analyzer"/>
    <n v="3002000091"/>
    <m/>
    <n v="1590"/>
    <m/>
    <m/>
    <s v="15.01.2024"/>
    <m/>
    <m/>
    <x v="1"/>
    <x v="0"/>
    <s v="Karachi"/>
    <n v="3020000088"/>
    <s v="National Institue of Blood Diseases"/>
    <m/>
    <s v="ST 2/A, Block 17, KDA Scheme 24, Gulshan-e-Iqbal"/>
    <s v="0346-2819961/021-111-120-140"/>
    <s v="fawad_sad@hotmail.com"/>
    <s v="4572246-8"/>
    <m/>
    <n v="3592655"/>
    <n v="36"/>
    <n v="228801"/>
    <m/>
    <m/>
    <m/>
    <m/>
    <m/>
    <m/>
    <m/>
    <m/>
    <m/>
    <m/>
    <m/>
    <m/>
    <m/>
    <m/>
    <m/>
    <m/>
    <m/>
    <m/>
    <m/>
    <m/>
    <m/>
    <m/>
    <m/>
    <m/>
    <m/>
    <m/>
    <s v="Closed"/>
    <m/>
    <m/>
    <m/>
    <m/>
    <m/>
    <m/>
    <m/>
    <m/>
    <m/>
    <n v="597600"/>
    <m/>
    <m/>
    <m/>
    <m/>
    <n v="597600"/>
    <m/>
    <m/>
    <m/>
    <m/>
    <m/>
    <m/>
    <m/>
    <m/>
    <m/>
    <m/>
    <m/>
    <m/>
    <n v="0"/>
    <m/>
    <m/>
    <m/>
    <n v="0"/>
    <n v="0"/>
  </r>
  <r>
    <s v="Hammad Noor"/>
    <s v="Dymind"/>
    <s v="DYMIND DH-76"/>
    <n v="15003243"/>
    <s v="Hematology "/>
    <s v="AR # 300377"/>
    <m/>
    <s v="DM11052437004"/>
    <m/>
    <m/>
    <s v="12.20.2024"/>
    <m/>
    <m/>
    <x v="0"/>
    <x v="0"/>
    <s v="Nawabshah"/>
    <n v="3020000114"/>
    <s v="DHO Nawabshah Through HS Medical Nawab Shah"/>
    <m/>
    <s v="House no 11b- 1208, mohallah issarpura sindh Nawabshah"/>
    <s v="0333-7025190"/>
    <s v="hsmedicalsolution@gmail.com"/>
    <m/>
    <s v="45402-2509337-9"/>
    <n v="2076170"/>
    <n v="34"/>
    <n v="113459"/>
    <m/>
    <m/>
    <m/>
    <m/>
    <m/>
    <m/>
    <m/>
    <m/>
    <m/>
    <m/>
    <m/>
    <m/>
    <m/>
    <m/>
    <m/>
    <m/>
    <m/>
    <m/>
    <m/>
    <m/>
    <m/>
    <m/>
    <m/>
    <m/>
    <m/>
    <m/>
    <s v="SOP Revise"/>
    <n v="1"/>
    <s v="Placed"/>
    <m/>
    <m/>
    <m/>
    <m/>
    <m/>
    <m/>
    <m/>
    <m/>
    <m/>
    <m/>
    <m/>
    <m/>
    <n v="0"/>
    <n v="0"/>
    <n v="0"/>
    <n v="386360.55"/>
    <n v="0"/>
    <n v="0"/>
    <n v="0"/>
    <n v="441381"/>
    <n v="204305"/>
    <n v="0"/>
    <m/>
    <m/>
    <n v="203075"/>
    <n v="1235121.55"/>
    <n v="0"/>
    <n v="0"/>
    <m/>
    <n v="0"/>
    <n v="141460.16666666666"/>
  </r>
  <r>
    <s v="Hammad Noor"/>
    <s v="Vital Scientific"/>
    <s v="Selectra Mach 5"/>
    <n v="15002463"/>
    <s v="Clinical Chemistry"/>
    <m/>
    <m/>
    <m/>
    <m/>
    <m/>
    <s v="06.10.2025"/>
    <m/>
    <m/>
    <x v="1"/>
    <x v="1"/>
    <s v="Lahore"/>
    <n v="3020000125"/>
    <s v="Minhaj Lab lahore"/>
    <s v="wakeel ahmed"/>
    <s v="Basement shabnam center opposite shyalimar hospital, link road"/>
    <n v="3004102701"/>
    <m/>
    <m/>
    <s v="35201-4676413-5"/>
    <n v="7617629"/>
    <n v="33"/>
    <n v="441785"/>
    <m/>
    <m/>
    <m/>
    <m/>
    <m/>
    <m/>
    <m/>
    <m/>
    <m/>
    <m/>
    <m/>
    <m/>
    <m/>
    <m/>
    <m/>
    <m/>
    <m/>
    <m/>
    <m/>
    <m/>
    <m/>
    <m/>
    <m/>
    <m/>
    <m/>
    <m/>
    <s v="Closed"/>
    <m/>
    <s v="Not Placed"/>
    <m/>
    <m/>
    <m/>
    <m/>
    <m/>
    <m/>
    <m/>
    <m/>
    <m/>
    <m/>
    <m/>
    <m/>
    <n v="0"/>
    <m/>
    <m/>
    <m/>
    <m/>
    <m/>
    <m/>
    <m/>
    <m/>
    <m/>
    <m/>
    <m/>
    <m/>
    <n v="0"/>
    <m/>
    <m/>
    <m/>
    <n v="0"/>
    <n v="0"/>
  </r>
  <r>
    <s v="Hammad Noor"/>
    <s v="Boule"/>
    <s v="Swelab Alfa Plus Standard"/>
    <n v="15001967"/>
    <s v="Hematology"/>
    <n v="3002000052"/>
    <s v="N/A"/>
    <n v="123019"/>
    <m/>
    <s v="26.12.2023"/>
    <s v="15.01.2024"/>
    <s v="Not Available"/>
    <m/>
    <x v="0"/>
    <x v="1"/>
    <s v="Bahawalpur"/>
    <n v="3020000166"/>
    <s v="QAMC"/>
    <s v="Government Institution"/>
    <s v="Circular Road, Bahswalpur Cantt"/>
    <s v="062-9250411-21"/>
    <s v="info.establishment@gamc.edu.pk"/>
    <s v="9020100-7"/>
    <m/>
    <n v="1724486"/>
    <n v="21"/>
    <n v="203678.4"/>
    <m/>
    <m/>
    <m/>
    <m/>
    <m/>
    <m/>
    <m/>
    <m/>
    <m/>
    <m/>
    <m/>
    <m/>
    <m/>
    <m/>
    <m/>
    <m/>
    <m/>
    <m/>
    <m/>
    <m/>
    <m/>
    <m/>
    <m/>
    <m/>
    <m/>
    <m/>
    <s v="on Track"/>
    <n v="1"/>
    <s v="Placed"/>
    <n v="1628900"/>
    <n v="0"/>
    <n v="243200"/>
    <n v="0"/>
    <n v="0"/>
    <n v="0"/>
    <n v="0"/>
    <n v="0"/>
    <n v="0"/>
    <n v="2294160"/>
    <n v="-405300"/>
    <n v="0"/>
    <n v="3760960"/>
    <n v="0"/>
    <n v="694760"/>
    <n v="425810"/>
    <n v="0"/>
    <n v="0"/>
    <n v="0"/>
    <n v="0"/>
    <n v="151549.79199999999"/>
    <n v="1894400"/>
    <m/>
    <m/>
    <n v="1064699.2"/>
    <n v="4231218.9919999996"/>
    <n v="0"/>
    <n v="0"/>
    <n v="0"/>
    <n v="0"/>
    <n v="518441.49866666662"/>
  </r>
  <r>
    <s v="Hammad Noor"/>
    <s v="Boule"/>
    <s v="Swelab Alfa Plus Standard"/>
    <n v="15001967"/>
    <s v="Hematology"/>
    <n v="3002000053"/>
    <m/>
    <n v="123108"/>
    <m/>
    <s v="26.12.2023"/>
    <s v="15.01.2024"/>
    <s v="Not Available"/>
    <m/>
    <x v="0"/>
    <x v="1"/>
    <s v="Bahawalpur"/>
    <n v="3020000166"/>
    <s v="QAMC"/>
    <s v="Government Institution"/>
    <s v="Circular Road, Bahswalpur Cantt"/>
    <s v="062-9250411-21"/>
    <s v="info.establishment@gamc.edu.pk"/>
    <s v="9020100-7"/>
    <m/>
    <n v="1724486"/>
    <n v="21"/>
    <n v="203678.4"/>
    <m/>
    <m/>
    <m/>
    <m/>
    <m/>
    <m/>
    <m/>
    <m/>
    <m/>
    <m/>
    <m/>
    <m/>
    <m/>
    <m/>
    <m/>
    <m/>
    <m/>
    <m/>
    <e v="#N/A"/>
    <m/>
    <m/>
    <m/>
    <m/>
    <m/>
    <m/>
    <m/>
    <s v="on Track"/>
    <n v="1"/>
    <s v="Placed"/>
    <n v="1628900"/>
    <n v="0"/>
    <n v="243200"/>
    <n v="0"/>
    <n v="0"/>
    <n v="0"/>
    <n v="0"/>
    <n v="0"/>
    <n v="0"/>
    <n v="2294160"/>
    <n v="-405300"/>
    <n v="0"/>
    <n v="3760960"/>
    <n v="0"/>
    <n v="694760"/>
    <n v="425810"/>
    <n v="0"/>
    <n v="0"/>
    <n v="0"/>
    <n v="0"/>
    <n v="151549.79199999999"/>
    <n v="1894400"/>
    <m/>
    <m/>
    <n v="1064699.2"/>
    <n v="4231218.9919999996"/>
    <n v="0"/>
    <n v="0"/>
    <n v="0"/>
    <n v="0"/>
    <n v="518441.49866666662"/>
  </r>
  <r>
    <s v="Hammad Noor"/>
    <s v="Boule"/>
    <s v="Swelab Alfa Plus Standard"/>
    <n v="15001967"/>
    <s v="Hematology"/>
    <n v="3002000054"/>
    <m/>
    <n v="123109"/>
    <m/>
    <s v="26.12.2023"/>
    <s v="15.01.2024"/>
    <s v="Not Available"/>
    <m/>
    <x v="0"/>
    <x v="1"/>
    <s v="Bahawalpur"/>
    <n v="3020000166"/>
    <s v="QAMC"/>
    <s v="Government Institution"/>
    <s v="Circular Road, Bahswalpur Cantt"/>
    <s v="062-9250411-21"/>
    <s v="info.establishment@gamc.edu.pk"/>
    <s v="9020100-7"/>
    <m/>
    <n v="1724486"/>
    <n v="21"/>
    <n v="203678.4"/>
    <m/>
    <m/>
    <m/>
    <m/>
    <m/>
    <m/>
    <m/>
    <m/>
    <m/>
    <m/>
    <m/>
    <m/>
    <m/>
    <m/>
    <m/>
    <m/>
    <m/>
    <m/>
    <e v="#N/A"/>
    <m/>
    <m/>
    <m/>
    <m/>
    <m/>
    <m/>
    <m/>
    <s v="on Track"/>
    <n v="1"/>
    <s v="Placed"/>
    <n v="1628900"/>
    <n v="0"/>
    <n v="243200"/>
    <n v="0"/>
    <n v="0"/>
    <n v="0"/>
    <n v="0"/>
    <n v="0"/>
    <n v="0"/>
    <n v="2294160"/>
    <n v="-405300"/>
    <n v="0"/>
    <n v="3760960"/>
    <n v="0"/>
    <n v="694760"/>
    <n v="425810"/>
    <n v="0"/>
    <n v="0"/>
    <n v="0"/>
    <n v="0"/>
    <n v="151549.79199999999"/>
    <n v="1894400"/>
    <m/>
    <m/>
    <n v="1064699.2"/>
    <n v="4231218.9919999996"/>
    <n v="0"/>
    <n v="0"/>
    <n v="0"/>
    <n v="0"/>
    <n v="518441.49866666662"/>
  </r>
  <r>
    <s v="Hammad Noor"/>
    <s v="Boule"/>
    <s v="Swelab Alfa Plus Standard"/>
    <n v="15001967"/>
    <s v="Hematology"/>
    <n v="3002000055"/>
    <m/>
    <n v="123200"/>
    <m/>
    <s v="26.12.2023"/>
    <s v="15.01.2024"/>
    <s v="Not Available"/>
    <m/>
    <x v="0"/>
    <x v="1"/>
    <s v="Bahawalpur"/>
    <n v="3020000166"/>
    <s v="QAMC"/>
    <s v="Government Institution"/>
    <s v="Circular Road, Bahswalpur Cantt"/>
    <s v="062-9250411-21"/>
    <s v="info.establishment@gamc.edu.pk"/>
    <s v="9020100-7"/>
    <m/>
    <n v="1724486"/>
    <n v="21"/>
    <n v="203678.4"/>
    <m/>
    <m/>
    <m/>
    <m/>
    <m/>
    <m/>
    <m/>
    <m/>
    <m/>
    <m/>
    <m/>
    <m/>
    <m/>
    <m/>
    <m/>
    <m/>
    <m/>
    <m/>
    <e v="#N/A"/>
    <m/>
    <m/>
    <m/>
    <m/>
    <m/>
    <m/>
    <m/>
    <s v="on Track"/>
    <n v="1"/>
    <s v="Placed"/>
    <n v="1628900"/>
    <n v="0"/>
    <n v="243200"/>
    <n v="0"/>
    <n v="0"/>
    <n v="0"/>
    <n v="0"/>
    <n v="0"/>
    <n v="0"/>
    <n v="2294160"/>
    <n v="-405300"/>
    <n v="0"/>
    <n v="3760960"/>
    <n v="0"/>
    <n v="694760"/>
    <n v="425810"/>
    <n v="0"/>
    <n v="0"/>
    <n v="0"/>
    <n v="0"/>
    <n v="151549.79199999999"/>
    <n v="1894400"/>
    <m/>
    <m/>
    <n v="1064699.2"/>
    <n v="4231218.9919999996"/>
    <n v="0"/>
    <n v="0"/>
    <n v="0"/>
    <n v="0"/>
    <n v="518441.49866666662"/>
  </r>
  <r>
    <s v="Hammad Noor"/>
    <s v="Boule"/>
    <s v="Swelab Alfa Plus Standard"/>
    <n v="15001967"/>
    <s v="Hematology"/>
    <n v="3002000056"/>
    <m/>
    <n v="123217"/>
    <m/>
    <s v="26.12.2023"/>
    <s v="15.01.2024"/>
    <s v="Not Available"/>
    <m/>
    <x v="0"/>
    <x v="1"/>
    <s v="Bahawalpur"/>
    <n v="3020000166"/>
    <s v="QAMC"/>
    <s v="Government Institution"/>
    <s v="Circular Road, Bahswalpur Cantt"/>
    <s v="062-9250411-21"/>
    <s v="info.establishment@gamc.edu.pk"/>
    <s v="9020100-7"/>
    <m/>
    <n v="1724486"/>
    <n v="21"/>
    <n v="203678.4"/>
    <m/>
    <m/>
    <m/>
    <m/>
    <m/>
    <m/>
    <m/>
    <m/>
    <m/>
    <m/>
    <m/>
    <m/>
    <m/>
    <m/>
    <m/>
    <m/>
    <m/>
    <m/>
    <e v="#N/A"/>
    <m/>
    <m/>
    <m/>
    <m/>
    <m/>
    <m/>
    <m/>
    <s v="on Track"/>
    <n v="1"/>
    <s v="Placed"/>
    <n v="1628900"/>
    <n v="0"/>
    <n v="243200"/>
    <n v="0"/>
    <n v="0"/>
    <n v="0"/>
    <n v="0"/>
    <n v="0"/>
    <n v="0"/>
    <n v="2294160"/>
    <n v="-405300"/>
    <n v="0"/>
    <n v="3760960"/>
    <n v="0"/>
    <n v="694760"/>
    <n v="425810"/>
    <n v="0"/>
    <n v="0"/>
    <n v="0"/>
    <n v="0"/>
    <n v="151549.79199999999"/>
    <n v="1894400"/>
    <m/>
    <m/>
    <n v="1064699.2"/>
    <n v="4231218.9919999996"/>
    <n v="0"/>
    <n v="0"/>
    <n v="0"/>
    <n v="0"/>
    <n v="518441.49866666662"/>
  </r>
  <r>
    <s v="Hammad Noor"/>
    <s v="Boule"/>
    <s v="Swelab Alfa Plus AutoSampler"/>
    <n v="15001968"/>
    <s v="Hematology"/>
    <s v="AR # 300409"/>
    <m/>
    <n v="127709"/>
    <m/>
    <m/>
    <s v="14.05.2025"/>
    <m/>
    <m/>
    <x v="2"/>
    <x v="1"/>
    <s v="Bahawalpur"/>
    <n v="3020000166"/>
    <s v="QAMC Bahawalpur"/>
    <s v="Government Institution"/>
    <s v="Circular Road, Bahswalpur Cantt"/>
    <s v="062-9250411-21"/>
    <s v="info.establishment@gamc.edu.pk"/>
    <s v="9020100-7"/>
    <m/>
    <n v="1500000"/>
    <n v="37"/>
    <n v="100771"/>
    <m/>
    <m/>
    <m/>
    <m/>
    <m/>
    <m/>
    <m/>
    <m/>
    <m/>
    <m/>
    <m/>
    <m/>
    <m/>
    <m/>
    <m/>
    <m/>
    <m/>
    <m/>
    <m/>
    <m/>
    <m/>
    <m/>
    <m/>
    <m/>
    <m/>
    <m/>
    <s v="New Installation"/>
    <n v="1"/>
    <s v="Placed"/>
    <m/>
    <m/>
    <m/>
    <m/>
    <m/>
    <m/>
    <m/>
    <m/>
    <m/>
    <m/>
    <m/>
    <m/>
    <n v="0"/>
    <m/>
    <m/>
    <m/>
    <m/>
    <n v="0"/>
    <m/>
    <m/>
    <m/>
    <m/>
    <m/>
    <m/>
    <m/>
    <n v="0"/>
    <n v="0"/>
    <n v="0"/>
    <n v="0"/>
    <n v="0"/>
    <n v="0"/>
  </r>
  <r>
    <s v="Jahangir Jalil"/>
    <s v="Stago"/>
    <s v="STA SATELLITE MAX"/>
    <n v="15003000"/>
    <s v="Coagulation Analyzer"/>
    <n v="3002000112"/>
    <m/>
    <n v="1746"/>
    <m/>
    <m/>
    <m/>
    <s v="Available"/>
    <m/>
    <x v="0"/>
    <x v="2"/>
    <s v="Islamabad"/>
    <n v="3020001814"/>
    <s v="Al Khidmat Razi Hospital"/>
    <m/>
    <s v="9 B-1 Satellite town, Chandni Chowk, Punjab"/>
    <s v="051-4906401"/>
    <s v="raazihospital@gmail.com"/>
    <s v="2569250-0"/>
    <m/>
    <n v="3592655"/>
    <n v="29"/>
    <n v="356735"/>
    <m/>
    <m/>
    <m/>
    <m/>
    <m/>
    <m/>
    <m/>
    <m/>
    <m/>
    <m/>
    <m/>
    <m/>
    <m/>
    <m/>
    <m/>
    <m/>
    <m/>
    <m/>
    <e v="#N/A"/>
    <m/>
    <m/>
    <m/>
    <m/>
    <m/>
    <m/>
    <m/>
    <s v="on Track"/>
    <n v="1"/>
    <s v="Placed"/>
    <m/>
    <m/>
    <m/>
    <m/>
    <m/>
    <m/>
    <m/>
    <m/>
    <m/>
    <m/>
    <m/>
    <m/>
    <n v="0"/>
    <m/>
    <m/>
    <m/>
    <m/>
    <m/>
    <m/>
    <n v="692600"/>
    <n v="366000"/>
    <n v="318400"/>
    <n v="247800"/>
    <n v="69000"/>
    <n v="578400"/>
    <n v="2272200"/>
    <n v="390600"/>
    <n v="499100"/>
    <n v="0"/>
    <n v="889700"/>
    <n v="395237.5"/>
  </r>
  <r>
    <s v="Jahangir Jalil"/>
    <s v="Nova"/>
    <s v="Nova Prime Plus"/>
    <n v="15002711"/>
    <s v="Arterial Blood Gas Analyzer"/>
    <n v="3002000031"/>
    <s v="N/A"/>
    <s v="PP13230140C"/>
    <s v="26.05.2023"/>
    <s v="15.05.2022"/>
    <s v="19.05.2023"/>
    <s v="Available"/>
    <m/>
    <x v="3"/>
    <x v="2"/>
    <s v="Islamabad"/>
    <n v="3020000190"/>
    <s v="Citilab "/>
    <s v="Dr. Badar Alam"/>
    <s v="Al-Khair Plaza, Fazal-e-Haq Road, Blue Area, Islamabad"/>
    <s v="0333-8555611, 0301-5086177 &amp; 0321-5181280"/>
    <s v="info@citi-lab.com                   "/>
    <s v="4814745-2"/>
    <m/>
    <n v="3005386"/>
    <n v="39"/>
    <n v="228413"/>
    <m/>
    <m/>
    <m/>
    <m/>
    <s v="invoice under process"/>
    <m/>
    <s v="LC awaited "/>
    <s v="LC awaited "/>
    <s v="Due to the delay in supply customer is not willing to work on our machine "/>
    <s v="Meeting is planned with Dr. Jameel Nasir CEO of Citi Lab "/>
    <s v="meeting is pending with CEO"/>
    <s v="meeting is pending with CEO"/>
    <m/>
    <s v="meeting is pending with CEO"/>
    <s v="Machine is planned to be pulledback from customer site, approved by Nawaz Abid"/>
    <s v="Machine is planned to be pulledback from customer site, approved by Nawaz Abid"/>
    <m/>
    <m/>
    <s v="Returned back in stock"/>
    <m/>
    <m/>
    <m/>
    <m/>
    <m/>
    <m/>
    <m/>
    <m/>
    <m/>
    <m/>
    <m/>
    <m/>
    <m/>
    <m/>
    <n v="0"/>
    <m/>
    <m/>
    <m/>
    <m/>
    <m/>
    <m/>
    <m/>
    <n v="0"/>
    <m/>
    <m/>
    <m/>
    <m/>
    <m/>
    <m/>
    <m/>
    <m/>
    <m/>
    <m/>
    <m/>
    <m/>
    <n v="0"/>
    <m/>
    <m/>
    <m/>
    <n v="0"/>
    <n v="0"/>
  </r>
  <r>
    <s v="Hammad Noor"/>
    <s v="Boule"/>
    <s v="Swelab Alfa Plus Standard"/>
    <n v="15001967"/>
    <s v="Hematology "/>
    <n v="3002000119"/>
    <m/>
    <n v="126054"/>
    <m/>
    <m/>
    <s v="17.07.2025"/>
    <m/>
    <s v="2 machines"/>
    <x v="0"/>
    <x v="1"/>
    <s v="Lahore"/>
    <n v="3020000206"/>
    <s v="Mughal Diagnostics &amp; Research Labs/Cancer Care Hospital"/>
    <m/>
    <s v="294, Block H-3, M.A Johar Town, Lahore"/>
    <s v="042-35313166, 0300-6458181"/>
    <s v="manager@mughallabs.com"/>
    <s v="1293625-1"/>
    <s v="1293625-1"/>
    <n v="1191010"/>
    <n v="29"/>
    <n v="92028.5"/>
    <m/>
    <m/>
    <m/>
    <m/>
    <m/>
    <m/>
    <m/>
    <m/>
    <m/>
    <m/>
    <m/>
    <m/>
    <m/>
    <m/>
    <m/>
    <m/>
    <m/>
    <m/>
    <m/>
    <m/>
    <m/>
    <m/>
    <m/>
    <m/>
    <m/>
    <m/>
    <s v="on Track"/>
    <n v="1"/>
    <s v="Placed"/>
    <m/>
    <m/>
    <m/>
    <m/>
    <m/>
    <m/>
    <m/>
    <m/>
    <m/>
    <m/>
    <m/>
    <m/>
    <n v="0"/>
    <m/>
    <m/>
    <m/>
    <m/>
    <m/>
    <m/>
    <m/>
    <n v="114000"/>
    <n v="190000"/>
    <m/>
    <m/>
    <n v="72000"/>
    <n v="376000"/>
    <n v="0"/>
    <n v="532000"/>
    <n v="114000"/>
    <n v="646000"/>
    <n v="181600"/>
  </r>
  <r>
    <s v="Jahangir Jalil"/>
    <s v="OCD"/>
    <s v="Vitros ECiQ Immunodiagnostic System (Refurb)"/>
    <n v="15002760"/>
    <s v="Immunoassay"/>
    <s v="AR # 300396"/>
    <m/>
    <n v="30006183"/>
    <m/>
    <s v="15.12,2023"/>
    <s v="15.12.2023"/>
    <s v="Available"/>
    <m/>
    <x v="0"/>
    <x v="1"/>
    <s v="lahore "/>
    <n v="3020000206"/>
    <s v="Mughal Diagnostics &amp; Research Labs/Cancer Care Hospital"/>
    <m/>
    <s v="294, Block H-3, M.A Johar Town, Lahore"/>
    <s v="042-35313166, 0300-6458181"/>
    <s v="manager@mughallabs.com"/>
    <s v="1293625-1"/>
    <s v="1293625-1"/>
    <n v="7420000"/>
    <n v="61"/>
    <n v="824400"/>
    <m/>
    <m/>
    <m/>
    <m/>
    <m/>
    <m/>
    <m/>
    <m/>
    <m/>
    <m/>
    <m/>
    <m/>
    <m/>
    <m/>
    <m/>
    <m/>
    <m/>
    <m/>
    <e v="#N/A"/>
    <m/>
    <m/>
    <m/>
    <m/>
    <m/>
    <s v="Machine is Shifted to Cancer Hospital"/>
    <m/>
    <s v="To be trf to GAMCA "/>
    <n v="1"/>
    <s v="Not funtional - At customer site"/>
    <n v="187600"/>
    <n v="217900"/>
    <n v="342225"/>
    <n v="126700"/>
    <n v="671000"/>
    <n v="304800"/>
    <n v="160200"/>
    <n v="1138700"/>
    <n v="655600"/>
    <n v="0"/>
    <n v="360200"/>
    <n v="675400"/>
    <n v="4840325"/>
    <n v="519200"/>
    <n v="412100"/>
    <n v="-84500"/>
    <n v="282424"/>
    <n v="1689052.55"/>
    <n v="0"/>
    <n v="0"/>
    <n v="716366"/>
    <n v="424300"/>
    <m/>
    <m/>
    <m/>
    <n v="3958942.55"/>
    <n v="0"/>
    <n v="0"/>
    <n v="0"/>
    <n v="0"/>
    <n v="228133.2"/>
  </r>
  <r>
    <s v="Hammad Noor"/>
    <s v="Dymind"/>
    <s v="DYMIND DH-76"/>
    <n v="15003243"/>
    <s v="Hematology "/>
    <m/>
    <m/>
    <m/>
    <m/>
    <m/>
    <s v="17.07.2025"/>
    <m/>
    <m/>
    <x v="2"/>
    <x v="1"/>
    <s v="Lahore"/>
    <n v="3020000206"/>
    <s v="Mughal Diagnostics &amp; Research Labs/Cancer Care Hospital"/>
    <s v="Irfan akram"/>
    <s v="294, Block H-3, M.A Johar Town, punjab Lahore"/>
    <s v="042-35313166, 0300-6458181"/>
    <s v="manager@mughallabs.com"/>
    <s v="1293625-1"/>
    <s v="1293625-1"/>
    <n v="2324427"/>
    <n v="22"/>
    <n v="149427"/>
    <m/>
    <m/>
    <m/>
    <m/>
    <m/>
    <m/>
    <m/>
    <m/>
    <m/>
    <m/>
    <m/>
    <m/>
    <m/>
    <m/>
    <m/>
    <m/>
    <m/>
    <m/>
    <m/>
    <m/>
    <m/>
    <m/>
    <m/>
    <m/>
    <m/>
    <m/>
    <s v="Supply issue due to DRAP registration followup"/>
    <n v="1"/>
    <s v="Placed"/>
    <m/>
    <m/>
    <m/>
    <m/>
    <m/>
    <m/>
    <m/>
    <m/>
    <m/>
    <m/>
    <m/>
    <m/>
    <n v="0"/>
    <m/>
    <m/>
    <m/>
    <m/>
    <m/>
    <m/>
    <m/>
    <m/>
    <m/>
    <m/>
    <m/>
    <m/>
    <n v="0"/>
    <n v="0"/>
    <n v="0"/>
    <n v="0"/>
    <n v="0"/>
    <n v="0"/>
  </r>
  <r>
    <s v="Hammad Noor"/>
    <s v="YHLO"/>
    <s v="iFlash 1200"/>
    <n v="15002553"/>
    <s v="Immunoassay"/>
    <m/>
    <m/>
    <m/>
    <m/>
    <m/>
    <s v="25.11.2025"/>
    <m/>
    <m/>
    <x v="4"/>
    <x v="1"/>
    <s v="Lahore"/>
    <n v="3020000206"/>
    <s v="Mughal Lab Lahore"/>
    <m/>
    <s v="294, Block H-3, M.A Johar Town, Lahore"/>
    <s v="042-35313166, 0300-6458181"/>
    <s v="manager@mughallabs.com"/>
    <s v="1293625-1"/>
    <s v="1293625-1"/>
    <n v="3460830"/>
    <n v="36"/>
    <n v="259561"/>
    <m/>
    <m/>
    <m/>
    <m/>
    <m/>
    <m/>
    <m/>
    <m/>
    <m/>
    <m/>
    <m/>
    <m/>
    <m/>
    <m/>
    <m/>
    <m/>
    <m/>
    <m/>
    <m/>
    <m/>
    <m/>
    <m/>
    <m/>
    <m/>
    <m/>
    <m/>
    <s v="Under Installation"/>
    <m/>
    <s v="Not Placed"/>
    <m/>
    <m/>
    <m/>
    <m/>
    <m/>
    <m/>
    <m/>
    <m/>
    <m/>
    <m/>
    <m/>
    <m/>
    <n v="0"/>
    <m/>
    <m/>
    <m/>
    <m/>
    <m/>
    <m/>
    <m/>
    <m/>
    <m/>
    <m/>
    <m/>
    <m/>
    <n v="0"/>
    <m/>
    <n v="746733"/>
    <m/>
    <n v="746733"/>
    <n v="746733"/>
  </r>
  <r>
    <s v="Jahangir Jalil"/>
    <s v="OCD"/>
    <s v="Vitros ECiQ"/>
    <n v="15002760"/>
    <s v="Immunoassay"/>
    <s v="demo"/>
    <m/>
    <m/>
    <m/>
    <m/>
    <s v="31.07.2025"/>
    <m/>
    <m/>
    <x v="1"/>
    <x v="1"/>
    <s v="Lahore"/>
    <n v="3020000206"/>
    <s v="Mughal Diagnostics"/>
    <m/>
    <m/>
    <m/>
    <m/>
    <m/>
    <m/>
    <n v="9115000"/>
    <n v="37"/>
    <n v="716388"/>
    <m/>
    <m/>
    <m/>
    <m/>
    <m/>
    <m/>
    <m/>
    <m/>
    <m/>
    <m/>
    <m/>
    <m/>
    <m/>
    <m/>
    <m/>
    <m/>
    <m/>
    <m/>
    <m/>
    <m/>
    <m/>
    <m/>
    <m/>
    <m/>
    <m/>
    <m/>
    <s v="To be checked only machine active"/>
    <n v="1"/>
    <s v="Replaced from the existing instrument"/>
    <m/>
    <m/>
    <m/>
    <m/>
    <m/>
    <m/>
    <m/>
    <m/>
    <m/>
    <m/>
    <m/>
    <m/>
    <n v="0"/>
    <m/>
    <m/>
    <m/>
    <m/>
    <m/>
    <m/>
    <m/>
    <m/>
    <m/>
    <m/>
    <m/>
    <m/>
    <n v="0"/>
    <m/>
    <m/>
    <m/>
    <n v="0"/>
    <n v="0"/>
  </r>
  <r>
    <s v="Hammad Noor"/>
    <s v="Boule"/>
    <s v="Swelab Lumi"/>
    <n v="15002248"/>
    <s v="Hematology "/>
    <n v="3002000093"/>
    <m/>
    <s v="TE11042147003"/>
    <m/>
    <m/>
    <s v="25.04.2025"/>
    <s v="Not Available"/>
    <m/>
    <x v="0"/>
    <x v="1"/>
    <s v="Lahore"/>
    <n v="3020000209"/>
    <s v="University of Lahore Hospital"/>
    <s v="N/A"/>
    <s v="1-km defense road, Lahore"/>
    <s v="042-32300865"/>
    <s v="waseem.abbas@admin.uol.edu.pk"/>
    <s v="2237629-1"/>
    <m/>
    <n v="2100000"/>
    <n v="18"/>
    <n v="125042"/>
    <m/>
    <m/>
    <m/>
    <m/>
    <m/>
    <m/>
    <m/>
    <m/>
    <m/>
    <m/>
    <m/>
    <m/>
    <m/>
    <m/>
    <m/>
    <m/>
    <m/>
    <m/>
    <m/>
    <m/>
    <m/>
    <m/>
    <m/>
    <m/>
    <m/>
    <m/>
    <s v="behind track need followup"/>
    <n v="1"/>
    <s v="Placed"/>
    <m/>
    <m/>
    <m/>
    <m/>
    <m/>
    <m/>
    <m/>
    <m/>
    <m/>
    <m/>
    <n v="616750"/>
    <n v="29000"/>
    <n v="645750"/>
    <n v="0"/>
    <n v="0"/>
    <n v="0"/>
    <n v="616750"/>
    <n v="0"/>
    <n v="0"/>
    <n v="0"/>
    <n v="0"/>
    <m/>
    <m/>
    <m/>
    <m/>
    <n v="616750"/>
    <n v="0"/>
    <n v="0"/>
    <m/>
    <n v="0"/>
    <n v="0"/>
  </r>
  <r>
    <s v="Hammad Noor"/>
    <s v="YHLO"/>
    <s v="iFlash 1200"/>
    <n v="15002553"/>
    <s v="Immunoassay"/>
    <m/>
    <m/>
    <m/>
    <m/>
    <m/>
    <s v="21.10.2024"/>
    <m/>
    <m/>
    <x v="1"/>
    <x v="0"/>
    <s v="Karachi"/>
    <n v="3020000314"/>
    <s v="Hashmani Hospital"/>
    <m/>
    <s v="Km-75, Jackob line, M.A Jinnah road "/>
    <s v="0331-2245708 &amp; 021-38140600"/>
    <s v="ahashmani@cyber.net.pk"/>
    <s v="4009579-7"/>
    <m/>
    <n v="3058162"/>
    <n v="36"/>
    <n v="520349"/>
    <m/>
    <m/>
    <m/>
    <m/>
    <m/>
    <m/>
    <m/>
    <m/>
    <m/>
    <m/>
    <m/>
    <m/>
    <m/>
    <m/>
    <m/>
    <m/>
    <m/>
    <m/>
    <e v="#N/A"/>
    <m/>
    <m/>
    <m/>
    <m/>
    <m/>
    <m/>
    <m/>
    <m/>
    <m/>
    <m/>
    <m/>
    <m/>
    <m/>
    <m/>
    <m/>
    <m/>
    <m/>
    <m/>
    <m/>
    <m/>
    <m/>
    <m/>
    <n v="0"/>
    <m/>
    <m/>
    <m/>
    <m/>
    <m/>
    <m/>
    <m/>
    <m/>
    <m/>
    <m/>
    <m/>
    <m/>
    <n v="0"/>
    <m/>
    <m/>
    <m/>
    <n v="0"/>
    <n v="0"/>
  </r>
  <r>
    <s v="Hammad Noor"/>
    <s v="YHLO"/>
    <s v="iFlash 1800"/>
    <n v="15002462"/>
    <s v="Immunoassay"/>
    <m/>
    <m/>
    <s v="IA00146946"/>
    <m/>
    <m/>
    <s v="20.12.2024"/>
    <m/>
    <m/>
    <x v="0"/>
    <x v="0"/>
    <s v="Karachi"/>
    <n v="3020000386"/>
    <s v="Hussaini Blood Bank"/>
    <m/>
    <s v="St 02, block T, Qalandaria Chowk, opposite Talib Charman park, Sindh"/>
    <s v="0336-2062268"/>
    <s v="faraz786.hbb@gmail.com"/>
    <s v="1294267-7"/>
    <m/>
    <n v="3650000"/>
    <n v="10"/>
    <n v="1194783"/>
    <m/>
    <m/>
    <m/>
    <m/>
    <m/>
    <m/>
    <m/>
    <m/>
    <m/>
    <m/>
    <m/>
    <m/>
    <m/>
    <m/>
    <m/>
    <m/>
    <m/>
    <m/>
    <e v="#N/A"/>
    <m/>
    <m/>
    <m/>
    <m/>
    <m/>
    <m/>
    <m/>
    <s v="need to check business case"/>
    <n v="1"/>
    <s v="Placed"/>
    <m/>
    <m/>
    <m/>
    <m/>
    <m/>
    <m/>
    <m/>
    <m/>
    <m/>
    <m/>
    <m/>
    <m/>
    <n v="0"/>
    <m/>
    <m/>
    <m/>
    <m/>
    <m/>
    <n v="146400"/>
    <m/>
    <n v="210560"/>
    <n v="278280"/>
    <n v="431600"/>
    <n v="107800"/>
    <n v="80800"/>
    <n v="1255440"/>
    <n v="191400"/>
    <n v="62000"/>
    <m/>
    <n v="253400"/>
    <n v="194634.28571428571"/>
  </r>
  <r>
    <s v="Hammad Noor"/>
    <s v="Vital Scientific"/>
    <s v="Selectra Mach 5"/>
    <n v="15002463"/>
    <s v="Clinical Chemistry"/>
    <m/>
    <m/>
    <m/>
    <m/>
    <m/>
    <s v="20.12.2024"/>
    <m/>
    <m/>
    <x v="0"/>
    <x v="0"/>
    <s v="Karachi"/>
    <n v="3020000386"/>
    <s v="Hussaini Blood Bank"/>
    <m/>
    <s v="St 02, block T, Qalandaria Chowk, opposite Talib Charman park, Sindh"/>
    <s v="0336-2062268"/>
    <s v="faraz786.hbb@gmail.com"/>
    <s v="1294267-7"/>
    <m/>
    <n v="6941887"/>
    <n v="73"/>
    <n v="882971"/>
    <m/>
    <m/>
    <m/>
    <m/>
    <m/>
    <m/>
    <m/>
    <m/>
    <m/>
    <m/>
    <m/>
    <m/>
    <m/>
    <m/>
    <m/>
    <m/>
    <m/>
    <m/>
    <e v="#N/A"/>
    <m/>
    <m/>
    <m/>
    <m/>
    <m/>
    <m/>
    <m/>
    <s v="need to check business case"/>
    <n v="1"/>
    <s v="Placed"/>
    <m/>
    <m/>
    <m/>
    <m/>
    <m/>
    <m/>
    <m/>
    <m/>
    <m/>
    <m/>
    <m/>
    <m/>
    <n v="0"/>
    <m/>
    <m/>
    <m/>
    <m/>
    <m/>
    <m/>
    <m/>
    <m/>
    <m/>
    <n v="246700"/>
    <m/>
    <n v="2800"/>
    <n v="249500"/>
    <n v="142222"/>
    <n v="417191.4"/>
    <n v="0"/>
    <n v="559413.4"/>
    <n v="202228.35"/>
  </r>
  <r>
    <s v="Jahangir Jalil"/>
    <s v="Erba"/>
    <s v="Laura XL"/>
    <n v="15002673"/>
    <s v="Urine Analyzer"/>
    <m/>
    <m/>
    <m/>
    <m/>
    <m/>
    <s v="04.06.2025"/>
    <m/>
    <m/>
    <x v="0"/>
    <x v="1"/>
    <s v="Chiniot"/>
    <n v="3020000394"/>
    <s v="Fazle Umar Hospital"/>
    <m/>
    <m/>
    <m/>
    <m/>
    <m/>
    <m/>
    <n v="5662000"/>
    <n v="33"/>
    <n v="319800"/>
    <m/>
    <m/>
    <m/>
    <m/>
    <m/>
    <m/>
    <m/>
    <m/>
    <m/>
    <m/>
    <m/>
    <m/>
    <m/>
    <m/>
    <m/>
    <m/>
    <m/>
    <m/>
    <m/>
    <m/>
    <m/>
    <m/>
    <m/>
    <m/>
    <m/>
    <m/>
    <s v="on Track"/>
    <n v="1"/>
    <s v="Placed"/>
    <m/>
    <m/>
    <m/>
    <m/>
    <m/>
    <m/>
    <m/>
    <m/>
    <m/>
    <m/>
    <m/>
    <m/>
    <n v="0"/>
    <m/>
    <m/>
    <m/>
    <m/>
    <m/>
    <m/>
    <n v="430327.8"/>
    <n v="330000"/>
    <n v="215000"/>
    <m/>
    <m/>
    <n v="350000"/>
    <n v="1325327.8"/>
    <n v="0"/>
    <n v="315000"/>
    <n v="0"/>
    <n v="315000"/>
    <n v="273387.96666666667"/>
  </r>
  <r>
    <s v="Jahangir Jalil"/>
    <s v="OCD"/>
    <s v="Vitros ECiQ Immunodiagnostic System"/>
    <n v="15002760"/>
    <s v="Immunoassay"/>
    <n v="3002000023"/>
    <s v="N/A"/>
    <n v="30004829"/>
    <s v="29.10.2022"/>
    <s v="10.09.2022"/>
    <s v="09.10.2022"/>
    <s v="Available"/>
    <m/>
    <x v="1"/>
    <x v="0"/>
    <s v="Karachi"/>
    <n v="3020000439"/>
    <s v="Al Maisarah Dialysis &amp; Diabetes trust "/>
    <s v="N/A"/>
    <s v="plot # GRE/550, Gul meher street, off Jahangir road garden east , Karachi"/>
    <s v="0321-9232142"/>
    <s v="hanif.baig@amdtrust.org "/>
    <s v="4665344-1"/>
    <m/>
    <n v="5847387"/>
    <n v="28"/>
    <n v="545522"/>
    <m/>
    <m/>
    <s v="Reagents Not available"/>
    <s v="Partial items received, already processed the orders"/>
    <s v="working with customer to put workload on our equipment "/>
    <m/>
    <s v="workload decreased"/>
    <s v="Patient flow has been increasing gradullay in the hospital, which will improve our business."/>
    <m/>
    <m/>
    <s v="Revised business case has been sent to Mr, Irfan for further approvals"/>
    <s v="Order for Sep &amp; Oct 2023 has been received"/>
    <m/>
    <m/>
    <m/>
    <m/>
    <m/>
    <m/>
    <s v="Price/workload revision - till 15 April 2024"/>
    <m/>
    <s v="2nd letter is submitted for prices revision."/>
    <m/>
    <m/>
    <m/>
    <m/>
    <m/>
    <s v="OK"/>
    <m/>
    <m/>
    <n v="262916.82"/>
    <n v="284489.45999999996"/>
    <n v="163926.91"/>
    <n v="36327"/>
    <n v="468860.14"/>
    <n v="654734.74"/>
    <n v="167552"/>
    <n v="565713.64"/>
    <n v="111563"/>
    <n v="140865"/>
    <n v="206958"/>
    <n v="0"/>
    <n v="3063906.71"/>
    <n v="0"/>
    <n v="215169"/>
    <n v="0"/>
    <n v="319587"/>
    <m/>
    <m/>
    <m/>
    <m/>
    <m/>
    <m/>
    <m/>
    <m/>
    <n v="534756"/>
    <m/>
    <m/>
    <m/>
    <n v="0"/>
    <n v="0"/>
  </r>
  <r>
    <s v="Jahangir Jalil"/>
    <s v="OCD"/>
    <s v="Vitros ECiQ Immunodiagnostic System"/>
    <n v="15002760"/>
    <s v="Immunoassay"/>
    <n v="3002000023"/>
    <s v="N/A"/>
    <n v="30004829"/>
    <m/>
    <m/>
    <s v="25.04.2025"/>
    <s v="Available"/>
    <m/>
    <x v="5"/>
    <x v="0"/>
    <s v="Karachi"/>
    <n v="3020000439"/>
    <s v="Al Maisarah Dialysis &amp; Diabetes trust "/>
    <s v="N/A"/>
    <s v="plot # GRE/550, Gul meher street, off Jahangir road garden east , Karachi"/>
    <s v="0321-9232142"/>
    <s v="hanif.baig@amdtrust.org "/>
    <s v="4665344-1"/>
    <m/>
    <n v="5962387"/>
    <n v="60"/>
    <n v="469966"/>
    <m/>
    <m/>
    <m/>
    <m/>
    <m/>
    <m/>
    <m/>
    <m/>
    <m/>
    <m/>
    <m/>
    <m/>
    <m/>
    <m/>
    <m/>
    <m/>
    <m/>
    <m/>
    <m/>
    <m/>
    <m/>
    <m/>
    <m/>
    <m/>
    <m/>
    <m/>
    <s v="Pull BAck"/>
    <m/>
    <m/>
    <n v="0"/>
    <n v="0"/>
    <n v="0"/>
    <n v="0"/>
    <n v="0"/>
    <n v="0"/>
    <n v="0"/>
    <n v="0"/>
    <n v="0"/>
    <n v="0"/>
    <n v="0"/>
    <n v="0"/>
    <n v="0"/>
    <n v="0"/>
    <n v="0"/>
    <n v="0"/>
    <n v="0"/>
    <n v="915691.58000000007"/>
    <n v="293100.48"/>
    <n v="0"/>
    <n v="639964.52"/>
    <n v="0"/>
    <n v="375282.49"/>
    <n v="0"/>
    <n v="0"/>
    <n v="2224039.0700000003"/>
    <n v="24249.5"/>
    <n v="48499"/>
    <n v="0"/>
    <n v="72748.5"/>
    <n v="135999.43875"/>
  </r>
  <r>
    <s v="Hammad Noor"/>
    <s v="YHLO"/>
    <s v="iFlash 1800"/>
    <n v="15002462"/>
    <s v="Immunoassay"/>
    <n v="3002000009"/>
    <s v="Moved from Jilani Hospital to Burhani Hospital"/>
    <s v="IA00092922"/>
    <s v="14.12.2023"/>
    <s v="21.11.2023"/>
    <s v="18.12.2023"/>
    <s v="Available"/>
    <m/>
    <x v="0"/>
    <x v="0"/>
    <s v="Karachi"/>
    <n v="3020000447"/>
    <s v="Burhani Hospital Trust"/>
    <s v="Asad Ullah"/>
    <s v="Shop # 5, Yet Road, Near M.A. Jinnah Road,"/>
    <s v="0307-3800575 , 081-2826500"/>
    <s v="noor.lab.surgical@gmail.com"/>
    <m/>
    <s v="54400-0524139-1"/>
    <n v="2668545"/>
    <n v="27"/>
    <n v="499567"/>
    <m/>
    <m/>
    <m/>
    <m/>
    <s v="YHLO stock was N/A"/>
    <s v="we will recieve new order from customer as stock is available now "/>
    <s v="Machine was moved from different location without informing HO"/>
    <s v="We've decided to pull back our equipment and it'll be placed to another customer (Jillani Hospital - Quetta). Business Case will be submitted to get approval."/>
    <m/>
    <m/>
    <m/>
    <m/>
    <m/>
    <m/>
    <m/>
    <m/>
    <s v="Move to Khi Burhani Hospital"/>
    <m/>
    <s v="Recently installed "/>
    <m/>
    <s v="Sales on track"/>
    <m/>
    <m/>
    <m/>
    <m/>
    <m/>
    <s v="Behind track"/>
    <n v="1"/>
    <s v="Placed"/>
    <n v="146900"/>
    <n v="740800"/>
    <n v="939900"/>
    <n v="93000"/>
    <n v="764600"/>
    <n v="1053900"/>
    <n v="999900"/>
    <n v="142000"/>
    <n v="0"/>
    <n v="770500"/>
    <n v="425600"/>
    <n v="959600"/>
    <n v="7036700"/>
    <n v="1245700"/>
    <n v="0"/>
    <n v="116000"/>
    <n v="0"/>
    <n v="702500"/>
    <n v="119800"/>
    <n v="635960"/>
    <n v="613250"/>
    <n v="336820"/>
    <n v="519620"/>
    <n v="486400"/>
    <n v="523620"/>
    <n v="5299670"/>
    <n v="269500"/>
    <n v="559660"/>
    <n v="616330"/>
    <n v="1445490"/>
    <n v="493103.75"/>
  </r>
  <r>
    <s v="Jahangir Jalil"/>
    <s v="OCD"/>
    <s v="Vitros ECiQ Immunodiagnostic System"/>
    <n v="15002760"/>
    <s v="Immunoassay"/>
    <n v="3002000033"/>
    <s v="N/A"/>
    <n v="30006238"/>
    <s v=" 01.03.2023"/>
    <m/>
    <m/>
    <s v="Not Available"/>
    <m/>
    <x v="1"/>
    <x v="0"/>
    <s v="Karachi"/>
    <n v="3020000477"/>
    <s v="Aga Khan Hospital"/>
    <s v="Approved"/>
    <s v="Stadium Road, Karachi"/>
    <s v="021-34930051, 0313-3691916"/>
    <s v=" zain.mansoor@aku.edu"/>
    <s v="0709421-3"/>
    <m/>
    <m/>
    <m/>
    <m/>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s v="Agreemanet pending, in year 2023 many order was holded by Mr Irfan Akram, supplies didnt deliver on time "/>
    <m/>
    <s v="Revised business case submitted, sales will be on track from next month"/>
    <m/>
    <m/>
    <m/>
    <m/>
    <m/>
    <m/>
    <m/>
    <m/>
    <n v="2795137.5"/>
    <n v="149625"/>
    <n v="3848212.5"/>
    <n v="1329613.5"/>
    <n v="0"/>
    <n v="0"/>
    <n v="0"/>
    <n v="0"/>
    <n v="0"/>
    <n v="0"/>
    <n v="0"/>
    <n v="0"/>
    <n v="8122588.5"/>
    <n v="0"/>
    <n v="0"/>
    <m/>
    <m/>
    <m/>
    <m/>
    <m/>
    <m/>
    <m/>
    <m/>
    <m/>
    <m/>
    <n v="0"/>
    <m/>
    <m/>
    <m/>
    <n v="0"/>
    <n v="0"/>
  </r>
  <r>
    <s v="Jahangir Jalil"/>
    <s v="OCD"/>
    <s v="Vitros ECiQ Immunodiagnostic System"/>
    <n v="15002760"/>
    <s v="Immunoassay"/>
    <n v="3002000037"/>
    <s v="N/A"/>
    <n v="30006243"/>
    <s v=" 01.03.2023"/>
    <m/>
    <m/>
    <s v="Not Available"/>
    <m/>
    <x v="1"/>
    <x v="0"/>
    <s v="Karachi"/>
    <n v="3020000477"/>
    <s v="Aga Khan Hospital"/>
    <s v="Available"/>
    <s v="Stadium Road, Karachi"/>
    <s v="021-34930051, 0313-3691916"/>
    <s v=" zain.mansoor@aku.edu"/>
    <s v="0709421-3"/>
    <m/>
    <m/>
    <m/>
    <m/>
    <m/>
    <m/>
    <m/>
    <m/>
    <m/>
    <m/>
    <m/>
    <m/>
    <m/>
    <m/>
    <s v="We've received order of 5.7 million in Sep 2023 "/>
    <s v="Order received as per commitment"/>
    <m/>
    <m/>
    <m/>
    <m/>
    <m/>
    <m/>
    <s v="Agreemanet pending, in year 2023 many order was holded by Mr Irfan Akram, supplies didnt deliver on time "/>
    <m/>
    <s v="Revised business case submitted, sales will be on track from next month"/>
    <m/>
    <m/>
    <m/>
    <m/>
    <m/>
    <m/>
    <m/>
    <m/>
    <n v="2795137.5"/>
    <n v="149625"/>
    <n v="3848212.5"/>
    <n v="1329613.5"/>
    <n v="0"/>
    <n v="0"/>
    <n v="0"/>
    <n v="0"/>
    <n v="0"/>
    <n v="0"/>
    <n v="0"/>
    <n v="0"/>
    <n v="8122588.5"/>
    <n v="0"/>
    <m/>
    <m/>
    <m/>
    <m/>
    <m/>
    <m/>
    <m/>
    <m/>
    <m/>
    <m/>
    <m/>
    <n v="0"/>
    <m/>
    <m/>
    <m/>
    <n v="0"/>
    <n v="0"/>
  </r>
  <r>
    <s v="Jahangir Jalil"/>
    <s v="OCD"/>
    <s v="Vitros ECiQ Immunodiagnostic System"/>
    <n v="15002760"/>
    <s v="Immunoassay"/>
    <n v="3002000033"/>
    <s v="N/A"/>
    <n v="30006238"/>
    <m/>
    <s v="04.05.2024"/>
    <s v="02.04.2024"/>
    <s v="Available"/>
    <m/>
    <x v="5"/>
    <x v="0"/>
    <s v="Karachi"/>
    <n v="3020000477"/>
    <s v="Aga Khan Hospital"/>
    <s v="Approved"/>
    <s v="Stadium Road, Karachi"/>
    <s v="021-34930051, 0313-3691916"/>
    <s v=" zain.mansoor@aku.edu"/>
    <s v="0709421-3"/>
    <m/>
    <n v="9415840"/>
    <n v="36"/>
    <n v="1229963"/>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m/>
    <m/>
    <m/>
    <m/>
    <m/>
    <s v="no sales in july"/>
    <m/>
    <m/>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167633.79"/>
  </r>
  <r>
    <s v="Jahangir Jalil"/>
    <s v="OCD"/>
    <s v="Vitros ECiQ Immunodiagnostic System"/>
    <n v="15002760"/>
    <s v="Immunoassay"/>
    <n v="3002000037"/>
    <s v="N/A"/>
    <n v="30006243"/>
    <m/>
    <s v="04.05.2024"/>
    <s v="02.04.2024"/>
    <s v="Available"/>
    <m/>
    <x v="5"/>
    <x v="0"/>
    <s v="Karachi"/>
    <n v="3020000477"/>
    <s v="Aga Khan Hospital"/>
    <s v="Available"/>
    <s v="Stadium Road, Karachi"/>
    <s v="021-34930051, 0313-3691916"/>
    <s v=" zain.mansoor@aku.edu"/>
    <s v="0709421-3"/>
    <m/>
    <n v="9415840"/>
    <n v="36"/>
    <n v="1229963"/>
    <m/>
    <m/>
    <m/>
    <m/>
    <m/>
    <m/>
    <m/>
    <m/>
    <m/>
    <m/>
    <s v="We've received order of 5.7 million in Sep 2023 "/>
    <s v="Order received as per commitment"/>
    <m/>
    <m/>
    <m/>
    <m/>
    <m/>
    <m/>
    <m/>
    <m/>
    <m/>
    <m/>
    <m/>
    <s v="no sales in july"/>
    <m/>
    <m/>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167633.79"/>
  </r>
  <r>
    <s v="Hammad Noor"/>
    <s v="YHLO"/>
    <s v="iFlash 1800"/>
    <n v="15002462"/>
    <s v="Immunoassay"/>
    <n v="3002000075"/>
    <s v="N/A"/>
    <s v="IA00093322"/>
    <m/>
    <m/>
    <s v="19.03.2024"/>
    <s v="Not Available"/>
    <m/>
    <x v="0"/>
    <x v="1"/>
    <s v="Faisalabad"/>
    <n v="3020000491"/>
    <s v="AL Khidmat Diagnostic Center"/>
    <m/>
    <s v="Akbarabad, Near Allied Hospital, Faisalabad"/>
    <s v="041-2646707"/>
    <s v="info@alkhidmat.org"/>
    <s v="7600330-1"/>
    <m/>
    <n v="3535471"/>
    <n v="36"/>
    <n v="536481"/>
    <m/>
    <m/>
    <m/>
    <m/>
    <m/>
    <m/>
    <m/>
    <m/>
    <m/>
    <m/>
    <m/>
    <m/>
    <m/>
    <m/>
    <m/>
    <m/>
    <m/>
    <m/>
    <m/>
    <m/>
    <m/>
    <m/>
    <m/>
    <m/>
    <m/>
    <m/>
    <s v="Pull BAck"/>
    <m/>
    <s v="Placed"/>
    <n v="235502.5"/>
    <n v="15660"/>
    <n v="165984"/>
    <n v="125262"/>
    <n v="37908.5"/>
    <n v="55880"/>
    <n v="0"/>
    <n v="239596"/>
    <n v="65535"/>
    <n v="64800"/>
    <n v="0"/>
    <n v="154960"/>
    <n v="1161088"/>
    <n v="49960"/>
    <n v="0"/>
    <n v="155411"/>
    <n v="0"/>
    <n v="0"/>
    <n v="0"/>
    <n v="0"/>
    <n v="0"/>
    <n v="0"/>
    <n v="0"/>
    <n v="0"/>
    <m/>
    <n v="205371"/>
    <n v="0"/>
    <n v="0"/>
    <n v="0"/>
    <n v="0"/>
    <n v="0"/>
  </r>
  <r>
    <s v="Hammad Noor"/>
    <s v="YHLO"/>
    <s v="iFlash 1800"/>
    <n v="15002462"/>
    <s v="Immunoassay"/>
    <s v="AR # 300293"/>
    <s v="Transferred from demo"/>
    <s v="IA00093322"/>
    <m/>
    <m/>
    <s v="14.05.2025"/>
    <m/>
    <m/>
    <x v="0"/>
    <x v="1"/>
    <s v="Faisalabad"/>
    <n v="3020000491"/>
    <s v="AL Khidmat Diagnostic Center"/>
    <m/>
    <s v="Ismail Road, Akbarabad Chowk, Opposite Allied Hospital, Punjab"/>
    <s v="041-2642728 &amp; 0333-6544102"/>
    <s v="info@alkhidmat.org"/>
    <s v="7600330-1"/>
    <m/>
    <n v="3650471"/>
    <n v="35"/>
    <n v="424199"/>
    <m/>
    <m/>
    <m/>
    <m/>
    <m/>
    <m/>
    <m/>
    <m/>
    <m/>
    <m/>
    <m/>
    <m/>
    <m/>
    <m/>
    <m/>
    <m/>
    <m/>
    <m/>
    <m/>
    <m/>
    <m/>
    <m/>
    <m/>
    <m/>
    <m/>
    <m/>
    <s v="Pull BAck"/>
    <m/>
    <s v="Placed"/>
    <n v="235502.5"/>
    <n v="15660"/>
    <n v="165984"/>
    <n v="125262"/>
    <n v="37908.5"/>
    <n v="55880"/>
    <n v="0"/>
    <n v="239596"/>
    <n v="65535"/>
    <n v="64800"/>
    <n v="0"/>
    <n v="154960"/>
    <n v="1161088"/>
    <n v="49960"/>
    <n v="0"/>
    <n v="155411"/>
    <n v="0"/>
    <n v="0"/>
    <n v="0"/>
    <n v="0"/>
    <n v="0"/>
    <n v="0"/>
    <n v="0"/>
    <n v="0"/>
    <m/>
    <n v="205371"/>
    <n v="0"/>
    <n v="0"/>
    <n v="0"/>
    <n v="0"/>
    <n v="0"/>
  </r>
  <r>
    <s v="Hammad Noor"/>
    <s v="Boule"/>
    <s v="Swelab Alfa Plus Standard"/>
    <n v="15001967"/>
    <s v="Hematology"/>
    <n v="3002000004"/>
    <s v="N/A"/>
    <n v="104282"/>
    <s v="27.11.2021"/>
    <s v="06.01.2021"/>
    <s v="06.01.2021"/>
    <s v="Available"/>
    <m/>
    <x v="0"/>
    <x v="1"/>
    <s v="Faisalabad"/>
    <n v="3020000515"/>
    <s v="Faisalabad Medical University (Allied to be changed)"/>
    <s v="Govt. Hospital"/>
    <s v="Near Pinum Hospital, Faisalabad"/>
    <s v="041-9210082"/>
    <s v="not available"/>
    <s v="9020100-7"/>
    <m/>
    <n v="1262290"/>
    <n v="13"/>
    <n v="450000"/>
    <s v="tender based ,Tender completed "/>
    <s v="instruments will be return after depletion of stocks "/>
    <s v="Sales on track"/>
    <s v="Sales on track"/>
    <s v="sales on track "/>
    <s v="new contract in process"/>
    <m/>
    <s v="Instrument cost covered we are executing new contract for the same analyzer in same institute expected business in Q3 Is Rs. 2.0 Million "/>
    <s v="Contract renewed for three months "/>
    <s v="Initial order of amount Rs 1.8 Million invoiced "/>
    <m/>
    <m/>
    <m/>
    <m/>
    <m/>
    <m/>
    <m/>
    <m/>
    <s v="Cost Covered and will be return back as tender period is ended."/>
    <m/>
    <m/>
    <m/>
    <m/>
    <s v="Need to confirm its status"/>
    <m/>
    <m/>
    <s v="Pull BAck"/>
    <n v="1"/>
    <s v="Placed"/>
    <m/>
    <m/>
    <m/>
    <m/>
    <m/>
    <m/>
    <m/>
    <m/>
    <m/>
    <m/>
    <m/>
    <m/>
    <n v="0"/>
    <n v="0"/>
    <n v="0"/>
    <n v="0"/>
    <n v="0"/>
    <n v="1362711.9"/>
    <n v="613000"/>
    <n v="2271186"/>
    <n v="0"/>
    <n v="0"/>
    <m/>
    <n v="3202372.3333333335"/>
    <n v="-204333.33333333334"/>
    <n v="7244936.9000000013"/>
    <n v="0"/>
    <n v="0"/>
    <n v="0"/>
    <n v="0"/>
    <n v="752746.42857142875"/>
  </r>
  <r>
    <s v="Hammad Noor"/>
    <s v="Boule"/>
    <s v="Swelab Alfa Plus Standard"/>
    <n v="15001967"/>
    <s v="Hematology"/>
    <n v="3002000004"/>
    <m/>
    <n v="116957"/>
    <m/>
    <m/>
    <s v="24.11.2025"/>
    <m/>
    <m/>
    <x v="4"/>
    <x v="1"/>
    <s v="Faisalabad"/>
    <n v="3020000515"/>
    <s v="DHQ Hospital (Allied Hospital-II )"/>
    <m/>
    <s v="Near Pinum Hospital, Faisalabad"/>
    <s v="041-9210082"/>
    <s v="not available"/>
    <s v="9020100-7"/>
    <m/>
    <n v="1186483.5"/>
    <n v="26"/>
    <n v="112945"/>
    <m/>
    <m/>
    <m/>
    <m/>
    <m/>
    <m/>
    <m/>
    <m/>
    <m/>
    <m/>
    <m/>
    <m/>
    <m/>
    <m/>
    <m/>
    <m/>
    <m/>
    <m/>
    <m/>
    <m/>
    <m/>
    <m/>
    <m/>
    <m/>
    <m/>
    <m/>
    <s v="on Track"/>
    <m/>
    <s v="Placed"/>
    <m/>
    <m/>
    <m/>
    <m/>
    <n v="1710000"/>
    <m/>
    <m/>
    <m/>
    <m/>
    <m/>
    <m/>
    <m/>
    <n v="1710000"/>
    <m/>
    <m/>
    <m/>
    <m/>
    <m/>
    <m/>
    <m/>
    <m/>
    <m/>
    <m/>
    <n v="3202372.3333333335"/>
    <n v="-204333.33333333334"/>
    <n v="2998039"/>
    <n v="0"/>
    <n v="0"/>
    <n v="0"/>
    <n v="0"/>
    <n v="749509.75"/>
  </r>
  <r>
    <s v="Hammad Noor"/>
    <s v="Boule"/>
    <s v="Swelab Alfa Plus Standard"/>
    <n v="15001967"/>
    <s v="Hematology"/>
    <s v="AR # 300321"/>
    <m/>
    <n v="117576"/>
    <s v="24.11.2025"/>
    <m/>
    <m/>
    <m/>
    <m/>
    <x v="4"/>
    <x v="1"/>
    <s v="Faisalabad"/>
    <n v="3020000515"/>
    <s v="DHQ Hospital (Allied Hospital-II )"/>
    <m/>
    <m/>
    <m/>
    <m/>
    <m/>
    <m/>
    <n v="1186483.5"/>
    <n v="26"/>
    <n v="112945"/>
    <m/>
    <m/>
    <m/>
    <m/>
    <m/>
    <m/>
    <m/>
    <m/>
    <m/>
    <m/>
    <m/>
    <m/>
    <m/>
    <m/>
    <m/>
    <m/>
    <m/>
    <m/>
    <m/>
    <m/>
    <m/>
    <m/>
    <m/>
    <m/>
    <m/>
    <m/>
    <s v="on Track"/>
    <m/>
    <s v="Placed"/>
    <m/>
    <m/>
    <m/>
    <m/>
    <m/>
    <m/>
    <m/>
    <m/>
    <m/>
    <m/>
    <m/>
    <m/>
    <n v="0"/>
    <m/>
    <m/>
    <m/>
    <m/>
    <m/>
    <m/>
    <m/>
    <m/>
    <m/>
    <m/>
    <n v="3202372.3333333335"/>
    <n v="-204333.33333333334"/>
    <n v="2998039"/>
    <n v="0"/>
    <n v="0"/>
    <n v="0"/>
    <n v="0"/>
    <n v="749509.75"/>
  </r>
  <r>
    <s v="Hammad Noor"/>
    <s v="Vital Scientific"/>
    <s v="Selectra PRO M Lite"/>
    <n v="15002128"/>
    <s v="Clinical Chemistry"/>
    <m/>
    <m/>
    <m/>
    <m/>
    <m/>
    <s v="24.11.2025"/>
    <m/>
    <m/>
    <x v="4"/>
    <x v="1"/>
    <s v="Faisalabad"/>
    <n v="3020000515"/>
    <s v="DHQ Hospital (Allied Hospital-II )"/>
    <m/>
    <s v="Near Pinum Hospital, Faisalabad"/>
    <s v="041-9210082"/>
    <s v="not available"/>
    <s v="9020100-7"/>
    <m/>
    <n v="4620000"/>
    <n v="36"/>
    <n v="1411927"/>
    <m/>
    <m/>
    <m/>
    <m/>
    <m/>
    <m/>
    <m/>
    <m/>
    <m/>
    <m/>
    <m/>
    <m/>
    <m/>
    <m/>
    <m/>
    <m/>
    <m/>
    <m/>
    <m/>
    <m/>
    <m/>
    <m/>
    <m/>
    <m/>
    <m/>
    <m/>
    <s v="on Track"/>
    <m/>
    <s v="Placed"/>
    <m/>
    <m/>
    <m/>
    <m/>
    <n v="1710000"/>
    <m/>
    <m/>
    <m/>
    <m/>
    <m/>
    <m/>
    <m/>
    <n v="1710000"/>
    <m/>
    <m/>
    <m/>
    <m/>
    <m/>
    <m/>
    <m/>
    <m/>
    <m/>
    <m/>
    <n v="3484134.2"/>
    <n v="5106783.6700000027"/>
    <n v="8590917.8700000029"/>
    <n v="1516016"/>
    <m/>
    <m/>
    <n v="1516016"/>
    <n v="561496.32611111121"/>
  </r>
  <r>
    <s v="Hammad Noor"/>
    <s v="Boule"/>
    <s v="Swelab Alfa Plus Standard"/>
    <n v="15001967"/>
    <s v="Hematology"/>
    <m/>
    <m/>
    <m/>
    <m/>
    <m/>
    <s v="24.11.2025"/>
    <m/>
    <m/>
    <x v="4"/>
    <x v="1"/>
    <s v="Faisalabad"/>
    <n v="3020000393"/>
    <s v="Faisalabad Medical University"/>
    <m/>
    <s v="Near Pinum Hospital, Faisalabad"/>
    <s v="041-9210082"/>
    <s v="not available"/>
    <s v="9020100-7"/>
    <m/>
    <n v="1186483.33333333"/>
    <n v="26"/>
    <n v="108475"/>
    <m/>
    <m/>
    <m/>
    <m/>
    <m/>
    <m/>
    <m/>
    <m/>
    <m/>
    <m/>
    <m/>
    <m/>
    <m/>
    <m/>
    <m/>
    <m/>
    <m/>
    <m/>
    <m/>
    <m/>
    <m/>
    <m/>
    <m/>
    <m/>
    <m/>
    <m/>
    <s v="on Track"/>
    <m/>
    <s v="Placed"/>
    <m/>
    <m/>
    <m/>
    <m/>
    <m/>
    <m/>
    <m/>
    <m/>
    <m/>
    <m/>
    <m/>
    <m/>
    <n v="0"/>
    <m/>
    <m/>
    <m/>
    <m/>
    <m/>
    <m/>
    <m/>
    <m/>
    <m/>
    <m/>
    <m/>
    <m/>
    <n v="0"/>
    <n v="0"/>
    <n v="2100066.06"/>
    <n v="625357"/>
    <n v="2725423.06"/>
    <n v="1050033.03"/>
  </r>
  <r>
    <s v="Hammad Noor"/>
    <s v="YHLO"/>
    <s v="iFlash 1800"/>
    <n v="15002462"/>
    <s v="Immunoassay"/>
    <n v="3002000014"/>
    <s v="N/A"/>
    <s v="IA00093122"/>
    <s v="03.08.2022"/>
    <s v="06.29.2022"/>
    <s v="20.07.2022"/>
    <s v="Available"/>
    <m/>
    <x v="1"/>
    <x v="0"/>
    <s v="Karachi"/>
    <n v="3020000539"/>
    <s v="Anklesaria Hospital"/>
    <s v="Dr. Burjor"/>
    <s v=" V28F+QFR, Garden Rd, near Makki Masjid، Preedy Quarters Karachi, Karachi"/>
    <s v="0300-8259525"/>
    <s v="gbanklesaria.nursing.home@gmail.com"/>
    <s v="1539892-7"/>
    <m/>
    <n v="2675000"/>
    <n v="16"/>
    <n v="493226.5"/>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s v="Work load decreased, it is advisable to revist the case"/>
    <s v="Complete workload is on our equipment as they don’t have any back up equipment in their lab. Supplies issue has been resolved now, and business will be improved."/>
    <s v="We've received order of 286,000 in August 2023 "/>
    <s v="Need to revise the business case as per Average Reagent Sales"/>
    <s v="Revised business case has been sent to Mr, Ebad for further approvals"/>
    <s v="Order received for Oct 2023 and its on hold."/>
    <m/>
    <m/>
    <m/>
    <m/>
    <s v="Prices will revies"/>
    <s v="Under discussion on prices, order will receive soon "/>
    <s v="We have submitt prices revision letter, patient volume decressed."/>
    <m/>
    <s v="2nd letter of price revision submitted, with in next 2 weeks will share update on prices revision customer is agreed to increase 10% but we ask for atleast 25% price revision"/>
    <s v="15 % prices has been revised "/>
    <m/>
    <m/>
    <m/>
    <m/>
    <s v="Korangi WH "/>
    <n v="1"/>
    <m/>
    <n v="222763.96"/>
    <n v="270400"/>
    <n v="0"/>
    <n v="0"/>
    <n v="629406.82000000007"/>
    <n v="0"/>
    <n v="0"/>
    <n v="0"/>
    <n v="0"/>
    <n v="268415"/>
    <n v="19210"/>
    <n v="90851.82"/>
    <n v="1501047.6"/>
    <n v="0"/>
    <n v="0"/>
    <n v="0"/>
    <n v="0"/>
    <n v="0"/>
    <n v="0"/>
    <n v="0"/>
    <n v="0"/>
    <n v="0"/>
    <n v="0"/>
    <n v="0"/>
    <m/>
    <n v="0"/>
    <m/>
    <m/>
    <m/>
    <n v="0"/>
    <n v="0"/>
  </r>
  <r>
    <s v="Jahangir Jalil"/>
    <s v="OCD"/>
    <s v="Vitros ECiQ Immunodiagnostic System"/>
    <n v="15002760"/>
    <s v="Immunoassay"/>
    <n v="3002000036"/>
    <s v="N/A"/>
    <n v="30006300"/>
    <s v="31.07.2023"/>
    <s v="20.10.2022"/>
    <s v="20.10.2022"/>
    <s v="Available"/>
    <m/>
    <x v="0"/>
    <x v="0"/>
    <s v="Karachi"/>
    <n v="3020000547"/>
    <s v="PNS Shifa Hospital (V-Med Inter Trade)"/>
    <s v="Dr. Syed Durrani"/>
    <s v="R3P2+Q37, Main Korangi Rd, near Kala Pul، Clifton, Karachi"/>
    <s v="021-35392001-2 / 0300-8255140"/>
    <s v="vmedintertrade@yahoo.com"/>
    <m/>
    <s v="42201-8906429-9"/>
    <n v="9297200"/>
    <n v="35"/>
    <n v="829374"/>
    <m/>
    <m/>
    <s v="Equipment not placed yet, due to unavailability"/>
    <s v="Equipment not placed yet, due to unavailability"/>
    <s v="machine under installation phase "/>
    <m/>
    <s v="machine under installation phase "/>
    <s v="First Reagents order will be issued within September as they are in finalizing stage of tender process"/>
    <s v="Equipment installed, validation done"/>
    <s v="Waiting to receive the PO from Customer end."/>
    <s v="First Order received through Distributor V-MED Inter. (amount: 1,100,000)"/>
    <s v="We'll be receiving continuous order of committed amount"/>
    <m/>
    <m/>
    <m/>
    <m/>
    <s v="last tender was scraped, new tender is awarded First PO is received,"/>
    <m/>
    <s v="Machine installed in Jan 24, first tor run in Jan 2024,  last tender was scraped "/>
    <m/>
    <e v="#REF!"/>
    <m/>
    <m/>
    <s v="no sales in july"/>
    <m/>
    <m/>
    <s v="Tender in process"/>
    <n v="1"/>
    <s v="Placed"/>
    <n v="867000"/>
    <n v="1552000"/>
    <n v="1838173.12"/>
    <n v="0"/>
    <n v="3924900"/>
    <n v="850200"/>
    <n v="0"/>
    <n v="0"/>
    <n v="4129498"/>
    <n v="1860000"/>
    <n v="0"/>
    <n v="3382500"/>
    <n v="18404271.120000001"/>
    <n v="0"/>
    <n v="610087.5"/>
    <n v="0"/>
    <n v="547499.5"/>
    <n v="0"/>
    <n v="22500"/>
    <n v="0"/>
    <n v="0"/>
    <n v="0"/>
    <m/>
    <m/>
    <m/>
    <n v="1180087"/>
    <n v="0"/>
    <n v="0"/>
    <n v="0"/>
    <n v="0"/>
    <n v="0"/>
  </r>
  <r>
    <s v="Jahangir Jalil"/>
    <s v="OCD"/>
    <s v="Vitros ECiQ Immunodiagnostic System"/>
    <n v="15002760"/>
    <s v="Immunoassay"/>
    <n v="3002000024"/>
    <s v="N/A"/>
    <n v="30006173"/>
    <m/>
    <m/>
    <s v="09.02.2024"/>
    <m/>
    <m/>
    <x v="1"/>
    <x v="0"/>
    <s v="Karachi"/>
    <n v="3020000547"/>
    <s v="PNS Rahat Hospital (V-Med Inter Trade)"/>
    <m/>
    <s v="115-C, Commercial Area &quot;B&quot; Near Tooba Masjid, DHA Phase-I Karachi"/>
    <s v="0300-8255140"/>
    <s v="vmedintertrade@yahoo.com"/>
    <s v="1365220-6"/>
    <s v="42201-8906429-9"/>
    <n v="10513266"/>
    <n v="36"/>
    <n v="868556"/>
    <m/>
    <m/>
    <m/>
    <m/>
    <m/>
    <m/>
    <m/>
    <m/>
    <m/>
    <m/>
    <m/>
    <m/>
    <m/>
    <m/>
    <m/>
    <m/>
    <m/>
    <m/>
    <e v="#REF!"/>
    <m/>
    <m/>
    <m/>
    <m/>
    <m/>
    <m/>
    <m/>
    <m/>
    <m/>
    <m/>
    <m/>
    <m/>
    <m/>
    <m/>
    <m/>
    <m/>
    <m/>
    <m/>
    <m/>
    <m/>
    <m/>
    <n v="1501170"/>
    <n v="1501170"/>
    <n v="0"/>
    <n v="610087.5"/>
    <n v="0"/>
    <n v="547499.5"/>
    <n v="0"/>
    <n v="22500"/>
    <n v="0"/>
    <m/>
    <m/>
    <m/>
    <m/>
    <m/>
    <n v="1180087"/>
    <m/>
    <m/>
    <m/>
    <n v="0"/>
    <n v="0"/>
  </r>
  <r>
    <s v="Jahangir Jalil"/>
    <s v="Stago"/>
    <s v="STA SATELLITE MAX"/>
    <n v="15003000"/>
    <s v="Coagulation Analyzer"/>
    <n v="3002000102"/>
    <m/>
    <n v="1614"/>
    <m/>
    <m/>
    <s v="14.05.2025"/>
    <m/>
    <m/>
    <x v="0"/>
    <x v="2"/>
    <s v="Islamabad"/>
    <n v="3020000580"/>
    <s v="Ali Medical Center Islamabad"/>
    <m/>
    <m/>
    <m/>
    <m/>
    <m/>
    <m/>
    <n v="3432757"/>
    <n v="36"/>
    <n v="251530"/>
    <m/>
    <m/>
    <m/>
    <m/>
    <m/>
    <m/>
    <m/>
    <m/>
    <m/>
    <m/>
    <m/>
    <m/>
    <m/>
    <m/>
    <m/>
    <m/>
    <m/>
    <m/>
    <m/>
    <m/>
    <m/>
    <m/>
    <m/>
    <m/>
    <m/>
    <m/>
    <s v="Behind track"/>
    <n v="1"/>
    <s v="Placed"/>
    <m/>
    <m/>
    <m/>
    <m/>
    <m/>
    <m/>
    <m/>
    <m/>
    <m/>
    <m/>
    <m/>
    <m/>
    <n v="0"/>
    <n v="0"/>
    <n v="450910"/>
    <n v="417700"/>
    <n v="0"/>
    <n v="76000"/>
    <n v="289400"/>
    <n v="282000"/>
    <n v="332000"/>
    <n v="0"/>
    <n v="478700"/>
    <n v="105000"/>
    <n v="118700"/>
    <n v="2550410"/>
    <n v="274000"/>
    <n v="160000"/>
    <n v="0"/>
    <n v="434000"/>
    <n v="218800"/>
  </r>
  <r>
    <s v="Hammad Noor"/>
    <s v="YHLO"/>
    <s v="iFlash 1200"/>
    <n v="15002553"/>
    <s v="Immunoassay"/>
    <m/>
    <m/>
    <s v="ID00176648"/>
    <m/>
    <m/>
    <s v="25.04.2025"/>
    <s v="Available"/>
    <m/>
    <x v="0"/>
    <x v="1"/>
    <s v="Muredke"/>
    <n v="3020000605"/>
    <s v="Imperial Lab"/>
    <s v="N/A"/>
    <s v="EHQ Hospital Road, opposite to baldia office main GT road, kamoki, punjab, Gujranwala"/>
    <s v="0307-7781900"/>
    <s v="aliaslam2420@gmail.com"/>
    <m/>
    <s v="34102-5074342-3"/>
    <n v="2565000"/>
    <n v="29"/>
    <n v="154595"/>
    <m/>
    <m/>
    <m/>
    <m/>
    <m/>
    <m/>
    <m/>
    <m/>
    <m/>
    <m/>
    <m/>
    <m/>
    <m/>
    <m/>
    <m/>
    <m/>
    <m/>
    <m/>
    <m/>
    <m/>
    <m/>
    <m/>
    <m/>
    <m/>
    <m/>
    <m/>
    <s v="Pull Back need followup"/>
    <n v="1"/>
    <s v="Placed"/>
    <m/>
    <m/>
    <m/>
    <m/>
    <m/>
    <m/>
    <m/>
    <m/>
    <m/>
    <m/>
    <m/>
    <m/>
    <n v="0"/>
    <m/>
    <m/>
    <m/>
    <n v="505400"/>
    <n v="0"/>
    <n v="98900"/>
    <n v="48800"/>
    <n v="0"/>
    <n v="-91200"/>
    <m/>
    <m/>
    <n v="97600"/>
    <n v="659500"/>
    <n v="0"/>
    <n v="0"/>
    <n v="0"/>
    <n v="0"/>
    <n v="9200"/>
  </r>
  <r>
    <s v="Jahangir Jalil"/>
    <s v="Erba"/>
    <s v="EC90"/>
    <n v="15002674"/>
    <s v="Electrolyte Analyzer"/>
    <n v="3002000103"/>
    <m/>
    <s v="3279-2-202108"/>
    <m/>
    <m/>
    <s v="14.05.2025"/>
    <m/>
    <m/>
    <x v="0"/>
    <x v="1"/>
    <s v="Multan"/>
    <n v="3020000633"/>
    <s v="The Children Hospital &amp; The Institute Multan"/>
    <s v="Govt. Hospital"/>
    <s v="Farwa Chowk, Abdali road "/>
    <s v="061-9200919"/>
    <s v="N/A"/>
    <s v="9020100-7"/>
    <m/>
    <n v="1170000"/>
    <n v="7"/>
    <n v="358020"/>
    <m/>
    <m/>
    <m/>
    <m/>
    <m/>
    <m/>
    <m/>
    <m/>
    <m/>
    <m/>
    <m/>
    <m/>
    <m/>
    <m/>
    <m/>
    <m/>
    <m/>
    <m/>
    <m/>
    <m/>
    <m/>
    <m/>
    <m/>
    <m/>
    <m/>
    <m/>
    <s v="on Track"/>
    <n v="1"/>
    <s v="Placed"/>
    <m/>
    <n v="2164333.5"/>
    <m/>
    <m/>
    <m/>
    <m/>
    <n v="88378.040000000008"/>
    <m/>
    <m/>
    <n v="1874000"/>
    <m/>
    <m/>
    <n v="4126711.54"/>
    <m/>
    <m/>
    <n v="1382075"/>
    <m/>
    <n v="0"/>
    <n v="0"/>
    <n v="1382075"/>
    <n v="0"/>
    <n v="1966982.8"/>
    <m/>
    <m/>
    <m/>
    <n v="4731132.8"/>
    <n v="0"/>
    <n v="1229364.25"/>
    <n v="0"/>
    <n v="1229364.25"/>
    <n v="915684.40999999992"/>
  </r>
  <r>
    <s v="Hammad Noor"/>
    <s v="Vital Scientific"/>
    <s v="Selectra Mach 5"/>
    <n v="15002463"/>
    <s v="Clinical Chemistry"/>
    <n v="3002000018"/>
    <s v="N/A"/>
    <s v="22-5026"/>
    <s v="05.09.2022"/>
    <s v="08.26.2022"/>
    <s v="30.08.2022"/>
    <s v="Available"/>
    <m/>
    <x v="0"/>
    <x v="1"/>
    <s v="Multan"/>
    <n v="3020000633"/>
    <s v="The Children Hospital &amp; The Institute Multan"/>
    <s v="Govt. Hospital"/>
    <s v="Farwa Chowk, Abdali road "/>
    <s v="061-9200919"/>
    <s v="N/A"/>
    <s v="9020100-7"/>
    <m/>
    <n v="4500000"/>
    <n v="11"/>
    <n v="1237668"/>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s v="wil invoice in Q3 &amp; Q4, 4 Mio each"/>
    <s v=" we have receieved an order of 10 million will be invoice in Q3 ,Q4 we will cover our deficit in Q3. Govt institute ."/>
    <s v="Order Recevied "/>
    <s v="4 Million order will be invoice this month "/>
    <m/>
    <m/>
    <m/>
    <m/>
    <m/>
    <m/>
    <s v="Payment issue - Order in hand"/>
    <m/>
    <s v="Sales are on track. 3.8mio order in hand, it will be invoiced."/>
    <m/>
    <s v="Revised case"/>
    <m/>
    <m/>
    <m/>
    <m/>
    <m/>
    <s v="Behind track"/>
    <n v="1"/>
    <s v="Placed"/>
    <n v="0"/>
    <n v="5613694.8999999994"/>
    <n v="0"/>
    <n v="0"/>
    <n v="0"/>
    <n v="0"/>
    <n v="25423.73"/>
    <n v="0"/>
    <n v="0"/>
    <n v="269359.42"/>
    <n v="1626042.64"/>
    <n v="865180.92999999993"/>
    <n v="8399701.6199999992"/>
    <n v="0"/>
    <n v="0"/>
    <n v="-135593"/>
    <n v="2032892"/>
    <n v="0"/>
    <m/>
    <n v="42553"/>
    <n v="0"/>
    <n v="343605.15"/>
    <m/>
    <n v="3825383"/>
    <m/>
    <n v="6108840.1500000004"/>
    <n v="2118492.66"/>
    <n v="0"/>
    <n v="0"/>
    <n v="2118492.66"/>
    <n v="1055005.635"/>
  </r>
  <r>
    <s v="Hammad Noor"/>
    <s v="Vital Scientific"/>
    <s v="Selectra Mach 5"/>
    <n v="15002463"/>
    <s v="Clinical Chemistry"/>
    <m/>
    <m/>
    <m/>
    <m/>
    <m/>
    <s v="27.10.2025"/>
    <m/>
    <m/>
    <x v="2"/>
    <x v="1"/>
    <s v="Multan"/>
    <n v="3020000633"/>
    <s v="Children's Hospital Multan"/>
    <s v="Govt. Hospital"/>
    <s v="Farwa Chowk, Abdali road "/>
    <s v="061-9200919"/>
    <s v="N/A"/>
    <s v="9020100-7"/>
    <m/>
    <n v="7633423"/>
    <n v="38"/>
    <n v="2084692"/>
    <m/>
    <m/>
    <m/>
    <m/>
    <m/>
    <m/>
    <m/>
    <m/>
    <m/>
    <m/>
    <m/>
    <m/>
    <m/>
    <m/>
    <m/>
    <m/>
    <m/>
    <m/>
    <m/>
    <m/>
    <m/>
    <m/>
    <m/>
    <m/>
    <m/>
    <m/>
    <s v="New Installation"/>
    <m/>
    <s v="Placed"/>
    <m/>
    <m/>
    <m/>
    <m/>
    <m/>
    <m/>
    <m/>
    <m/>
    <m/>
    <m/>
    <m/>
    <m/>
    <n v="0"/>
    <m/>
    <m/>
    <m/>
    <m/>
    <m/>
    <m/>
    <m/>
    <m/>
    <m/>
    <m/>
    <m/>
    <m/>
    <n v="0"/>
    <n v="0"/>
    <n v="0"/>
    <n v="0"/>
    <n v="0"/>
    <n v="0"/>
  </r>
  <r>
    <s v="Jahangir Jalil"/>
    <s v="OCD"/>
    <s v="Vitros ECiQ Immunodiagnostic System (Refurb)"/>
    <n v="15002760"/>
    <s v="Immunoassay"/>
    <s v="AR # 300401"/>
    <m/>
    <n v="30006408"/>
    <m/>
    <m/>
    <s v="04.06.2025"/>
    <m/>
    <s v="Appropriation request pending issued against B.C"/>
    <x v="0"/>
    <x v="1"/>
    <s v="Mandi Bahauddin"/>
    <n v="3020000645"/>
    <s v="Makhdoom Diagnostic Center MDC"/>
    <m/>
    <s v="Ali Imran Waseer Plaza, Phalia Road, Near Safe Way CNG, Punjab"/>
    <s v="0301-3187007"/>
    <s v="mian.muhsaeed@gmail.com"/>
    <s v="4466935-6"/>
    <m/>
    <n v="14396400"/>
    <n v="36"/>
    <n v="984486"/>
    <m/>
    <m/>
    <m/>
    <m/>
    <m/>
    <m/>
    <m/>
    <m/>
    <m/>
    <m/>
    <m/>
    <m/>
    <m/>
    <m/>
    <m/>
    <m/>
    <m/>
    <m/>
    <m/>
    <m/>
    <m/>
    <m/>
    <m/>
    <m/>
    <m/>
    <m/>
    <s v="Due to shortages of stock"/>
    <n v="1"/>
    <s v="Not funtional - At customer site"/>
    <m/>
    <m/>
    <m/>
    <m/>
    <m/>
    <m/>
    <m/>
    <m/>
    <m/>
    <m/>
    <m/>
    <m/>
    <n v="0"/>
    <m/>
    <m/>
    <m/>
    <m/>
    <m/>
    <n v="868405"/>
    <n v="817823"/>
    <n v="0"/>
    <n v="0"/>
    <n v="0"/>
    <m/>
    <m/>
    <n v="1686228"/>
    <n v="0"/>
    <n v="0"/>
    <n v="0"/>
    <n v="0"/>
    <n v="136303.83333333334"/>
  </r>
  <r>
    <s v="Jahangir Jalil"/>
    <s v="Zybio"/>
    <s v="Zybio U3600"/>
    <n v="15003367"/>
    <s v="Urine Analyzer"/>
    <m/>
    <m/>
    <n v="324100000639"/>
    <m/>
    <m/>
    <s v="27.05.2025"/>
    <m/>
    <s v="Appropriation request pending issued against B.C"/>
    <x v="0"/>
    <x v="0"/>
    <s v="Karachi"/>
    <n v="3020000647"/>
    <s v="Alamgir Welfare Trust Int."/>
    <m/>
    <s v="Plot No Z-482 - 483,  Block 3, Kokan Society, Alamgir Road, Gulshan Town, Sindh"/>
    <s v="0336-2346111"/>
    <s v="amir@alamgirwelfaretrust.com.pk"/>
    <s v="1545651-0"/>
    <m/>
    <n v="3727984"/>
    <n v="36"/>
    <n v="275624"/>
    <m/>
    <m/>
    <m/>
    <m/>
    <m/>
    <m/>
    <m/>
    <m/>
    <m/>
    <m/>
    <m/>
    <m/>
    <m/>
    <m/>
    <m/>
    <m/>
    <m/>
    <m/>
    <m/>
    <m/>
    <m/>
    <m/>
    <m/>
    <m/>
    <m/>
    <m/>
    <s v="Behind track"/>
    <n v="1"/>
    <s v="Placed"/>
    <m/>
    <m/>
    <m/>
    <m/>
    <m/>
    <m/>
    <m/>
    <m/>
    <m/>
    <m/>
    <m/>
    <m/>
    <n v="0"/>
    <m/>
    <m/>
    <m/>
    <m/>
    <m/>
    <n v="211900"/>
    <n v="166500"/>
    <n v="216000"/>
    <n v="16200"/>
    <n v="77500"/>
    <n v="16400"/>
    <n v="140000"/>
    <n v="844500"/>
    <n v="0"/>
    <n v="0"/>
    <n v="0"/>
    <n v="0"/>
    <n v="79075"/>
  </r>
  <r>
    <s v="Hammad Noor"/>
    <s v="Vital Scientific"/>
    <s v="Selectra Mach 5"/>
    <n v="15002463"/>
    <s v="Clinical Chemistry"/>
    <s v="AR # 300402"/>
    <m/>
    <s v="25-5206"/>
    <m/>
    <m/>
    <s v="12.06.2025"/>
    <m/>
    <m/>
    <x v="0"/>
    <x v="0"/>
    <s v="Karachi"/>
    <n v="3020000664"/>
    <s v="NHS"/>
    <m/>
    <s v="Quaideen Castle 241, Shah-e-Qaideen PECHS, BLOCK-2, New Allah Wali Chorangi"/>
    <s v="021-34541112/03002266780"/>
    <s v="ceo@nhsdiagnostics.com"/>
    <s v="B134403-6"/>
    <m/>
    <n v="8800000"/>
    <n v="35"/>
    <n v="513512"/>
    <m/>
    <m/>
    <m/>
    <m/>
    <m/>
    <m/>
    <m/>
    <m/>
    <m/>
    <m/>
    <m/>
    <m/>
    <m/>
    <m/>
    <m/>
    <m/>
    <m/>
    <m/>
    <m/>
    <m/>
    <m/>
    <m/>
    <m/>
    <m/>
    <m/>
    <m/>
    <s v="behind track need followup"/>
    <n v="1"/>
    <s v="Placed"/>
    <m/>
    <m/>
    <m/>
    <m/>
    <n v="1710000"/>
    <m/>
    <m/>
    <m/>
    <m/>
    <m/>
    <m/>
    <m/>
    <n v="1710000"/>
    <m/>
    <m/>
    <m/>
    <m/>
    <m/>
    <n v="1174394"/>
    <n v="263980"/>
    <n v="0"/>
    <n v="492790"/>
    <m/>
    <m/>
    <n v="191590"/>
    <n v="2122754"/>
    <n v="0"/>
    <n v="180500"/>
    <n v="0"/>
    <n v="180500"/>
    <n v="188143.33333333334"/>
  </r>
  <r>
    <s v="Jahangir Jalil"/>
    <s v="OCD"/>
    <s v="Vitros ECiQ Analyzer"/>
    <n v="15002760"/>
    <s v="Immunoassay"/>
    <s v="AR # 300412"/>
    <m/>
    <n v="30005087"/>
    <m/>
    <m/>
    <s v="19.06.2025"/>
    <m/>
    <m/>
    <x v="0"/>
    <x v="0"/>
    <s v="Karachi"/>
    <n v="3020000664"/>
    <s v="NHS"/>
    <m/>
    <m/>
    <m/>
    <m/>
    <m/>
    <m/>
    <n v="6938187"/>
    <n v="24"/>
    <n v="618263"/>
    <m/>
    <m/>
    <m/>
    <m/>
    <m/>
    <m/>
    <m/>
    <m/>
    <m/>
    <m/>
    <m/>
    <m/>
    <m/>
    <m/>
    <m/>
    <m/>
    <m/>
    <m/>
    <m/>
    <m/>
    <m/>
    <m/>
    <m/>
    <m/>
    <m/>
    <m/>
    <s v="Pull BAck"/>
    <n v="1"/>
    <s v="Placed"/>
    <m/>
    <m/>
    <m/>
    <m/>
    <m/>
    <m/>
    <m/>
    <m/>
    <m/>
    <m/>
    <m/>
    <m/>
    <n v="0"/>
    <m/>
    <m/>
    <m/>
    <m/>
    <m/>
    <m/>
    <n v="951500"/>
    <n v="72600"/>
    <n v="417200"/>
    <n v="109500"/>
    <n v="149200"/>
    <m/>
    <n v="1700000"/>
    <n v="0"/>
    <n v="0"/>
    <n v="0"/>
    <n v="0"/>
    <n v="242857.14285714287"/>
  </r>
  <r>
    <s v="Jahangir Jalil"/>
    <s v="Zybio"/>
    <s v="Zybio U3600"/>
    <n v="15003367"/>
    <s v="Urine Analyzer"/>
    <m/>
    <m/>
    <m/>
    <m/>
    <m/>
    <s v="30.09.2025"/>
    <m/>
    <m/>
    <x v="4"/>
    <x v="0"/>
    <s v="Karachi"/>
    <n v="3020000678"/>
    <s v="Saifee Hospital, Karachi"/>
    <m/>
    <m/>
    <m/>
    <m/>
    <m/>
    <m/>
    <n v="4528470"/>
    <n v="36"/>
    <n v="306830"/>
    <m/>
    <m/>
    <m/>
    <m/>
    <m/>
    <m/>
    <m/>
    <m/>
    <m/>
    <m/>
    <m/>
    <m/>
    <m/>
    <m/>
    <m/>
    <m/>
    <m/>
    <m/>
    <m/>
    <m/>
    <m/>
    <m/>
    <m/>
    <m/>
    <m/>
    <m/>
    <s v="Behind track"/>
    <m/>
    <s v="Placed"/>
    <m/>
    <m/>
    <m/>
    <m/>
    <m/>
    <m/>
    <m/>
    <m/>
    <m/>
    <m/>
    <m/>
    <m/>
    <n v="0"/>
    <m/>
    <m/>
    <m/>
    <m/>
    <m/>
    <m/>
    <m/>
    <m/>
    <n v="299000"/>
    <m/>
    <n v="64500"/>
    <n v="180000"/>
    <n v="543500"/>
    <m/>
    <m/>
    <m/>
    <n v="0"/>
    <n v="181166.66666666666"/>
  </r>
  <r>
    <s v="Jahangir Jalil"/>
    <s v="Erba"/>
    <s v="ECL760 Refurb"/>
    <n v="15002667"/>
    <s v="Coagulation Analyzer"/>
    <n v="3002000040"/>
    <s v="N/A"/>
    <s v="56-71-160517"/>
    <s v="10.02.2023"/>
    <s v="31.10.2023"/>
    <s v="31.10.2023"/>
    <s v="Available"/>
    <m/>
    <x v="1"/>
    <x v="0"/>
    <s v="Karachi"/>
    <n v="3020000692"/>
    <s v="Creek General Hospital (Patients Welfare Foundation)"/>
    <s v="N/A"/>
    <s v="Sector 48-H, Creek Road, Korangi Creek, Karachi"/>
    <s v="0302-8586998"/>
    <s v="psghospital123@gmail.com"/>
    <s v="7497628-7"/>
    <m/>
    <n v="1375572"/>
    <n v="38"/>
    <n v="134307"/>
    <m/>
    <m/>
    <m/>
    <m/>
    <m/>
    <m/>
    <m/>
    <m/>
    <m/>
    <m/>
    <m/>
    <m/>
    <m/>
    <m/>
    <m/>
    <m/>
    <m/>
    <m/>
    <s v="Price/workload revision - till 15 April 2024"/>
    <m/>
    <s v="New tender prices submitted, technical evaluation of tender is in process. "/>
    <s v="New tender in technical Evalualtion"/>
    <m/>
    <m/>
    <m/>
    <m/>
    <m/>
    <m/>
    <m/>
    <n v="0"/>
    <n v="118680"/>
    <n v="0"/>
    <n v="0"/>
    <n v="118390"/>
    <n v="325150"/>
    <n v="0"/>
    <n v="0"/>
    <n v="0"/>
    <n v="0"/>
    <n v="212120"/>
    <n v="0"/>
    <n v="774340"/>
    <n v="0"/>
    <n v="185720"/>
    <n v="0"/>
    <n v="73240"/>
    <n v="0"/>
    <n v="0"/>
    <n v="0"/>
    <n v="0"/>
    <n v="0"/>
    <m/>
    <m/>
    <m/>
    <n v="258960"/>
    <n v="0"/>
    <n v="0"/>
    <m/>
    <n v="0"/>
    <n v="0"/>
  </r>
  <r>
    <s v="Hammad Noor"/>
    <s v="Vital Scientific"/>
    <s v="Selectra Mach 5"/>
    <n v="15002463"/>
    <s v="Clinical Chemistry"/>
    <n v="3002000012"/>
    <s v="N/A"/>
    <s v="22-5015"/>
    <s v="28.07.2022"/>
    <s v="06.29.2022"/>
    <s v="07.07.2022"/>
    <s v="Available"/>
    <m/>
    <x v="1"/>
    <x v="0"/>
    <s v="Karachi"/>
    <n v="3020000692"/>
    <s v="Creek General Hospital (Patients Welfare Foundation)"/>
    <s v="_x000a_Dr. Danish Muhammad Khan"/>
    <s v="Civil Hospital, New Labour Colony Nanakwara, Karachi, Karachi City, Sindh"/>
    <s v="0321-8784310"/>
    <s v="psghospital123@gamil.com"/>
    <s v="7497628-7"/>
    <m/>
    <m/>
    <m/>
    <m/>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ve received order of 233,000 in August 2023 due to workload has been divided between us and ROCHE"/>
    <s v="We've received required spare parts and consumables which will help us to improve our business."/>
    <s v="Machine was under observation from customer "/>
    <s v="Working with customer to get the desired orders as per comittment"/>
    <m/>
    <m/>
    <m/>
    <m/>
    <s v="machine wasnt in Working condition"/>
    <s v="since last month machine is working properply "/>
    <m/>
    <m/>
    <s v="New tender prices submitted, technical evaluation of tender is in process. "/>
    <s v="New tender in technical Evalualtion"/>
    <m/>
    <m/>
    <m/>
    <m/>
    <m/>
    <m/>
    <m/>
    <n v="351000"/>
    <n v="309320"/>
    <n v="0"/>
    <n v="0"/>
    <n v="0"/>
    <n v="0"/>
    <n v="0"/>
    <n v="0"/>
    <n v="0"/>
    <n v="0"/>
    <n v="0"/>
    <n v="0"/>
    <n v="660320"/>
    <n v="0"/>
    <n v="398580"/>
    <m/>
    <n v="254800"/>
    <n v="180000"/>
    <n v="555900"/>
    <m/>
    <m/>
    <m/>
    <m/>
    <m/>
    <m/>
    <n v="1389280"/>
    <m/>
    <m/>
    <m/>
    <n v="0"/>
    <n v="0"/>
  </r>
  <r>
    <s v="Hammad Noor"/>
    <s v="Vital Scientific"/>
    <s v="Selectra Mach 5"/>
    <n v="15002463"/>
    <s v="Clinical Chemistry"/>
    <n v="3002000012"/>
    <s v="N/A"/>
    <s v="22-5015"/>
    <s v="28.07.2022"/>
    <s v="06.29.2022"/>
    <s v="04.04,2024"/>
    <s v="Not Available"/>
    <m/>
    <x v="5"/>
    <x v="0"/>
    <s v="Karachi"/>
    <n v="3020000692"/>
    <s v="Creek General Hospital (Patients Welfare Foundation)"/>
    <s v="_x000a_Dr. Danish Muhammad Khan"/>
    <s v="Civil Hospital, New Labour Colony Nanakwara, Karachi, Karachi City, Sindh"/>
    <s v="0321-8784310"/>
    <s v="psghospital123@gamil.com"/>
    <s v="7497628-7"/>
    <m/>
    <n v="4500000"/>
    <n v="37"/>
    <n v="385623"/>
    <m/>
    <m/>
    <m/>
    <m/>
    <m/>
    <m/>
    <m/>
    <m/>
    <m/>
    <m/>
    <m/>
    <m/>
    <m/>
    <m/>
    <m/>
    <m/>
    <m/>
    <m/>
    <m/>
    <m/>
    <m/>
    <s v="New tender in technical Evalualtion"/>
    <m/>
    <s v="No sales in June and July"/>
    <m/>
    <m/>
    <s v="behind track need followup"/>
    <n v="1"/>
    <s v="Placed"/>
    <n v="351000"/>
    <n v="309320"/>
    <n v="0"/>
    <n v="0"/>
    <n v="561500"/>
    <n v="0"/>
    <n v="0"/>
    <n v="433030"/>
    <n v="0"/>
    <n v="47600"/>
    <n v="0"/>
    <n v="291590"/>
    <n v="1994040"/>
    <n v="0"/>
    <n v="398580"/>
    <n v="0"/>
    <n v="254800"/>
    <n v="180000"/>
    <n v="555900"/>
    <n v="0"/>
    <n v="444470"/>
    <n v="114800"/>
    <n v="440940"/>
    <m/>
    <n v="372653"/>
    <n v="2762143"/>
    <n v="165400"/>
    <n v="0"/>
    <n v="0"/>
    <n v="165400"/>
    <n v="219751.85714285713"/>
  </r>
  <r>
    <s v="Hammad Noor"/>
    <s v="Vital Scientific"/>
    <s v="Selectra Mach 5"/>
    <n v="15002463"/>
    <s v="Clinical Chemistry"/>
    <n v="3002000011"/>
    <m/>
    <s v="22-5016"/>
    <s v="14.06.2022"/>
    <s v="04.01.2022"/>
    <s v="15.06.2022"/>
    <s v="Available"/>
    <m/>
    <x v="1"/>
    <x v="0"/>
    <s v="Karachi"/>
    <n v="3020000701"/>
    <s v="Pakistan International Airlines Co-operation Limited"/>
    <s v="Government"/>
    <s v="M. T. Building, Head Office Karachi"/>
    <s v="0334-1047293"/>
    <s v="sanzsoomro34@gmail.com"/>
    <s v="0803450-8"/>
    <s v="-"/>
    <n v="4500000"/>
    <n v="12"/>
    <n v="761989"/>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s v="Machine is out of order"/>
    <s v="Now machine is fixed after the visit of Elitech Team and business will be improved."/>
    <s v="Machine was out of order and now has been installed and validation has been performed."/>
    <s v="Working with customer to get the PO."/>
    <s v="We've received order of 365,000 in Sep 2023 "/>
    <s v="Order value will increase gradually based on equipment proper functioning"/>
    <m/>
    <m/>
    <m/>
    <m/>
    <s v="machine wasnt in Working condition"/>
    <s v="since last month machine is working properply "/>
    <s v="Problem with machines. Now new business case will be prepared"/>
    <m/>
    <s v="New business case submitted for approval, due to machine problem."/>
    <s v="new tender with new prices has been submitted, under technical evaluation"/>
    <m/>
    <s v="The machine is still there and one of its part is required.that part is in import will bw delievered soon"/>
    <m/>
    <m/>
    <m/>
    <m/>
    <m/>
    <m/>
    <m/>
    <m/>
    <m/>
    <m/>
    <m/>
    <m/>
    <m/>
    <m/>
    <m/>
    <m/>
    <m/>
    <n v="0"/>
    <m/>
    <m/>
    <m/>
    <m/>
    <m/>
    <m/>
    <m/>
    <m/>
    <m/>
    <m/>
    <m/>
    <m/>
    <n v="0"/>
    <m/>
    <m/>
    <m/>
    <n v="0"/>
    <n v="0"/>
  </r>
  <r>
    <s v="Jahangir Jalil"/>
    <s v="Erba"/>
    <s v="Laura XL"/>
    <n v="15002673"/>
    <s v="Urine Analyzer"/>
    <n v="3002000061"/>
    <s v="N/A"/>
    <s v="27-x2-130818"/>
    <m/>
    <s v="21.11.2023"/>
    <s v="29.02.2024"/>
    <s v="Available"/>
    <m/>
    <x v="1"/>
    <x v="1"/>
    <s v="Faisalabad"/>
    <n v="3020000719"/>
    <s v="FIC(Faisalabad Institute of Cardialogy)"/>
    <s v="Government Institution"/>
    <s v="Sargodha Road, Faisalabad"/>
    <s v="041-9201517"/>
    <s v="ms.ic.fsd@punjab.gov.pk"/>
    <s v="9020773-1"/>
    <m/>
    <n v="3409283"/>
    <n v="13"/>
    <n v="393750"/>
    <m/>
    <m/>
    <m/>
    <m/>
    <m/>
    <m/>
    <m/>
    <m/>
    <m/>
    <m/>
    <m/>
    <m/>
    <m/>
    <m/>
    <m/>
    <m/>
    <m/>
    <m/>
    <m/>
    <m/>
    <m/>
    <m/>
    <m/>
    <m/>
    <m/>
    <m/>
    <s v="Pull Back machine on Site till 18Mach"/>
    <m/>
    <s v="Placed"/>
    <m/>
    <n v="787500"/>
    <n v="787500"/>
    <n v="0"/>
    <n v="0"/>
    <n v="0"/>
    <n v="0"/>
    <n v="0"/>
    <n v="0"/>
    <n v="0"/>
    <n v="0"/>
    <n v="0"/>
    <n v="1575000"/>
    <n v="0"/>
    <n v="0"/>
    <n v="0"/>
    <n v="0"/>
    <n v="0"/>
    <n v="0"/>
    <n v="0"/>
    <n v="0"/>
    <m/>
    <m/>
    <m/>
    <m/>
    <n v="0"/>
    <m/>
    <m/>
    <m/>
    <n v="0"/>
    <n v="0"/>
  </r>
  <r>
    <s v="Jahangir Jalil"/>
    <s v="Erba"/>
    <s v="Laura XL"/>
    <n v="15002673"/>
    <s v="Urine Analyzer"/>
    <n v="3002000077"/>
    <s v="N/A"/>
    <s v="39-X2-100918"/>
    <s v="29.09.2023"/>
    <s v="24.10.2023"/>
    <s v="24.10.2023"/>
    <s v="In process"/>
    <m/>
    <x v="0"/>
    <x v="0"/>
    <s v="Karachi"/>
    <n v="3020000734"/>
    <s v="Memon Medical Institute Hospital"/>
    <s v="N/A"/>
    <s v="Hyder Buksh Gabol Road,Safora Chowrangi,Karachi"/>
    <s v="0345-2411026, 081-2664461"/>
    <s v="saifur.rehman@mhef.edu.pk"/>
    <s v="1414406-9"/>
    <m/>
    <n v="3393744"/>
    <n v="37"/>
    <n v="469938"/>
    <m/>
    <m/>
    <m/>
    <m/>
    <m/>
    <m/>
    <m/>
    <m/>
    <m/>
    <m/>
    <m/>
    <m/>
    <m/>
    <m/>
    <m/>
    <m/>
    <s v="supplies isnt avaiable "/>
    <s v="PO pending is in hand  0.2 M order in Hand "/>
    <s v="Six month machine was not operational. Now it is operational and sales will increase in two months time"/>
    <m/>
    <m/>
    <m/>
    <m/>
    <m/>
    <m/>
    <m/>
    <s v="behind track need followup"/>
    <m/>
    <s v="Placed"/>
    <n v="411080"/>
    <n v="347580"/>
    <n v="436720"/>
    <n v="0"/>
    <n v="347580"/>
    <n v="0"/>
    <n v="264220"/>
    <n v="146220"/>
    <n v="0"/>
    <n v="156500"/>
    <n v="183000"/>
    <n v="335000.8"/>
    <n v="2627900.7999999998"/>
    <n v="83360"/>
    <n v="298656"/>
    <n v="282609"/>
    <n v="0"/>
    <n v="189351.6"/>
    <n v="496284"/>
    <n v="365316"/>
    <n v="328566"/>
    <n v="432881"/>
    <m/>
    <n v="335396"/>
    <m/>
    <n v="2812419.6"/>
    <n v="165306"/>
    <n v="243590"/>
    <n v="158203.20000000001"/>
    <n v="567099.19999999995"/>
    <n v="311842.5"/>
  </r>
  <r>
    <s v="Hammad Noor"/>
    <s v="Vital Scientific"/>
    <s v="Selectra Mach 5"/>
    <n v="15002463"/>
    <s v="Clinical Chemistry"/>
    <s v="AR # 300236"/>
    <m/>
    <s v="24-5006"/>
    <m/>
    <m/>
    <s v="2.10.2025"/>
    <m/>
    <m/>
    <x v="0"/>
    <x v="1"/>
    <s v="Lahore"/>
    <n v="3020000736"/>
    <s v="Lady  Aitchison Hospital"/>
    <m/>
    <s v="opp eye ward, Mayo Hospital Rd, data ganj buksh town lahore"/>
    <s v="0345-0439404"/>
    <s v="info@kemu.edu.pk"/>
    <s v="9021032-8"/>
    <m/>
    <n v="7091000"/>
    <n v="37"/>
    <n v="510888"/>
    <m/>
    <m/>
    <m/>
    <m/>
    <m/>
    <m/>
    <m/>
    <m/>
    <m/>
    <m/>
    <m/>
    <m/>
    <m/>
    <m/>
    <m/>
    <m/>
    <m/>
    <m/>
    <m/>
    <m/>
    <m/>
    <m/>
    <m/>
    <m/>
    <m/>
    <m/>
    <s v="on Track"/>
    <n v="1"/>
    <s v="Placed"/>
    <m/>
    <m/>
    <m/>
    <m/>
    <m/>
    <m/>
    <m/>
    <m/>
    <m/>
    <m/>
    <m/>
    <m/>
    <n v="0"/>
    <n v="3051906"/>
    <n v="0"/>
    <n v="8509108"/>
    <n v="0"/>
    <n v="0"/>
    <n v="0"/>
    <n v="0"/>
    <n v="0"/>
    <n v="0"/>
    <n v="0"/>
    <n v="0"/>
    <m/>
    <n v="11561014"/>
    <n v="0"/>
    <n v="0"/>
    <n v="0"/>
    <n v="0"/>
    <n v="0"/>
  </r>
  <r>
    <s v="Hammad Noor"/>
    <s v="Boule"/>
    <s v="Swelab Alfa Plus Standard"/>
    <n v="15001967"/>
    <s v="Hematology"/>
    <s v="AR # 300235"/>
    <m/>
    <n v="123216"/>
    <m/>
    <m/>
    <s v="10.02.2025"/>
    <m/>
    <m/>
    <x v="0"/>
    <x v="1"/>
    <s v="Lahore"/>
    <n v="3020000736"/>
    <s v="Lady  Aitchison Hospital"/>
    <m/>
    <s v="opp eye ward, Mayo Hospital Rd, data ganj buksh town lahore"/>
    <s v="0345-0439404"/>
    <s v="info@kemu.edu.pk"/>
    <s v="9021032-8"/>
    <m/>
    <n v="1197250"/>
    <n v="29"/>
    <n v="247788"/>
    <m/>
    <m/>
    <m/>
    <m/>
    <m/>
    <m/>
    <m/>
    <m/>
    <m/>
    <m/>
    <m/>
    <m/>
    <m/>
    <m/>
    <m/>
    <m/>
    <m/>
    <m/>
    <m/>
    <m/>
    <m/>
    <m/>
    <m/>
    <m/>
    <m/>
    <m/>
    <s v="Behind track"/>
    <n v="1"/>
    <s v="Placed"/>
    <m/>
    <m/>
    <m/>
    <m/>
    <m/>
    <m/>
    <m/>
    <m/>
    <m/>
    <m/>
    <m/>
    <m/>
    <n v="0"/>
    <n v="2973746"/>
    <n v="0"/>
    <n v="0"/>
    <n v="0"/>
    <n v="0"/>
    <n v="0"/>
    <n v="0"/>
    <n v="0"/>
    <n v="0"/>
    <n v="0"/>
    <n v="0"/>
    <n v="0"/>
    <n v="2973746"/>
    <n v="0"/>
    <n v="0"/>
    <n v="0"/>
    <n v="0"/>
    <n v="0"/>
  </r>
  <r>
    <s v="Hammad Noor"/>
    <s v="Boule"/>
    <s v="Swelab Alfa Plus Standard"/>
    <n v="15001967"/>
    <s v="Hematology "/>
    <s v="AR # 300406"/>
    <m/>
    <n v="125199"/>
    <m/>
    <m/>
    <s v="19.08.2025"/>
    <m/>
    <s v="backup"/>
    <x v="2"/>
    <x v="1"/>
    <s v="Lahore"/>
    <n v="3020000736"/>
    <s v="Lady  Aitchison Hospital"/>
    <m/>
    <m/>
    <m/>
    <m/>
    <m/>
    <m/>
    <n v="1197250"/>
    <n v="37"/>
    <n v="217071"/>
    <m/>
    <m/>
    <m/>
    <m/>
    <m/>
    <m/>
    <m/>
    <m/>
    <m/>
    <m/>
    <m/>
    <m/>
    <m/>
    <m/>
    <m/>
    <m/>
    <m/>
    <m/>
    <m/>
    <m/>
    <m/>
    <m/>
    <m/>
    <m/>
    <m/>
    <m/>
    <s v="New Installation"/>
    <n v="1"/>
    <s v="Placed"/>
    <m/>
    <m/>
    <m/>
    <m/>
    <m/>
    <m/>
    <m/>
    <m/>
    <m/>
    <m/>
    <m/>
    <m/>
    <n v="0"/>
    <m/>
    <m/>
    <m/>
    <m/>
    <m/>
    <m/>
    <m/>
    <m/>
    <m/>
    <m/>
    <m/>
    <m/>
    <n v="0"/>
    <n v="0"/>
    <n v="0"/>
    <n v="0"/>
    <n v="0"/>
    <n v="0"/>
  </r>
  <r>
    <s v="Hammad Noor"/>
    <s v="Boule"/>
    <s v="Swelab Alfa Plus Standard"/>
    <n v="15001967"/>
    <s v="Hematology"/>
    <n v="3002000095"/>
    <m/>
    <n v="123220"/>
    <m/>
    <m/>
    <s v="25.04.2025"/>
    <s v="Not Available"/>
    <m/>
    <x v="0"/>
    <x v="1"/>
    <s v="Faisalabad"/>
    <n v="3020000753"/>
    <s v="Children's Hospital Faisalabad"/>
    <s v="N/A"/>
    <s v="GC university jhung road, new campus punjab, Faisalabad"/>
    <s v="041-9203055"/>
    <s v="chfsdpk@gmail.com"/>
    <s v="9020784-3"/>
    <m/>
    <n v="1000000"/>
    <n v="27"/>
    <n v="60135"/>
    <m/>
    <m/>
    <m/>
    <m/>
    <m/>
    <m/>
    <m/>
    <m/>
    <m/>
    <m/>
    <m/>
    <m/>
    <m/>
    <m/>
    <m/>
    <m/>
    <m/>
    <m/>
    <m/>
    <m/>
    <m/>
    <m/>
    <m/>
    <m/>
    <m/>
    <m/>
    <s v="Pull BAck"/>
    <n v="1"/>
    <s v="Placed"/>
    <m/>
    <m/>
    <m/>
    <m/>
    <m/>
    <m/>
    <m/>
    <m/>
    <m/>
    <m/>
    <n v="343814"/>
    <m/>
    <n v="343814"/>
    <n v="687627"/>
    <n v="0"/>
    <n v="0"/>
    <n v="311017"/>
    <n v="0"/>
    <n v="0"/>
    <n v="212627.11"/>
    <n v="0"/>
    <n v="0"/>
    <m/>
    <m/>
    <m/>
    <n v="1211271.1099999999"/>
    <n v="0"/>
    <n v="0"/>
    <n v="0"/>
    <n v="0"/>
    <n v="42525.421999999999"/>
  </r>
  <r>
    <s v="Hammad Noor"/>
    <s v="YHLO"/>
    <s v="iFlash 1200"/>
    <n v="15002553"/>
    <s v="Immunoassay"/>
    <s v="AR # 300294"/>
    <s v="Transferred from demo"/>
    <s v="ID00152044"/>
    <m/>
    <m/>
    <s v="26.03.2025"/>
    <m/>
    <m/>
    <x v="0"/>
    <x v="2"/>
    <s v="Rawalpindi"/>
    <n v="3020000764"/>
    <s v="BioPath Lab &amp;  Diagnostic Centre"/>
    <m/>
    <s v="Kashmir Gate Plaza Opp, Benazir Bhutto Hospital Murree Road, Punjab"/>
    <s v="0321-5330543 &amp; 051-4455204"/>
    <s v="dmadeemikram@gmail.com"/>
    <m/>
    <s v="37405-8526258-7"/>
    <n v="2915000"/>
    <n v="32"/>
    <n v="305347"/>
    <m/>
    <m/>
    <m/>
    <m/>
    <m/>
    <m/>
    <m/>
    <m/>
    <m/>
    <m/>
    <m/>
    <m/>
    <m/>
    <m/>
    <m/>
    <m/>
    <m/>
    <m/>
    <m/>
    <m/>
    <m/>
    <m/>
    <m/>
    <m/>
    <m/>
    <m/>
    <s v="Behind Track "/>
    <n v="1"/>
    <s v="Placed"/>
    <m/>
    <m/>
    <m/>
    <m/>
    <m/>
    <m/>
    <m/>
    <m/>
    <m/>
    <m/>
    <m/>
    <m/>
    <n v="0"/>
    <n v="248200"/>
    <n v="76800"/>
    <n v="332400"/>
    <n v="0"/>
    <n v="0"/>
    <n v="184400"/>
    <n v="129400"/>
    <n v="0"/>
    <n v="179500"/>
    <n v="17500"/>
    <n v="75800"/>
    <n v="348380"/>
    <n v="1592380"/>
    <n v="0"/>
    <n v="0"/>
    <n v="0"/>
    <n v="0"/>
    <n v="93822.5"/>
  </r>
  <r>
    <s v="Jahangir Jalil"/>
    <s v="OCD"/>
    <s v="Vitros 3600"/>
    <n v="15002758"/>
    <s v="Immunoassay"/>
    <n v="3002000026"/>
    <s v="N/A"/>
    <n v="36001150"/>
    <s v="17.05.2023"/>
    <s v="13.04.2023"/>
    <s v="13.04.2023"/>
    <s v="Available"/>
    <m/>
    <x v="6"/>
    <x v="1"/>
    <s v="Lahore"/>
    <n v="3020000771"/>
    <s v="Gulab devi Hosp. Lahore"/>
    <s v="Govt. Hospital_x0009_"/>
    <s v="Ferozepur Road, Lahore"/>
    <s v="042-99230312"/>
    <s v="gulabdevi@hotmail.com"/>
    <s v="4022666-2"/>
    <m/>
    <n v="16350883"/>
    <n v="28"/>
    <n v="1316953"/>
    <m/>
    <m/>
    <m/>
    <m/>
    <s v="stock unavailable"/>
    <m/>
    <s v="stock unavailable"/>
    <s v="Due to stocks issue instrument is working at low volume . Customer will shift the maximum workload once shipment arrived . In Q4 we will cover the deficit "/>
    <s v="Waiting for Inventory &amp; then invoice execution "/>
    <m/>
    <s v="New PO has been generated ,waiting for shipment "/>
    <s v="Waiting for Invoice "/>
    <m/>
    <s v="Waiting for Invoice "/>
    <s v="One po is in proceeded and waiting for another new order"/>
    <m/>
    <m/>
    <m/>
    <s v="we are re-negotiating the contract - going to place vitros ECIQ due to multiple issues with vitros 3600 "/>
    <m/>
    <s v="Revised case"/>
    <m/>
    <m/>
    <m/>
    <m/>
    <m/>
    <s v="Pull Back to WH"/>
    <m/>
    <s v="Closed"/>
    <n v="173231"/>
    <n v="154319"/>
    <n v="0"/>
    <n v="474372"/>
    <n v="0"/>
    <n v="0"/>
    <n v="83518"/>
    <n v="207188"/>
    <n v="329913"/>
    <n v="0"/>
    <n v="223703"/>
    <n v="267777"/>
    <n v="1914021"/>
    <n v="0"/>
    <n v="-114525"/>
    <n v="-376955"/>
    <n v="0"/>
    <n v="0"/>
    <n v="0"/>
    <n v="0"/>
    <n v="0"/>
    <n v="0"/>
    <n v="0"/>
    <m/>
    <m/>
    <n v="-491480"/>
    <m/>
    <m/>
    <m/>
    <n v="0"/>
    <n v="0"/>
  </r>
  <r>
    <s v="Hammad Noor"/>
    <s v="YHLO"/>
    <s v="iFlash 1200"/>
    <n v="15002553"/>
    <s v="Immunoassay"/>
    <n v="3002000106"/>
    <s v="Transferred from demo"/>
    <s v="ID00175547"/>
    <m/>
    <m/>
    <s v="13.05.2025"/>
    <m/>
    <m/>
    <x v="0"/>
    <x v="1"/>
    <s v="Lahore"/>
    <n v="3020000771"/>
    <s v="Gulab Devi Chest Hospital"/>
    <m/>
    <s v="Near Children Hospital Ferozepur Road, Punjab"/>
    <s v="0345-4281596 &amp; 042-99230247"/>
    <s v="gulabdevi@hotmail.com"/>
    <s v="4022666-2"/>
    <m/>
    <n v="2615000"/>
    <n v="36"/>
    <n v="124814"/>
    <m/>
    <m/>
    <m/>
    <m/>
    <m/>
    <m/>
    <m/>
    <m/>
    <m/>
    <m/>
    <m/>
    <m/>
    <m/>
    <m/>
    <m/>
    <m/>
    <m/>
    <m/>
    <m/>
    <m/>
    <m/>
    <m/>
    <m/>
    <m/>
    <m/>
    <m/>
    <s v="on Track"/>
    <n v="1"/>
    <s v="Placed"/>
    <m/>
    <m/>
    <m/>
    <m/>
    <m/>
    <m/>
    <m/>
    <m/>
    <m/>
    <m/>
    <m/>
    <m/>
    <n v="0"/>
    <m/>
    <m/>
    <m/>
    <m/>
    <n v="527997"/>
    <n v="0"/>
    <n v="0"/>
    <n v="411462"/>
    <n v="0"/>
    <m/>
    <n v="328080"/>
    <m/>
    <n v="1267539"/>
    <n v="337476"/>
    <n v="0"/>
    <n v="0"/>
    <n v="337476"/>
    <n v="179503"/>
  </r>
  <r>
    <s v="Jahangir Jalil"/>
    <s v="Erba"/>
    <s v="Laura XL"/>
    <n v="15002673"/>
    <s v="Urine Analyzer"/>
    <n v="3002000030"/>
    <s v="N/A"/>
    <s v="0034-X2-230818"/>
    <s v="29.05.2023"/>
    <s v="30.03.2023"/>
    <s v="19.05.2023"/>
    <s v="Available"/>
    <m/>
    <x v="1"/>
    <x v="1"/>
    <s v="Lahore"/>
    <n v="3020000776"/>
    <s v="The Medical Lab Lahore"/>
    <s v="Dr. Zeenat Hussain"/>
    <s v="34-Lawrence Road, Lahore"/>
    <s v="042-35912882"/>
    <s v="zeenatlaboratory@gmail.com_x0009_"/>
    <s v="2302878-5"/>
    <m/>
    <n v="2500000"/>
    <n v="13"/>
    <n v="643570"/>
    <m/>
    <m/>
    <m/>
    <m/>
    <s v="stock unavailable"/>
    <m/>
    <s v="stock unavailable"/>
    <s v="Due to stocks issue instrument is working at low volume . Customer will shift the maximum workload once shipment arrived . In Q4 we will cover the deficit "/>
    <s v="Business is not as per comitment "/>
    <s v="Going to return the equipment in this month "/>
    <m/>
    <m/>
    <m/>
    <m/>
    <m/>
    <m/>
    <m/>
    <m/>
    <s v="Lab has been closed due to poor health of Dr. Zeenat. Machine will be pulled back within April"/>
    <m/>
    <s v="Returned to Warehouse "/>
    <m/>
    <m/>
    <s v="No sales after may 23"/>
    <m/>
    <m/>
    <m/>
    <m/>
    <m/>
    <m/>
    <m/>
    <m/>
    <m/>
    <n v="0"/>
    <m/>
    <m/>
    <m/>
    <m/>
    <m/>
    <m/>
    <m/>
    <n v="0"/>
    <m/>
    <m/>
    <m/>
    <m/>
    <m/>
    <m/>
    <m/>
    <m/>
    <m/>
    <m/>
    <m/>
    <m/>
    <n v="0"/>
    <m/>
    <m/>
    <m/>
    <n v="0"/>
    <n v="0"/>
  </r>
  <r>
    <s v="Jahangir Jalil"/>
    <s v="Erba"/>
    <s v="EC90"/>
    <n v="15002674"/>
    <s v="Electrolyte Analyzer"/>
    <m/>
    <m/>
    <m/>
    <m/>
    <m/>
    <s v="12.09.2025"/>
    <m/>
    <m/>
    <x v="0"/>
    <x v="0"/>
    <s v="Karachi"/>
    <n v="3020000811"/>
    <s v="Hopes Diagnostics"/>
    <m/>
    <m/>
    <m/>
    <m/>
    <m/>
    <m/>
    <n v="593821"/>
    <n v="18"/>
    <n v="80770"/>
    <m/>
    <m/>
    <m/>
    <m/>
    <m/>
    <m/>
    <m/>
    <m/>
    <m/>
    <m/>
    <m/>
    <m/>
    <m/>
    <m/>
    <m/>
    <m/>
    <m/>
    <m/>
    <m/>
    <m/>
    <m/>
    <m/>
    <m/>
    <m/>
    <m/>
    <m/>
    <s v="Pull Back check with WH"/>
    <n v="1"/>
    <m/>
    <m/>
    <m/>
    <m/>
    <m/>
    <m/>
    <m/>
    <m/>
    <m/>
    <m/>
    <m/>
    <m/>
    <m/>
    <n v="0"/>
    <m/>
    <m/>
    <m/>
    <m/>
    <m/>
    <m/>
    <m/>
    <m/>
    <n v="112700"/>
    <m/>
    <m/>
    <m/>
    <n v="112700"/>
    <n v="0"/>
    <n v="0"/>
    <n v="0"/>
    <n v="0"/>
    <n v="37566.666666666664"/>
  </r>
  <r>
    <s v="Jahangir Jalil"/>
    <s v="Erba"/>
    <s v="Laura Semi Automatic"/>
    <n v="15002671"/>
    <s v="Urine Analyzer"/>
    <m/>
    <m/>
    <m/>
    <m/>
    <m/>
    <s v="12.09.2025"/>
    <m/>
    <m/>
    <x v="0"/>
    <x v="0"/>
    <s v="Karachi"/>
    <n v="3020000811"/>
    <s v="Hopes Diagnostics"/>
    <m/>
    <m/>
    <m/>
    <m/>
    <m/>
    <m/>
    <n v="401644"/>
    <n v="18"/>
    <n v="42750"/>
    <m/>
    <m/>
    <m/>
    <m/>
    <m/>
    <m/>
    <m/>
    <m/>
    <m/>
    <m/>
    <m/>
    <m/>
    <m/>
    <m/>
    <m/>
    <m/>
    <m/>
    <m/>
    <m/>
    <m/>
    <m/>
    <m/>
    <m/>
    <m/>
    <m/>
    <m/>
    <s v="behind track need followup"/>
    <n v="1"/>
    <s v="Placed"/>
    <m/>
    <m/>
    <m/>
    <m/>
    <m/>
    <m/>
    <m/>
    <m/>
    <m/>
    <m/>
    <m/>
    <m/>
    <n v="0"/>
    <m/>
    <m/>
    <m/>
    <m/>
    <m/>
    <m/>
    <m/>
    <m/>
    <n v="29500"/>
    <m/>
    <n v="20000"/>
    <m/>
    <n v="49500"/>
    <n v="0"/>
    <n v="0"/>
    <n v="0"/>
    <n v="0"/>
    <n v="12375"/>
  </r>
  <r>
    <s v="Jahangir Jalil"/>
    <s v="Stago"/>
    <s v="START MAX"/>
    <n v="15003000"/>
    <s v="coagulation"/>
    <m/>
    <m/>
    <m/>
    <m/>
    <m/>
    <s v="12.09.2025"/>
    <m/>
    <m/>
    <x v="1"/>
    <x v="0"/>
    <s v="Karachi"/>
    <n v="3020000811"/>
    <s v="Hopes Diagnostics"/>
    <m/>
    <m/>
    <m/>
    <m/>
    <m/>
    <m/>
    <n v="823735"/>
    <n v="17"/>
    <n v="114156"/>
    <m/>
    <m/>
    <m/>
    <m/>
    <m/>
    <m/>
    <m/>
    <m/>
    <m/>
    <m/>
    <m/>
    <m/>
    <m/>
    <m/>
    <m/>
    <m/>
    <m/>
    <m/>
    <m/>
    <m/>
    <m/>
    <m/>
    <m/>
    <m/>
    <m/>
    <m/>
    <s v="Ned to be checked with WH"/>
    <m/>
    <m/>
    <m/>
    <m/>
    <m/>
    <m/>
    <m/>
    <m/>
    <m/>
    <m/>
    <m/>
    <m/>
    <m/>
    <m/>
    <n v="0"/>
    <m/>
    <m/>
    <m/>
    <m/>
    <m/>
    <m/>
    <m/>
    <m/>
    <n v="187800"/>
    <n v="28500"/>
    <m/>
    <m/>
    <n v="216300"/>
    <m/>
    <m/>
    <m/>
    <n v="0"/>
    <n v="108150"/>
  </r>
  <r>
    <s v="Hammad Noor"/>
    <s v="YHLO"/>
    <s v="iFlash 1200"/>
    <n v="15002553"/>
    <s v="Immunoassay"/>
    <n v="3002000029"/>
    <s v="N/A"/>
    <s v="ID00030225"/>
    <s v="27.01.2023"/>
    <s v="01.11.2023"/>
    <s v="27.02.2023"/>
    <s v="Available"/>
    <m/>
    <x v="0"/>
    <x v="1"/>
    <s v="Lahore"/>
    <n v="3020000816"/>
    <s v="Masood Hospital "/>
    <s v="Dr. Anwar Masood"/>
    <s v="99-Garden Block, Garden Town, Lahore"/>
    <s v="042-111627663"/>
    <s v="info@masoodhospital.com"/>
    <s v="1520150-3"/>
    <m/>
    <n v="1962000"/>
    <n v="10"/>
    <n v="458397"/>
    <m/>
    <m/>
    <s v="Sales on track"/>
    <s v="Stock unavailable, although invoiced "/>
    <s v="stock unavailable"/>
    <s v="0.5 Mio invioce has been recieved in july "/>
    <s v="LC delay, Order invoiced in August worth 0.8 Mio"/>
    <s v=" They have Started Infectious panel on Iflash .It will significanly impact our Sales in Q4 we will not only cover the gap but surpass the comitment ."/>
    <s v="600,000 order Received "/>
    <s v="Started new parameters businesss gap will be mitigate in next three months "/>
    <m/>
    <m/>
    <m/>
    <m/>
    <m/>
    <m/>
    <m/>
    <m/>
    <s v="Sales are on track"/>
    <m/>
    <m/>
    <m/>
    <m/>
    <m/>
    <m/>
    <m/>
    <s v="Behind Track Followup"/>
    <n v="1"/>
    <s v="Placed"/>
    <n v="138967.22"/>
    <n v="548950.83000000007"/>
    <n v="135622.95000000001"/>
    <n v="473500"/>
    <n v="99000"/>
    <n v="513500"/>
    <n v="290983.63"/>
    <n v="76229.52"/>
    <n v="696041.02"/>
    <n v="485140"/>
    <n v="0"/>
    <n v="428696.75"/>
    <n v="3886631.92"/>
    <n v="403811.49999999994"/>
    <n v="0"/>
    <n v="449950.73"/>
    <n v="567279"/>
    <n v="0"/>
    <n v="49500"/>
    <n v="0"/>
    <n v="258483.59"/>
    <n v="0"/>
    <n v="87516"/>
    <n v="57000"/>
    <m/>
    <n v="1873540.82"/>
    <n v="21000"/>
    <n v="79754"/>
    <m/>
    <n v="100754"/>
    <n v="71964.798571428561"/>
  </r>
  <r>
    <s v="Jahangir Jalil"/>
    <s v="Nova"/>
    <s v="Nova Prime CCS"/>
    <n v="15002705"/>
    <s v="Arterial Blood Gas Analyzer"/>
    <s v="AR # 300287"/>
    <m/>
    <s v="P079240350C"/>
    <m/>
    <m/>
    <s v="14.05.2025"/>
    <m/>
    <m/>
    <x v="0"/>
    <x v="1"/>
    <s v="Lahore"/>
    <n v="3020000823"/>
    <s v="Ghurki Trust Teaching Hospital"/>
    <m/>
    <s v="Band road, GT road, bhurki road link, Jallo more, Punjab"/>
    <s v="0304-4029935"/>
    <s v="hr@ghurkitrust.org.pk"/>
    <s v="1801763-7"/>
    <m/>
    <n v="2164000"/>
    <n v="27"/>
    <n v="292900"/>
    <m/>
    <m/>
    <m/>
    <m/>
    <m/>
    <m/>
    <m/>
    <m/>
    <m/>
    <m/>
    <m/>
    <m/>
    <m/>
    <m/>
    <m/>
    <m/>
    <m/>
    <m/>
    <m/>
    <m/>
    <m/>
    <m/>
    <m/>
    <m/>
    <m/>
    <m/>
    <s v="behind track need followup"/>
    <n v="1"/>
    <s v="Placed"/>
    <m/>
    <m/>
    <m/>
    <m/>
    <m/>
    <m/>
    <m/>
    <m/>
    <m/>
    <m/>
    <m/>
    <m/>
    <n v="0"/>
    <m/>
    <m/>
    <m/>
    <m/>
    <n v="0"/>
    <n v="382700"/>
    <n v="0"/>
    <n v="247700"/>
    <n v="495400"/>
    <m/>
    <n v="357700"/>
    <n v="135000"/>
    <n v="1618500"/>
    <n v="225400"/>
    <n v="0"/>
    <n v="247700"/>
    <n v="473100"/>
    <n v="208742.85714285713"/>
  </r>
  <r>
    <s v="Hammad Noor"/>
    <s v="Dymind"/>
    <s v="DYMIND DH-76"/>
    <n v="15003243"/>
    <s v="Hematology "/>
    <n v="3002000094"/>
    <m/>
    <s v="DM11052408003"/>
    <m/>
    <s v="12.07.2024"/>
    <s v="4.25.2025"/>
    <s v="Available"/>
    <m/>
    <x v="4"/>
    <x v="1"/>
    <s v="Lahore"/>
    <n v="3020000823"/>
    <s v="Ghurki Trust Teaching Hospital"/>
    <m/>
    <s v="Band road, GT road, bhurki road link, Jallo more, Punjab"/>
    <s v="0304-4029935"/>
    <s v="hr@ghurkitrust.org.pk"/>
    <s v="1801763-7"/>
    <m/>
    <n v="2324427"/>
    <n v="18"/>
    <n v="166828"/>
    <m/>
    <m/>
    <m/>
    <m/>
    <m/>
    <m/>
    <m/>
    <m/>
    <m/>
    <m/>
    <m/>
    <m/>
    <m/>
    <m/>
    <m/>
    <m/>
    <m/>
    <m/>
    <e v="#N/A"/>
    <m/>
    <m/>
    <m/>
    <m/>
    <m/>
    <m/>
    <m/>
    <s v="Supply issue due to DRAP registration followup"/>
    <m/>
    <s v="Placed"/>
    <m/>
    <m/>
    <m/>
    <m/>
    <m/>
    <m/>
    <m/>
    <n v="88500"/>
    <n v="0"/>
    <n v="91500"/>
    <n v="0"/>
    <n v="115500"/>
    <n v="295500"/>
    <n v="0"/>
    <n v="0"/>
    <n v="0"/>
    <n v="0"/>
    <n v="0"/>
    <n v="0"/>
    <n v="0"/>
    <n v="0"/>
    <n v="0"/>
    <m/>
    <m/>
    <m/>
    <n v="0"/>
    <m/>
    <m/>
    <m/>
    <n v="0"/>
    <n v="0"/>
  </r>
  <r>
    <s v="Jahangir Jalil"/>
    <s v="Stago"/>
    <s v="STA SATELLITE MAX"/>
    <n v="15003000"/>
    <s v="Coagulation Analyzer"/>
    <n v="3002000069"/>
    <m/>
    <n v="1588"/>
    <m/>
    <m/>
    <s v="05.01.2024"/>
    <s v="Available"/>
    <m/>
    <x v="0"/>
    <x v="0"/>
    <s v="Karachi"/>
    <n v="3020000845"/>
    <s v="National institue of Child Health"/>
    <m/>
    <s v="Rafique Shaheed Road, Near Jinnah Post Graduate Medical Center Karachi"/>
    <s v="0308-2343292,  021-99201261"/>
    <s v="sairaerum696@gmail.com"/>
    <s v="9031234-4"/>
    <m/>
    <n v="5459835"/>
    <n v="37"/>
    <n v="742864"/>
    <m/>
    <m/>
    <m/>
    <m/>
    <m/>
    <m/>
    <m/>
    <m/>
    <m/>
    <m/>
    <m/>
    <m/>
    <m/>
    <m/>
    <m/>
    <m/>
    <m/>
    <m/>
    <e v="#N/A"/>
    <m/>
    <m/>
    <m/>
    <m/>
    <s v="Will be placed"/>
    <m/>
    <m/>
    <s v="on Track"/>
    <n v="1"/>
    <s v="Placed"/>
    <m/>
    <m/>
    <m/>
    <m/>
    <m/>
    <m/>
    <m/>
    <m/>
    <m/>
    <n v="479000"/>
    <n v="0"/>
    <n v="977400"/>
    <n v="1456400"/>
    <n v="0"/>
    <n v="0"/>
    <n v="673200"/>
    <n v="0"/>
    <n v="852100"/>
    <n v="0"/>
    <n v="1357800"/>
    <n v="-160800"/>
    <n v="0"/>
    <m/>
    <m/>
    <n v="5229900"/>
    <n v="7952200"/>
    <n v="0"/>
    <n v="0"/>
    <n v="0"/>
    <n v="0"/>
    <n v="535575"/>
  </r>
  <r>
    <s v="Jahangir Jalil"/>
    <s v="Nova"/>
    <s v="Nova Prime CSS"/>
    <n v="15002705"/>
    <s v="Arterial Blood Gas Analyzer"/>
    <n v="3002000079"/>
    <m/>
    <s v="P072230210C"/>
    <m/>
    <m/>
    <s v="27.08.2024"/>
    <s v="Not Available"/>
    <m/>
    <x v="0"/>
    <x v="2"/>
    <s v="Islamabad"/>
    <n v="3020000881"/>
    <s v="Akbar Niazi Teaching Hospital"/>
    <m/>
    <s v="Main Murree Road, 17 Mile, Barakahu, Capital Territory Islamabad"/>
    <s v="051-8153000, 0333-5233390"/>
    <s v="shafique.abbasi@imdcollege.edu.pk"/>
    <s v="4694571-5"/>
    <s v="N/A"/>
    <n v="2120000"/>
    <n v="28"/>
    <n v="270000"/>
    <m/>
    <m/>
    <m/>
    <m/>
    <m/>
    <m/>
    <m/>
    <m/>
    <m/>
    <m/>
    <m/>
    <m/>
    <m/>
    <m/>
    <m/>
    <m/>
    <m/>
    <m/>
    <e v="#N/A"/>
    <m/>
    <m/>
    <m/>
    <m/>
    <m/>
    <m/>
    <m/>
    <s v="Behind track"/>
    <n v="1"/>
    <s v="Placed"/>
    <m/>
    <m/>
    <m/>
    <m/>
    <m/>
    <m/>
    <m/>
    <m/>
    <m/>
    <m/>
    <n v="270000"/>
    <n v="100000"/>
    <n v="370000"/>
    <n v="710000"/>
    <n v="270000"/>
    <n v="0"/>
    <n v="0"/>
    <n v="0"/>
    <n v="345000"/>
    <n v="270000"/>
    <n v="270000"/>
    <n v="270000"/>
    <m/>
    <m/>
    <n v="569000"/>
    <n v="2704000"/>
    <n v="0"/>
    <n v="170000"/>
    <m/>
    <n v="170000"/>
    <n v="258166.66666666666"/>
  </r>
  <r>
    <s v="Jahangir Jalil"/>
    <s v="Stago"/>
    <s v="STA SATELLITE MAX"/>
    <n v="15003000"/>
    <s v="Coagulation Analyzer"/>
    <n v="3002000101"/>
    <m/>
    <n v="1613"/>
    <m/>
    <m/>
    <s v="14.05.2025"/>
    <m/>
    <m/>
    <x v="0"/>
    <x v="2"/>
    <s v="Islamabad"/>
    <n v="3020000881"/>
    <s v="Akbar Niazi Teaching Hospital"/>
    <m/>
    <s v="Main Murree Road, 17 Mile, Barakahu, Capital Territory Islamabad"/>
    <s v="051-8153000, 0333-5233390"/>
    <s v="shafique.abbasi@imdcollege.edu.pk"/>
    <s v="4694571-5"/>
    <s v="N/A"/>
    <n v="3592655"/>
    <n v="36"/>
    <n v="314974"/>
    <m/>
    <m/>
    <m/>
    <m/>
    <m/>
    <m/>
    <m/>
    <m/>
    <m/>
    <m/>
    <m/>
    <m/>
    <m/>
    <m/>
    <m/>
    <m/>
    <m/>
    <m/>
    <m/>
    <m/>
    <m/>
    <m/>
    <m/>
    <m/>
    <m/>
    <m/>
    <s v="on Track"/>
    <n v="1"/>
    <s v="Placed"/>
    <m/>
    <m/>
    <m/>
    <m/>
    <m/>
    <m/>
    <m/>
    <m/>
    <m/>
    <m/>
    <m/>
    <n v="234200"/>
    <n v="234200"/>
    <n v="470800"/>
    <n v="1920800"/>
    <n v="0"/>
    <n v="0"/>
    <n v="0"/>
    <n v="393800"/>
    <n v="309500"/>
    <n v="455500"/>
    <n v="0"/>
    <n v="0"/>
    <m/>
    <n v="206000"/>
    <n v="3756400"/>
    <n v="0"/>
    <n v="189000"/>
    <m/>
    <n v="189000"/>
    <n v="165714.28571428571"/>
  </r>
  <r>
    <s v="Hammad Noor"/>
    <s v="YHLO"/>
    <s v="iFlash 1200"/>
    <n v="15002553"/>
    <s v="Immunoassay"/>
    <n v="3002000013"/>
    <s v="Machine has been returned from KKF to warehouse against asset # 3002000013 on dated 27.11.2023"/>
    <s v="ID00026724"/>
    <s v="12.08.2022"/>
    <s v="27.07.2022"/>
    <s v="08.05.2022"/>
    <s v="Available"/>
    <m/>
    <x v="1"/>
    <x v="0"/>
    <s v="Karachi"/>
    <n v="3020000888"/>
    <s v="KKF"/>
    <s v="Masood Ahmed Khan"/>
    <s v="179, C.P. &amp; Berar Society Cp &amp; Berar Chs, Karachi, Karachi City, Sindh"/>
    <s v="N/A"/>
    <s v="medciagnostic19@gmail.com"/>
    <s v="0944239-1"/>
    <m/>
    <n v="1700000"/>
    <n v="6"/>
    <n v="786668.28"/>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s v="machine was taken back &amp; placed at KKF first week of August"/>
    <s v="We've decided to pull back our equipment and it'll be placed to another customer (KKF Blood Bank - Karachi). Business Case will be submitted to get approval."/>
    <s v="machine has been pulled back"/>
    <m/>
    <m/>
    <m/>
    <m/>
    <m/>
    <m/>
    <m/>
    <s v="Machine Move to Quetta"/>
    <s v="Machine Move to Quetta yaseen Hospital "/>
    <s v="Business case revision to be submitted"/>
    <m/>
    <s v="This machine was pullback and business case in under process, will be installed in quetta."/>
    <m/>
    <m/>
    <m/>
    <m/>
    <m/>
    <m/>
    <m/>
    <m/>
    <m/>
    <m/>
    <m/>
    <m/>
    <m/>
    <m/>
    <m/>
    <m/>
    <m/>
    <m/>
    <m/>
    <m/>
    <n v="0"/>
    <m/>
    <m/>
    <m/>
    <m/>
    <m/>
    <m/>
    <m/>
    <m/>
    <m/>
    <m/>
    <n v="0"/>
    <m/>
    <n v="0"/>
    <m/>
    <m/>
    <m/>
    <n v="0"/>
    <n v="0"/>
  </r>
  <r>
    <s v="Jahangir Jalil"/>
    <s v="OCD"/>
    <s v="Vitros ECiQ Immunodiagnostic System"/>
    <n v="15002760"/>
    <s v="Immunoassay"/>
    <n v="3002000024"/>
    <s v="N/A"/>
    <n v="30006173"/>
    <s v="01.06.2023"/>
    <s v="12.12.2022"/>
    <s v="12.12.2022"/>
    <s v="Available"/>
    <m/>
    <x v="1"/>
    <x v="0"/>
    <s v="Karachi"/>
    <n v="3020000888"/>
    <s v="KKF "/>
    <s v="Dr. Sheikh Abdul Ahad"/>
    <s v="St-7,Block 14,F.B Area Gulberg, Karachi"/>
    <s v="021-36323839 / 021-111222553"/>
    <s v="Not Available"/>
    <s v="4315201-5"/>
    <m/>
    <n v="9297200"/>
    <n v="31"/>
    <n v="967223"/>
    <m/>
    <m/>
    <s v="Reagents Not available"/>
    <s v="Partial items received, already processed the orders"/>
    <s v="machine out of order"/>
    <m/>
    <s v="LC delay, Order invoiced in August worth 0.8 Mio"/>
    <s v=" They have Started Infectious panel on Iflash .It will significanly impact our Sales in Q4 we will not only cover the gap but surpass the comitment ."/>
    <s v="Equipment has been functional now."/>
    <s v="Waiting to receive the PO on new prices"/>
    <s v="Revised business case has been sent to Mr, Irfan for further approvals"/>
    <s v="Order received for Sep 2023 and its on hold."/>
    <m/>
    <m/>
    <m/>
    <m/>
    <s v="M"/>
    <s v="Machine was not opperational 3 months"/>
    <s v="Business case submitted, machine was not operational due to parts arount 6 months."/>
    <m/>
    <s v="Order received, from next month customer is commited to give business of 0.7-0.8M otherwis will increase prices. right now due to non avaiablty of reagent we didnt fullfill complete PO/"/>
    <s v="Sales will be on track in coming 2 months"/>
    <m/>
    <s v="no sales in june july"/>
    <m/>
    <m/>
    <m/>
    <m/>
    <m/>
    <n v="422557.39"/>
    <m/>
    <m/>
    <n v="422557.39"/>
    <n v="585934.43000000005"/>
    <m/>
    <m/>
    <m/>
    <m/>
    <m/>
    <m/>
    <m/>
    <n v="1431049.21"/>
    <m/>
    <m/>
    <m/>
    <m/>
    <m/>
    <m/>
    <m/>
    <m/>
    <m/>
    <m/>
    <m/>
    <m/>
    <n v="0"/>
    <m/>
    <m/>
    <m/>
    <n v="0"/>
    <n v="0"/>
  </r>
  <r>
    <s v="Hammad Noor"/>
    <s v="YHLO"/>
    <s v="iFlash 1200"/>
    <n v="15002553"/>
    <s v="Immunoassay"/>
    <n v="3002000060"/>
    <s v="N/A"/>
    <s v="ID00081331"/>
    <s v="13.02.2024 "/>
    <s v="Not mentioned on the agreement "/>
    <s v="02.02.2024"/>
    <s v="Not Available"/>
    <m/>
    <x v="1"/>
    <x v="0"/>
    <s v="Karachi"/>
    <n v="3020000917"/>
    <s v="D&amp;R Lab"/>
    <m/>
    <s v="Diagnostic &amp; Research Laboratory Near Civil Hospital Hirabad,HYD Sindh Jamshoro"/>
    <s v="0334-0020341"/>
    <s v="fehandio@gmail.com"/>
    <s v="9030415-2"/>
    <m/>
    <n v="2868545"/>
    <n v="19"/>
    <n v="702513"/>
    <m/>
    <m/>
    <m/>
    <m/>
    <m/>
    <m/>
    <m/>
    <m/>
    <m/>
    <m/>
    <m/>
    <m/>
    <m/>
    <m/>
    <m/>
    <m/>
    <m/>
    <m/>
    <m/>
    <m/>
    <s v="Machine was installed in feb, work load totally shifted on iflash, sales will increase by the time "/>
    <m/>
    <m/>
    <m/>
    <m/>
    <m/>
    <s v="Pull BAck"/>
    <n v="1"/>
    <s v="Placed"/>
    <m/>
    <m/>
    <n v="655500"/>
    <n v="20900"/>
    <n v="17711.87"/>
    <n v="25000"/>
    <n v="90400"/>
    <n v="19800"/>
    <n v="0"/>
    <n v="68000"/>
    <n v="0"/>
    <n v="586800"/>
    <n v="1484111.87"/>
    <n v="0"/>
    <n v="79200"/>
    <n v="0"/>
    <n v="0"/>
    <n v="0"/>
    <n v="0"/>
    <n v="0"/>
    <n v="0"/>
    <n v="0"/>
    <m/>
    <n v="0"/>
    <m/>
    <n v="79200"/>
    <m/>
    <m/>
    <m/>
    <n v="0"/>
    <n v="0"/>
  </r>
  <r>
    <s v="Hammad Noor"/>
    <s v="Vital Scientific"/>
    <s v="Selectra PRO M Lite"/>
    <n v="15002128"/>
    <s v="Clinical Chemistry"/>
    <s v="AR#300091"/>
    <m/>
    <m/>
    <m/>
    <s v="30.08.2023"/>
    <s v="16.02.2024"/>
    <s v="Not Available"/>
    <m/>
    <x v="1"/>
    <x v="0"/>
    <s v="larkana/hyderabad"/>
    <n v="3020000917"/>
    <s v="D&amp;R Lab"/>
    <s v="Ikram Hujjan"/>
    <s v="VIP Road Larkana"/>
    <s v="0334-0020341"/>
    <s v="fehandio@gmail.com"/>
    <s v="9030415-2"/>
    <m/>
    <n v="4499722"/>
    <n v="36"/>
    <n v="399013"/>
    <m/>
    <m/>
    <m/>
    <m/>
    <m/>
    <m/>
    <m/>
    <m/>
    <m/>
    <m/>
    <m/>
    <m/>
    <m/>
    <m/>
    <m/>
    <m/>
    <m/>
    <m/>
    <s v="Price/workload revision - till 15 April 2024"/>
    <m/>
    <m/>
    <s v="Order was hold due to payment issue, this is direct customer. by next 2 months sales will be on track"/>
    <m/>
    <m/>
    <m/>
    <m/>
    <m/>
    <m/>
    <m/>
    <m/>
    <m/>
    <n v="616700"/>
    <n v="0"/>
    <n v="681360"/>
    <n v="193000"/>
    <n v="50000"/>
    <n v="0"/>
    <n v="0"/>
    <n v="0"/>
    <n v="0"/>
    <n v="0"/>
    <n v="1541060"/>
    <n v="0"/>
    <n v="0"/>
    <n v="0"/>
    <n v="0"/>
    <n v="0"/>
    <n v="0"/>
    <n v="0"/>
    <n v="0"/>
    <n v="0"/>
    <m/>
    <m/>
    <m/>
    <n v="0"/>
    <n v="0"/>
    <m/>
    <m/>
    <n v="0"/>
    <n v="0"/>
  </r>
  <r>
    <s v="Jahangir Jalil"/>
    <s v="OCD"/>
    <s v="Vitros 3600"/>
    <n v="15002758"/>
    <s v="Immunoassay"/>
    <n v="3002000027"/>
    <s v="N/A"/>
    <n v="36001565"/>
    <s v="05.05.2023"/>
    <s v="17.04.2023"/>
    <s v="17.04.2023"/>
    <s v="Available"/>
    <m/>
    <x v="1"/>
    <x v="0"/>
    <s v="Dadu"/>
    <n v="3020000917"/>
    <s v="D&amp;R Lab (Dadu) /Liaquat University Of Medical &amp; Hea"/>
    <s v="N/A"/>
    <s v="Liaqat University of Medical &amp; Health (Jamshoro)"/>
    <s v="0334-0020341"/>
    <s v="fehandio@gmail.com"/>
    <s v="9030415-2"/>
    <m/>
    <n v="16350883"/>
    <n v="29"/>
    <n v="1477881"/>
    <m/>
    <m/>
    <m/>
    <m/>
    <s v="on track "/>
    <m/>
    <s v="deficit will cover in upcoming months"/>
    <s v="They've to comsume remaining reagents of ROCHE, so they are dividing the load. In coming months, deficit will be covered once ROCHE kits has been finished."/>
    <s v="No order received in August 2023"/>
    <s v="Working with customer to get the PO to cover the deficit of August 2023"/>
    <s v="No Orders received in Sep 2023"/>
    <s v="Following up for Over due payments before getting their order"/>
    <m/>
    <m/>
    <m/>
    <m/>
    <s v="Due payment issues"/>
    <s v=" Working to get all over due payment and new PO will process"/>
    <s v="Price revision within April 2024"/>
    <m/>
    <s v="Prices revision in discussion, machine isnt in opertational condiation due to hardware issues."/>
    <m/>
    <m/>
    <s v="no sales in july"/>
    <m/>
    <m/>
    <m/>
    <m/>
    <m/>
    <n v="823288.59"/>
    <n v="0"/>
    <n v="743994.95"/>
    <n v="607700"/>
    <n v="1827500"/>
    <n v="22100"/>
    <n v="0"/>
    <n v="1505200"/>
    <n v="0"/>
    <n v="0"/>
    <n v="1092300"/>
    <n v="299700"/>
    <n v="6921783.54"/>
    <n v="0"/>
    <n v="441000"/>
    <n v="0"/>
    <n v="0"/>
    <m/>
    <m/>
    <m/>
    <m/>
    <m/>
    <m/>
    <m/>
    <m/>
    <n v="441000"/>
    <m/>
    <m/>
    <m/>
    <n v="0"/>
    <n v="0"/>
  </r>
  <r>
    <s v="Jahangir Jalil"/>
    <s v="OCD"/>
    <s v="Vitros 3600"/>
    <n v="15002758"/>
    <s v="Immunoassay"/>
    <n v="3002000027"/>
    <s v="N/A"/>
    <n v="36001565"/>
    <m/>
    <m/>
    <s v="25.04.2025"/>
    <s v="Available"/>
    <m/>
    <x v="5"/>
    <x v="0"/>
    <s v="Dadu"/>
    <n v="3020000917"/>
    <s v="D&amp;R Lab (Dadu) /Liaquat University Of Medical &amp; Hea"/>
    <s v="N/A"/>
    <s v="Liaqat University of Medical &amp; Health (Jamshoro)"/>
    <s v="0334-0020341"/>
    <s v="fehandio@gmail.com"/>
    <s v="9030415-2"/>
    <m/>
    <n v="16465883"/>
    <n v="60"/>
    <n v="864628"/>
    <m/>
    <m/>
    <m/>
    <m/>
    <m/>
    <m/>
    <m/>
    <m/>
    <m/>
    <m/>
    <m/>
    <m/>
    <m/>
    <m/>
    <m/>
    <m/>
    <m/>
    <m/>
    <m/>
    <m/>
    <m/>
    <m/>
    <m/>
    <m/>
    <m/>
    <m/>
    <s v="Pull BAck"/>
    <n v="1"/>
    <s v="Placed"/>
    <n v="823288.59"/>
    <n v="0"/>
    <n v="743994.95"/>
    <n v="607700"/>
    <n v="1827500"/>
    <n v="22100"/>
    <n v="0"/>
    <n v="1505200"/>
    <n v="0"/>
    <n v="0"/>
    <n v="1092300"/>
    <n v="299700"/>
    <n v="6921783.54"/>
    <n v="0"/>
    <n v="441000"/>
    <n v="0"/>
    <n v="0"/>
    <n v="0"/>
    <n v="0"/>
    <n v="0"/>
    <n v="0"/>
    <n v="0"/>
    <n v="0"/>
    <n v="0"/>
    <m/>
    <n v="441000"/>
    <n v="0"/>
    <n v="0"/>
    <n v="0"/>
    <n v="0"/>
    <n v="0"/>
  </r>
  <r>
    <s v="Jahangir Jalil"/>
    <s v="OCD"/>
    <s v="Vitros ECiQ"/>
    <n v="15002759"/>
    <s v="Immunoassay"/>
    <n v="3002000087"/>
    <m/>
    <n v="30006188"/>
    <m/>
    <d v="2023-12-15T00:00:00"/>
    <s v="2.10.2025"/>
    <s v="Available"/>
    <m/>
    <x v="0"/>
    <x v="2"/>
    <s v="Islamabad"/>
    <n v="3020000936"/>
    <s v="Magma International/CDA Islamabad"/>
    <m/>
    <s v="Off 06,2nd Floor Waqar Centre, Canning Road, Saddar, Rawalpindi"/>
    <s v="051-5120050/5521248, 0333-5720322"/>
    <s v="magmapk@yahoo.com"/>
    <m/>
    <s v="35302-1882668-3"/>
    <n v="6818058"/>
    <n v="36"/>
    <n v="392516"/>
    <m/>
    <m/>
    <m/>
    <m/>
    <m/>
    <m/>
    <m/>
    <m/>
    <m/>
    <m/>
    <m/>
    <m/>
    <m/>
    <m/>
    <m/>
    <m/>
    <m/>
    <m/>
    <m/>
    <m/>
    <m/>
    <m/>
    <m/>
    <m/>
    <m/>
    <m/>
    <s v="on Track"/>
    <n v="1"/>
    <s v="Placed"/>
    <n v="955655"/>
    <n v="0"/>
    <n v="61560"/>
    <n v="880770"/>
    <n v="0"/>
    <n v="123080"/>
    <n v="188785"/>
    <n v="0"/>
    <n v="504101"/>
    <n v="573549"/>
    <n v="472661"/>
    <n v="1172180"/>
    <n v="4932341"/>
    <n v="0"/>
    <n v="571455"/>
    <n v="0"/>
    <n v="500320"/>
    <n v="1132725"/>
    <n v="1368005"/>
    <n v="895385"/>
    <n v="481310"/>
    <n v="15980"/>
    <n v="58140"/>
    <m/>
    <m/>
    <n v="5023320"/>
    <n v="511332"/>
    <n v="544884"/>
    <n v="0"/>
    <n v="1056216"/>
    <n v="417838.5"/>
  </r>
  <r>
    <s v="Hammad Noor"/>
    <s v="YHLO"/>
    <s v="iFlash 1200"/>
    <n v="15002553"/>
    <s v="Immunoassay"/>
    <n v="3002000019"/>
    <s v="N/A"/>
    <s v="ID00026524"/>
    <s v="06.09.2022"/>
    <s v="07.14.2022"/>
    <s v="18.07.2022"/>
    <s v="Available"/>
    <m/>
    <x v="1"/>
    <x v="2"/>
    <s v="Abbotobad"/>
    <n v="3020000943"/>
    <s v="Valley Health Care Laborotary "/>
    <s v="MR. KHALID HUSSAIN QURESHI"/>
    <s v="M/S VALLEY HEALTH CARE LABORATORIES,MAIN MANSEHRA ROAD, MIRPUR ABBOTTABAD."/>
    <s v="0345-9236895"/>
    <s v="healthcarecare204@gmail.com  "/>
    <s v="6392920-4"/>
    <m/>
    <n v="2100000"/>
    <n v="12"/>
    <n v="490395"/>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s v="0.5 Mio order received will be invoiced till 15th August. 0.5 Mio sales every month"/>
    <s v="0.5 Mio order received will be invoiced till 15th August. 0.5 Mio sales every month"/>
    <s v="New order of approx. 1 million will be recieved next month to cover the defecit"/>
    <s v="Strong follow up"/>
    <s v="Stock Unavailable"/>
    <s v="Stock has been Recieved ,will be invoiced"/>
    <m/>
    <s v="Stock has been Recieved ,will be invoiced"/>
    <m/>
    <m/>
    <m/>
    <m/>
    <s v="Meeting will be held in April to discuss this case"/>
    <m/>
    <m/>
    <m/>
    <m/>
    <m/>
    <m/>
    <m/>
    <s v="Machine Trf to WH"/>
    <m/>
    <m/>
    <m/>
    <m/>
    <m/>
    <m/>
    <n v="1803278.69"/>
    <m/>
    <m/>
    <n v="-52359"/>
    <m/>
    <m/>
    <m/>
    <m/>
    <n v="1750919.69"/>
    <m/>
    <m/>
    <n v="553215"/>
    <m/>
    <m/>
    <m/>
    <m/>
    <m/>
    <m/>
    <m/>
    <n v="0"/>
    <n v="131275"/>
    <n v="684490"/>
    <m/>
    <m/>
    <m/>
    <n v="0"/>
    <n v="65637.5"/>
  </r>
  <r>
    <s v="Jahangir Jalil"/>
    <s v="Stago"/>
    <s v="STA SATELLITE MAX"/>
    <n v="15003000"/>
    <s v="Coagulation Analyzer"/>
    <n v="3002000114"/>
    <m/>
    <n v="1736"/>
    <m/>
    <m/>
    <s v="1.30.2025"/>
    <s v="Available"/>
    <m/>
    <x v="0"/>
    <x v="1"/>
    <s v="Lahore"/>
    <n v="3020000960"/>
    <s v="Arif Memorial Hospital"/>
    <m/>
    <s v="rashid latif medical complex gul e berah stop Kasur road"/>
    <s v="0336-5399909"/>
    <s v="muhammad.imran@rimc.edu.pk"/>
    <s v="3407280-2"/>
    <m/>
    <n v="3432757"/>
    <n v="36"/>
    <n v="214221"/>
    <m/>
    <m/>
    <m/>
    <m/>
    <m/>
    <m/>
    <m/>
    <m/>
    <m/>
    <m/>
    <m/>
    <m/>
    <m/>
    <m/>
    <m/>
    <m/>
    <m/>
    <m/>
    <m/>
    <m/>
    <m/>
    <m/>
    <m/>
    <m/>
    <m/>
    <m/>
    <s v="will be discussed then Pull back and will given to national hospital"/>
    <m/>
    <m/>
    <m/>
    <m/>
    <m/>
    <m/>
    <m/>
    <m/>
    <m/>
    <m/>
    <m/>
    <m/>
    <m/>
    <m/>
    <n v="0"/>
    <m/>
    <n v="482899.98000000004"/>
    <n v="41435.24"/>
    <n v="0"/>
    <n v="145894.42000000001"/>
    <n v="111684.1"/>
    <n v="198298"/>
    <n v="0"/>
    <n v="126221.29999999999"/>
    <n v="52404"/>
    <m/>
    <n v="145891.79999999999"/>
    <n v="1304728.8400000001"/>
    <m/>
    <m/>
    <m/>
    <n v="0"/>
    <n v="104563.01999999999"/>
  </r>
  <r>
    <s v="Hammad Noor"/>
    <s v="Vital Scientific"/>
    <s v="Selectra Mach 5"/>
    <n v="15002463"/>
    <s v="Clinical Chemistry"/>
    <n v="3002000115"/>
    <m/>
    <s v="24-5048"/>
    <m/>
    <m/>
    <s v="25.04.2025"/>
    <s v="Available"/>
    <m/>
    <x v="0"/>
    <x v="1"/>
    <s v="Gujranwala"/>
    <n v="3020000979"/>
    <s v="Medcare International Hospital Gujranwala"/>
    <s v="N/A"/>
    <s v="GT road, civil lines, Gujranwala"/>
    <s v="055-3732003"/>
    <s v="sheeza.tariq94@gmail.com"/>
    <s v="3965326-9"/>
    <m/>
    <n v="7115000"/>
    <n v="62"/>
    <n v="624712"/>
    <m/>
    <m/>
    <m/>
    <m/>
    <m/>
    <m/>
    <m/>
    <m/>
    <m/>
    <m/>
    <m/>
    <m/>
    <m/>
    <m/>
    <m/>
    <m/>
    <m/>
    <m/>
    <m/>
    <m/>
    <m/>
    <m/>
    <m/>
    <m/>
    <m/>
    <m/>
    <s v="on Track"/>
    <n v="1"/>
    <s v="Placed"/>
    <m/>
    <m/>
    <m/>
    <m/>
    <m/>
    <m/>
    <m/>
    <m/>
    <m/>
    <m/>
    <m/>
    <m/>
    <n v="0"/>
    <m/>
    <m/>
    <n v="718270"/>
    <n v="1074986"/>
    <n v="1023917"/>
    <n v="621068"/>
    <n v="277731.5"/>
    <n v="764542.5"/>
    <n v="48840"/>
    <n v="703037.3"/>
    <n v="77975"/>
    <n v="207281.5"/>
    <n v="5517648.7999999998"/>
    <n v="310130.15000000002"/>
    <n v="466119"/>
    <n v="86678"/>
    <n v="862927.15"/>
    <n v="356957.11875000002"/>
  </r>
  <r>
    <s v="Hammad Noor"/>
    <s v="Vital Scientific"/>
    <s v="Selectra Mach 5"/>
    <n v="15002463"/>
    <s v="Clinical Chemistry"/>
    <n v="3002000105"/>
    <s v="Transfer from Sharif TMC"/>
    <s v="24-5018"/>
    <m/>
    <m/>
    <s v="24.07.2025"/>
    <m/>
    <s v="backup"/>
    <x v="0"/>
    <x v="1"/>
    <s v="Gujranwala"/>
    <n v="3020000979"/>
    <s v="Medcare International Hospital Gujranwala"/>
    <m/>
    <m/>
    <m/>
    <m/>
    <m/>
    <m/>
    <n v="7115000"/>
    <n v="38"/>
    <n v="554232"/>
    <m/>
    <m/>
    <m/>
    <m/>
    <m/>
    <m/>
    <m/>
    <m/>
    <m/>
    <m/>
    <m/>
    <m/>
    <m/>
    <m/>
    <m/>
    <m/>
    <m/>
    <m/>
    <m/>
    <m/>
    <m/>
    <m/>
    <m/>
    <m/>
    <m/>
    <m/>
    <s v="on Track"/>
    <n v="1"/>
    <s v="Placed"/>
    <m/>
    <m/>
    <m/>
    <m/>
    <m/>
    <m/>
    <m/>
    <m/>
    <m/>
    <m/>
    <m/>
    <m/>
    <n v="0"/>
    <m/>
    <m/>
    <m/>
    <m/>
    <m/>
    <m/>
    <n v="277731.5"/>
    <n v="764542.5"/>
    <n v="48840"/>
    <n v="703037.3"/>
    <n v="77975"/>
    <n v="207281.5"/>
    <n v="2079407.8"/>
    <n v="310130.15000000002"/>
    <n v="466119"/>
    <n v="86678"/>
    <n v="862927.15"/>
    <n v="356957.11875000002"/>
  </r>
  <r>
    <s v="Jahangir Jalil"/>
    <s v="OCD"/>
    <s v="Vitros ECiQ Immunodiagnostic System"/>
    <n v="15002760"/>
    <s v="Immunoassay"/>
    <m/>
    <s v="From hormone to Ridhan to Med Care Hospital"/>
    <n v="30006181"/>
    <m/>
    <m/>
    <s v="05.12.2024"/>
    <m/>
    <m/>
    <x v="0"/>
    <x v="1"/>
    <s v="Gujranwala"/>
    <n v="3020000979"/>
    <s v="Med Care Hospital"/>
    <m/>
    <s v="Gill road, Civil Lines, Punjab"/>
    <s v="055-3732003 &amp; 0337-0460249"/>
    <s v="sheeza.tariq94@gmail.com"/>
    <s v="3965326-9"/>
    <m/>
    <n v="5415000"/>
    <n v="37"/>
    <n v="518873"/>
    <m/>
    <m/>
    <m/>
    <m/>
    <m/>
    <m/>
    <m/>
    <m/>
    <m/>
    <m/>
    <m/>
    <m/>
    <m/>
    <m/>
    <m/>
    <m/>
    <m/>
    <m/>
    <e v="#N/A"/>
    <m/>
    <m/>
    <m/>
    <m/>
    <m/>
    <m/>
    <m/>
    <s v="Behind Target"/>
    <n v="1"/>
    <m/>
    <m/>
    <m/>
    <m/>
    <m/>
    <m/>
    <m/>
    <m/>
    <m/>
    <m/>
    <m/>
    <m/>
    <n v="1454603"/>
    <n v="1454603"/>
    <n v="0"/>
    <n v="802483"/>
    <n v="409692"/>
    <n v="411828"/>
    <n v="949897"/>
    <n v="278043"/>
    <n v="1045122"/>
    <n v="522335"/>
    <n v="305569"/>
    <n v="176821"/>
    <m/>
    <m/>
    <n v="4901790"/>
    <n v="406749"/>
    <n v="245162"/>
    <n v="0"/>
    <n v="651911"/>
    <n v="450293"/>
  </r>
  <r>
    <s v="Hammad Noor"/>
    <s v="YHLO"/>
    <s v="iFlash 1800 "/>
    <n v="15002462"/>
    <s v="Immunoassay"/>
    <m/>
    <m/>
    <m/>
    <m/>
    <m/>
    <s v="25.11.2025"/>
    <m/>
    <m/>
    <x v="1"/>
    <x v="1"/>
    <s v="Gujranwala"/>
    <n v="3020000979"/>
    <s v="Medcare International Hospital Gujranwala"/>
    <m/>
    <s v="GT road, civil lines, Gujranwala"/>
    <s v="055-3732003"/>
    <s v="sheeza.tariq94@gmail.com"/>
    <s v="3965326-9"/>
    <m/>
    <n v="4910685"/>
    <n v="36"/>
    <n v="330776"/>
    <m/>
    <m/>
    <m/>
    <m/>
    <m/>
    <m/>
    <m/>
    <m/>
    <m/>
    <m/>
    <m/>
    <m/>
    <m/>
    <m/>
    <m/>
    <m/>
    <m/>
    <m/>
    <m/>
    <m/>
    <m/>
    <m/>
    <m/>
    <m/>
    <m/>
    <m/>
    <s v="Closed"/>
    <m/>
    <s v="Closed"/>
    <m/>
    <m/>
    <m/>
    <m/>
    <m/>
    <m/>
    <m/>
    <m/>
    <m/>
    <m/>
    <m/>
    <m/>
    <n v="0"/>
    <m/>
    <m/>
    <m/>
    <m/>
    <m/>
    <m/>
    <m/>
    <m/>
    <m/>
    <m/>
    <m/>
    <m/>
    <n v="0"/>
    <m/>
    <m/>
    <m/>
    <n v="0"/>
    <n v="0"/>
  </r>
  <r>
    <s v="Hammad Noor"/>
    <s v="YHLO"/>
    <s v="iFlash 1200"/>
    <n v="15002553"/>
    <s v="Immunoassay"/>
    <n v="3002000099"/>
    <m/>
    <s v="ID00175847"/>
    <m/>
    <m/>
    <s v="14.05.2025"/>
    <m/>
    <m/>
    <x v="0"/>
    <x v="2"/>
    <s v="Peshawar"/>
    <n v="3020000987"/>
    <s v="Peshawar Fertility &amp; IVF center"/>
    <m/>
    <m/>
    <m/>
    <m/>
    <m/>
    <m/>
    <n v="2915000"/>
    <n v="36"/>
    <n v="307062"/>
    <m/>
    <m/>
    <m/>
    <m/>
    <m/>
    <m/>
    <m/>
    <m/>
    <m/>
    <m/>
    <m/>
    <m/>
    <m/>
    <m/>
    <m/>
    <m/>
    <m/>
    <m/>
    <m/>
    <m/>
    <m/>
    <m/>
    <m/>
    <m/>
    <m/>
    <m/>
    <s v="Behind track"/>
    <n v="1"/>
    <s v="Placed"/>
    <m/>
    <m/>
    <m/>
    <m/>
    <m/>
    <m/>
    <m/>
    <m/>
    <m/>
    <m/>
    <m/>
    <n v="703400"/>
    <n v="703400"/>
    <m/>
    <m/>
    <m/>
    <n v="568280"/>
    <n v="0"/>
    <n v="0"/>
    <n v="0"/>
    <n v="271800"/>
    <n v="0"/>
    <n v="0"/>
    <n v="0"/>
    <n v="844820"/>
    <n v="1684900"/>
    <n v="174700"/>
    <m/>
    <m/>
    <n v="174700"/>
    <n v="184474.28571428571"/>
  </r>
  <r>
    <s v="Jahangir Jalil"/>
    <s v="Stago"/>
    <s v="STA Compact Max"/>
    <n v="15003000"/>
    <s v="Coagulation Analyzer"/>
    <s v="AR#300141"/>
    <s v="N/A"/>
    <m/>
    <m/>
    <m/>
    <s v="02.04.2024"/>
    <s v="Not Available"/>
    <m/>
    <x v="1"/>
    <x v="0"/>
    <s v="Karachi"/>
    <n v="3020001019"/>
    <s v="National Medical Center"/>
    <s v="N/A"/>
    <s v="A-5/A, National Highway, DHA Phase-1, Near Kalapul, Sindh"/>
    <s v="021-35380000, 0345-2086204"/>
    <s v="info@nmc.net.pk"/>
    <s v="0818709-6"/>
    <m/>
    <n v="4045003"/>
    <n v="36"/>
    <n v="465012"/>
    <m/>
    <m/>
    <m/>
    <m/>
    <m/>
    <m/>
    <m/>
    <m/>
    <m/>
    <m/>
    <m/>
    <m/>
    <m/>
    <m/>
    <m/>
    <m/>
    <m/>
    <m/>
    <m/>
    <m/>
    <m/>
    <m/>
    <m/>
    <m/>
    <m/>
    <m/>
    <s v="Closed"/>
    <m/>
    <m/>
    <m/>
    <m/>
    <m/>
    <m/>
    <m/>
    <m/>
    <m/>
    <m/>
    <m/>
    <m/>
    <m/>
    <m/>
    <n v="0"/>
    <m/>
    <m/>
    <m/>
    <m/>
    <m/>
    <m/>
    <m/>
    <m/>
    <m/>
    <m/>
    <m/>
    <m/>
    <n v="0"/>
    <m/>
    <m/>
    <m/>
    <n v="0"/>
    <n v="0"/>
  </r>
  <r>
    <s v="Hammad Noor"/>
    <s v="Vital Scientific"/>
    <s v="Selectra PRO M "/>
    <n v="15002128"/>
    <s v="Clinical Chemistry"/>
    <s v="AR # 300323"/>
    <s v="Transferred from demo"/>
    <s v="20-4085"/>
    <m/>
    <m/>
    <s v="23.05.2025"/>
    <m/>
    <s v="Demo order still not received"/>
    <x v="0"/>
    <x v="0"/>
    <s v="Quetta"/>
    <n v="3020001042"/>
    <s v="Al-Khidmat Hospital"/>
    <m/>
    <s v="Shop 2, Whdat Colony, Brewary Road, Balochistan"/>
    <s v="081-2440931 &amp; 0300-3805199"/>
    <s v="bilal.chishti@ahf.com.pk"/>
    <s v="7600330-1"/>
    <m/>
    <n v="4100000"/>
    <n v="37"/>
    <n v="163502"/>
    <m/>
    <m/>
    <m/>
    <m/>
    <m/>
    <m/>
    <m/>
    <m/>
    <m/>
    <m/>
    <m/>
    <m/>
    <m/>
    <m/>
    <m/>
    <m/>
    <m/>
    <m/>
    <m/>
    <m/>
    <m/>
    <m/>
    <m/>
    <m/>
    <m/>
    <m/>
    <s v="on Track"/>
    <n v="1"/>
    <s v="Placed"/>
    <m/>
    <n v="1000000"/>
    <n v="5357692"/>
    <n v="512300"/>
    <m/>
    <m/>
    <n v="693179"/>
    <n v="252622"/>
    <m/>
    <m/>
    <m/>
    <n v="13540"/>
    <n v="7829333"/>
    <m/>
    <n v="0"/>
    <n v="0"/>
    <n v="0"/>
    <n v="0"/>
    <n v="530000"/>
    <n v="0"/>
    <n v="629759"/>
    <n v="23244"/>
    <m/>
    <n v="1284379"/>
    <n v="500000"/>
    <n v="2967382"/>
    <n v="0"/>
    <n v="0"/>
    <n v="0"/>
    <n v="0"/>
    <n v="348197.42857142858"/>
  </r>
  <r>
    <s v="Hammad Noor"/>
    <s v="Boule"/>
    <s v="Swelab Lumi"/>
    <n v="15002248"/>
    <s v="Hematology"/>
    <s v="AR # 300320"/>
    <m/>
    <s v="TE11042147005"/>
    <m/>
    <s v="12.07.2024"/>
    <m/>
    <s v="Available"/>
    <m/>
    <x v="0"/>
    <x v="2"/>
    <s v="Mirpur Azad Kashmir"/>
    <n v="3020001042"/>
    <s v="Al-Khidmat Lab Mirpur Azad Kashmir"/>
    <m/>
    <s v="Al khidmat complex, 3-km Khayban-e-Jinnah road, Punjab"/>
    <s v="0333-4695192 &amp; 042-35957260"/>
    <s v="asad.tufail@ahf.com.pk"/>
    <s v="7600330-1"/>
    <m/>
    <n v="2059750"/>
    <n v="36"/>
    <n v="100802"/>
    <m/>
    <m/>
    <m/>
    <m/>
    <m/>
    <m/>
    <m/>
    <m/>
    <m/>
    <m/>
    <m/>
    <m/>
    <m/>
    <m/>
    <m/>
    <m/>
    <m/>
    <m/>
    <e v="#N/A"/>
    <m/>
    <m/>
    <m/>
    <m/>
    <m/>
    <m/>
    <m/>
    <s v="Behind Track due to supply issue"/>
    <n v="1"/>
    <s v="Placed"/>
    <m/>
    <m/>
    <n v="1216000"/>
    <n v="198000"/>
    <n v="0"/>
    <n v="0"/>
    <n v="0"/>
    <n v="99000"/>
    <n v="29000"/>
    <n v="0"/>
    <n v="0"/>
    <n v="349000"/>
    <n v="1891000"/>
    <n v="0"/>
    <n v="0"/>
    <n v="0"/>
    <n v="0"/>
    <n v="0"/>
    <n v="0"/>
    <n v="0"/>
    <n v="0"/>
    <n v="0"/>
    <n v="0"/>
    <n v="0"/>
    <n v="112250"/>
    <n v="112250"/>
    <n v="0"/>
    <n v="0"/>
    <m/>
    <n v="0"/>
    <n v="14031.25"/>
  </r>
  <r>
    <s v="Hammad Noor"/>
    <s v="Vital Scientific"/>
    <s v="Selectra Mach 5"/>
    <n v="15002463"/>
    <s v="Clinical Chemistry"/>
    <n v="3002000017"/>
    <m/>
    <s v="22-5023"/>
    <s v="29.08.2022"/>
    <s v="16.08.2022"/>
    <s v="22.08.2022"/>
    <s v="Available"/>
    <m/>
    <x v="1"/>
    <x v="0"/>
    <s v="Karachi"/>
    <n v="3020001047"/>
    <s v="North Mehran Diagnostic Centre"/>
    <s v="Shazia Parveen"/>
    <s v="R 8, Sector 5c/4 Sector 5 C 4 New Karachi Town, Karachi,"/>
    <s v="0323-2342326"/>
    <s v="not available"/>
    <m/>
    <s v="42101-4970811-0"/>
    <m/>
    <m/>
    <m/>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s v="Problem with machines. Now new business case will be prepared"/>
    <m/>
    <s v="New business case submitted for approval, due to machine problem."/>
    <m/>
    <m/>
    <m/>
    <m/>
    <m/>
    <m/>
    <m/>
    <m/>
    <n v="75305.23"/>
    <n v="162894.44500000001"/>
    <n v="0"/>
    <n v="0"/>
    <n v="108085.85500000001"/>
    <n v="12500"/>
    <n v="0"/>
    <n v="245489"/>
    <n v="160439.5"/>
    <n v="0"/>
    <n v="0"/>
    <n v="0"/>
    <n v="764714.03"/>
    <n v="0"/>
    <m/>
    <n v="0"/>
    <m/>
    <m/>
    <m/>
    <m/>
    <m/>
    <m/>
    <m/>
    <m/>
    <m/>
    <n v="0"/>
    <m/>
    <m/>
    <m/>
    <n v="0"/>
    <n v="0"/>
  </r>
  <r>
    <s v="Hammad Noor"/>
    <s v="Vital Scientific"/>
    <s v="Selectra Mach 5"/>
    <n v="15002463"/>
    <s v="Clinical Chemistry"/>
    <n v="3002000017"/>
    <s v="N/A"/>
    <s v="22-5023"/>
    <m/>
    <m/>
    <s v="04.04.2024"/>
    <s v="Not Available"/>
    <m/>
    <x v="5"/>
    <x v="0"/>
    <s v="Karachi"/>
    <n v="3020001047"/>
    <s v="North Mehran Diagnostic Centre"/>
    <s v="Shazia Parveen"/>
    <s v="R 8, Sector 5c/4 Sector 5 C 4 New Karachi Town, Karachi,"/>
    <s v="0323-2342326"/>
    <s v="not available"/>
    <m/>
    <s v="42101-4970811-0"/>
    <n v="4500000"/>
    <n v="37"/>
    <n v="404240"/>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m/>
    <m/>
    <m/>
    <s v="Order in hand, awaiting for shipment "/>
    <m/>
    <s v="no sales in july"/>
    <m/>
    <m/>
    <s v="behind track need followup"/>
    <n v="1"/>
    <s v="Placed"/>
    <n v="75305.23"/>
    <n v="162894.44500000001"/>
    <n v="0"/>
    <n v="0"/>
    <n v="108085.85500000001"/>
    <n v="12500"/>
    <n v="0"/>
    <n v="245489"/>
    <n v="160439.5"/>
    <n v="0"/>
    <n v="0"/>
    <n v="0"/>
    <n v="764714.03"/>
    <n v="0"/>
    <n v="0"/>
    <n v="0"/>
    <n v="261520.54"/>
    <n v="90822.950000000012"/>
    <n v="149392"/>
    <n v="0"/>
    <n v="204777"/>
    <n v="145376"/>
    <n v="181755"/>
    <n v="0"/>
    <n v="0"/>
    <n v="1033643.49"/>
    <n v="73919.67"/>
    <n v="0"/>
    <n v="0"/>
    <n v="73919.67"/>
    <n v="75728.458750000005"/>
  </r>
  <r>
    <s v="Jahangir Jalil"/>
    <s v="Stago"/>
    <s v="STA Compact Max Cap precing"/>
    <n v="15003159"/>
    <s v="Coagulation Analyzer"/>
    <n v="3002000096"/>
    <m/>
    <n v="8673"/>
    <m/>
    <m/>
    <s v="14.10.2024"/>
    <m/>
    <m/>
    <x v="0"/>
    <x v="0"/>
    <s v="Karachi"/>
    <n v="3020001067"/>
    <s v="NICVD"/>
    <m/>
    <s v="H.J Rafique Shaheed Road, South Saddar Town, Karachi "/>
    <s v="0322-2328894"/>
    <s v="mursaleem.nicvd@gmail.com"/>
    <s v="9033300-4"/>
    <m/>
    <n v="5741480.5"/>
    <n v="6"/>
    <n v="2106303.5"/>
    <m/>
    <m/>
    <m/>
    <m/>
    <m/>
    <m/>
    <m/>
    <m/>
    <m/>
    <m/>
    <m/>
    <m/>
    <m/>
    <m/>
    <m/>
    <m/>
    <m/>
    <m/>
    <e v="#REF!"/>
    <m/>
    <m/>
    <m/>
    <m/>
    <m/>
    <m/>
    <m/>
    <s v="on Track"/>
    <n v="1"/>
    <s v="Placed"/>
    <m/>
    <m/>
    <m/>
    <m/>
    <m/>
    <m/>
    <m/>
    <m/>
    <m/>
    <n v="10851396"/>
    <n v="1239776"/>
    <n v="4030196"/>
    <n v="16121368"/>
    <n v="0"/>
    <n v="246892"/>
    <n v="2964712"/>
    <n v="0"/>
    <n v="0"/>
    <n v="2600500"/>
    <n v="0"/>
    <n v="0"/>
    <n v="3437600"/>
    <n v="2287400"/>
    <n v="2865200"/>
    <n v="244000"/>
    <n v="14646304"/>
    <m/>
    <n v="23200"/>
    <m/>
    <n v="23200"/>
    <n v="1265342.857142857"/>
  </r>
  <r>
    <s v="Hammad Noor"/>
    <s v="Boule"/>
    <s v="Swelab Alfa Plus Sampler BD Ar"/>
    <n v="15001968"/>
    <s v="Hematology "/>
    <n v="3002000041"/>
    <s v="N/A"/>
    <n v="120754"/>
    <s v="22.11.2022"/>
    <s v="07.11.2022"/>
    <s v="27.10.2023"/>
    <s v="Available"/>
    <m/>
    <x v="0"/>
    <x v="0"/>
    <s v="Karachi"/>
    <n v="3020001067"/>
    <s v="NICVD"/>
    <s v="N/A"/>
    <s v="H.J Rafique Shaheed Road, South Saddar Town, Karachi "/>
    <s v="0322-2328894"/>
    <s v="mursaleem.nicvd@gmail.com"/>
    <s v="9033300-4"/>
    <m/>
    <n v="1954396"/>
    <n v="36"/>
    <n v="323047"/>
    <m/>
    <m/>
    <m/>
    <m/>
    <m/>
    <m/>
    <m/>
    <m/>
    <m/>
    <m/>
    <m/>
    <m/>
    <m/>
    <m/>
    <m/>
    <m/>
    <s v="Order is in process due to Payment issue we didnt consider po."/>
    <s v="this month we will recevie order and exicute "/>
    <s v="we will increase our prices in new tender which is in process."/>
    <m/>
    <s v="Technical Evaluation in process, prices will reviesed once new awarded to us."/>
    <s v="New tender in technical Evalualtion"/>
    <m/>
    <m/>
    <m/>
    <m/>
    <s v="on Track"/>
    <n v="1"/>
    <s v="Placed"/>
    <n v="0"/>
    <n v="0"/>
    <n v="396000"/>
    <n v="0"/>
    <n v="140250"/>
    <n v="0"/>
    <n v="198000"/>
    <n v="330000"/>
    <n v="0"/>
    <n v="470250"/>
    <n v="0"/>
    <n v="375401.81"/>
    <n v="1909901.81"/>
    <n v="397406.8"/>
    <n v="0"/>
    <n v="619833.375"/>
    <n v="0"/>
    <n v="0"/>
    <n v="600607"/>
    <n v="0"/>
    <n v="0"/>
    <n v="375401.81"/>
    <n v="0"/>
    <n v="646334.5"/>
    <n v="0"/>
    <n v="2639583.4850000003"/>
    <n v="0"/>
    <n v="263183.34000000003"/>
    <n v="0"/>
    <n v="263183.34000000003"/>
    <n v="160614.95625000002"/>
  </r>
  <r>
    <s v="Jahangir Jalil"/>
    <s v="Stago"/>
    <s v="STA Compact Max Cap precing"/>
    <n v="15003159"/>
    <s v="Coagulation Analyzer"/>
    <m/>
    <m/>
    <m/>
    <m/>
    <m/>
    <s v="15.10.2025"/>
    <m/>
    <m/>
    <x v="4"/>
    <x v="0"/>
    <s v="Karachi"/>
    <n v="3020001067"/>
    <s v="NICVD"/>
    <m/>
    <s v="H.J Rafique Shaheed Road, South Saddar Town, Karachi "/>
    <s v="0322-2328894"/>
    <s v="mursaleem.nicvd@gmail.com"/>
    <s v="9033300-4"/>
    <m/>
    <n v="5557031"/>
    <n v="6"/>
    <n v="2106303.5"/>
    <m/>
    <m/>
    <m/>
    <m/>
    <m/>
    <m/>
    <m/>
    <m/>
    <m/>
    <m/>
    <m/>
    <m/>
    <m/>
    <m/>
    <m/>
    <m/>
    <m/>
    <m/>
    <e v="#REF!"/>
    <m/>
    <m/>
    <m/>
    <m/>
    <m/>
    <m/>
    <m/>
    <s v="Behind Track machine placed in july 2025"/>
    <n v="1"/>
    <s v="Placed - Operational"/>
    <m/>
    <m/>
    <m/>
    <m/>
    <m/>
    <m/>
    <m/>
    <m/>
    <m/>
    <m/>
    <m/>
    <m/>
    <n v="0"/>
    <m/>
    <m/>
    <m/>
    <m/>
    <m/>
    <m/>
    <m/>
    <m/>
    <m/>
    <m/>
    <m/>
    <m/>
    <n v="0"/>
    <m/>
    <n v="0"/>
    <m/>
    <n v="0"/>
    <n v="0"/>
  </r>
  <r>
    <s v="Hammad Noor"/>
    <s v="Boule"/>
    <s v="Swelab Alfa Plus Sampler BD Ar"/>
    <n v="15001968"/>
    <s v="Hematology "/>
    <n v="3002000041"/>
    <s v="N/A"/>
    <n v="120751"/>
    <m/>
    <m/>
    <s v="20.12.2024"/>
    <m/>
    <m/>
    <x v="5"/>
    <x v="0"/>
    <s v="Karachi"/>
    <n v="3020001067"/>
    <s v="NICVD"/>
    <m/>
    <s v="H.J Rafique Shaheed Road, South Saddar Town, Karachi "/>
    <s v="0322-2328894"/>
    <s v="mursaleem.nicvd@gmail.com"/>
    <s v="9033300-4"/>
    <m/>
    <n v="1071000"/>
    <n v="60"/>
    <n v="111305"/>
    <m/>
    <m/>
    <m/>
    <m/>
    <m/>
    <m/>
    <m/>
    <m/>
    <m/>
    <m/>
    <m/>
    <m/>
    <m/>
    <m/>
    <m/>
    <m/>
    <m/>
    <m/>
    <e v="#REF!"/>
    <m/>
    <m/>
    <m/>
    <m/>
    <m/>
    <m/>
    <m/>
    <s v="on Track"/>
    <n v="1"/>
    <s v="Placed"/>
    <n v="0"/>
    <n v="0"/>
    <n v="396000"/>
    <n v="0"/>
    <n v="140250"/>
    <n v="0"/>
    <n v="198000"/>
    <n v="330000"/>
    <n v="0"/>
    <n v="470250"/>
    <n v="0"/>
    <n v="375401.81"/>
    <n v="1909901.81"/>
    <n v="397406.8"/>
    <n v="0"/>
    <n v="619833.375"/>
    <n v="0"/>
    <n v="0"/>
    <n v="600607"/>
    <n v="0"/>
    <n v="0"/>
    <n v="375401.81"/>
    <n v="0"/>
    <n v="646334.5"/>
    <n v="0"/>
    <n v="2639583.4850000003"/>
    <n v="0"/>
    <n v="263183.34000000003"/>
    <n v="0"/>
    <n v="263183.34000000003"/>
    <n v="160614.95625000002"/>
  </r>
  <r>
    <s v="Hammad Noor"/>
    <s v="Boule"/>
    <s v="Swelab Alfa Plus Sampler BD Ar"/>
    <n v="15001967"/>
    <s v="Hematology"/>
    <s v="AR # 300410"/>
    <m/>
    <n v="127707"/>
    <m/>
    <m/>
    <s v="05.13.2025"/>
    <m/>
    <s v="Appropriation request pending but machine delivered against B.C"/>
    <x v="0"/>
    <x v="0"/>
    <s v="Karachi"/>
    <n v="3020001074"/>
    <s v="Karachi Instituite of Heart Diseases (KIHD)"/>
    <m/>
    <s v="Plot No ST-15, Block 16, Federal B Area, Sindh"/>
    <s v="021-99330011"/>
    <s v="kihd@cdgk@gmail.com"/>
    <s v="9030950-8"/>
    <m/>
    <n v="1515000"/>
    <n v="36"/>
    <n v="109047"/>
    <m/>
    <m/>
    <m/>
    <m/>
    <m/>
    <m/>
    <m/>
    <m/>
    <m/>
    <m/>
    <m/>
    <m/>
    <m/>
    <m/>
    <m/>
    <m/>
    <m/>
    <m/>
    <m/>
    <m/>
    <m/>
    <m/>
    <m/>
    <m/>
    <m/>
    <m/>
    <s v="on Track"/>
    <n v="1"/>
    <s v="Placed"/>
    <m/>
    <m/>
    <m/>
    <m/>
    <m/>
    <m/>
    <m/>
    <m/>
    <m/>
    <m/>
    <m/>
    <m/>
    <n v="0"/>
    <m/>
    <m/>
    <m/>
    <m/>
    <n v="635200"/>
    <n v="0"/>
    <n v="0"/>
    <n v="0"/>
    <n v="144340"/>
    <m/>
    <m/>
    <m/>
    <n v="779540"/>
    <n v="0"/>
    <n v="0"/>
    <n v="0"/>
    <n v="0"/>
    <n v="28868"/>
  </r>
  <r>
    <s v="Hammad Noor"/>
    <s v="YHLO"/>
    <s v="iFlash 1800"/>
    <n v="15002462"/>
    <s v="Immunoassay"/>
    <n v="3002000009"/>
    <s v="Machine has been transferred from Noor to Jiliani"/>
    <s v="IA00092922"/>
    <s v="01.07.2022"/>
    <s v="28.06.2022"/>
    <s v="28.06.2022"/>
    <s v="Available"/>
    <m/>
    <x v="3"/>
    <x v="0"/>
    <s v="Quetta"/>
    <n v="3020001083"/>
    <s v="Noor lab quetta "/>
    <s v="Asad Ullah"/>
    <s v="Shop # 5, Yet Road, Near M.A. Jinnah Road,"/>
    <s v="0307-3800575 , 081-2826500"/>
    <s v="noor.lab.surgical@gmail.com"/>
    <m/>
    <s v="54400-0524139-1"/>
    <n v="2675000"/>
    <n v="14"/>
    <n v="690432"/>
    <m/>
    <m/>
    <m/>
    <m/>
    <m/>
    <m/>
    <m/>
    <m/>
    <m/>
    <m/>
    <m/>
    <m/>
    <m/>
    <m/>
    <m/>
    <m/>
    <m/>
    <m/>
    <m/>
    <m/>
    <s v="This machine was pullback and installed in Burhani khi "/>
    <m/>
    <m/>
    <m/>
    <m/>
    <m/>
    <m/>
    <m/>
    <m/>
    <m/>
    <m/>
    <m/>
    <m/>
    <m/>
    <m/>
    <m/>
    <m/>
    <m/>
    <m/>
    <m/>
    <m/>
    <n v="0"/>
    <m/>
    <m/>
    <m/>
    <m/>
    <m/>
    <m/>
    <m/>
    <m/>
    <n v="0"/>
    <m/>
    <n v="0"/>
    <m/>
    <n v="0"/>
    <m/>
    <m/>
    <m/>
    <n v="0"/>
    <n v="0"/>
  </r>
  <r>
    <s v="Jahangir Jalil"/>
    <s v="Nova"/>
    <s v="Nova Prime CCS"/>
    <n v="15002705"/>
    <s v="Arterial Blood Gas Analyzer"/>
    <m/>
    <m/>
    <m/>
    <m/>
    <m/>
    <s v="02.07.2025"/>
    <m/>
    <m/>
    <x v="4"/>
    <x v="1"/>
    <s v="Lahore"/>
    <n v="3020001092"/>
    <s v="Army Cardiac Hospital-Taurus International"/>
    <m/>
    <m/>
    <m/>
    <m/>
    <m/>
    <m/>
    <n v="1904821"/>
    <n v="30"/>
    <n v="299183"/>
    <m/>
    <m/>
    <m/>
    <m/>
    <m/>
    <m/>
    <m/>
    <m/>
    <m/>
    <m/>
    <m/>
    <m/>
    <m/>
    <m/>
    <m/>
    <m/>
    <m/>
    <m/>
    <m/>
    <m/>
    <m/>
    <m/>
    <m/>
    <m/>
    <m/>
    <m/>
    <s v="Due to shortages of stock"/>
    <m/>
    <s v="Placed"/>
    <m/>
    <m/>
    <m/>
    <m/>
    <m/>
    <m/>
    <m/>
    <m/>
    <m/>
    <m/>
    <m/>
    <m/>
    <n v="0"/>
    <m/>
    <m/>
    <m/>
    <m/>
    <m/>
    <m/>
    <m/>
    <m/>
    <m/>
    <m/>
    <m/>
    <m/>
    <n v="0"/>
    <n v="368850"/>
    <m/>
    <m/>
    <n v="368850"/>
    <n v="368850"/>
  </r>
  <r>
    <s v="Jahangir Jalil"/>
    <s v="Erba"/>
    <s v="Laura XL"/>
    <n v="15002673"/>
    <s v="Urine Analyzer"/>
    <m/>
    <m/>
    <m/>
    <m/>
    <m/>
    <s v="14.10.2025"/>
    <m/>
    <m/>
    <x v="4"/>
    <x v="0"/>
    <s v="Karachi"/>
    <n v="3020000135"/>
    <s v="Al- Khidmat Welfare Society"/>
    <m/>
    <m/>
    <m/>
    <m/>
    <m/>
    <m/>
    <n v="6101141"/>
    <n v="37"/>
    <n v="432965"/>
    <m/>
    <m/>
    <m/>
    <m/>
    <m/>
    <m/>
    <m/>
    <m/>
    <m/>
    <m/>
    <m/>
    <m/>
    <m/>
    <m/>
    <m/>
    <m/>
    <m/>
    <m/>
    <m/>
    <m/>
    <m/>
    <m/>
    <m/>
    <m/>
    <m/>
    <m/>
    <s v="Behind track"/>
    <m/>
    <s v="Placed"/>
    <m/>
    <m/>
    <m/>
    <m/>
    <m/>
    <m/>
    <m/>
    <m/>
    <m/>
    <m/>
    <m/>
    <m/>
    <n v="0"/>
    <m/>
    <m/>
    <m/>
    <m/>
    <m/>
    <m/>
    <m/>
    <m/>
    <m/>
    <m/>
    <m/>
    <m/>
    <n v="0"/>
    <n v="404200"/>
    <n v="111800"/>
    <n v="195000"/>
    <n v="711000"/>
    <n v="258000"/>
  </r>
  <r>
    <s v="Jahangir Jalil"/>
    <s v="Stago"/>
    <s v="STA Compact Max3"/>
    <n v="15003001"/>
    <s v="Urine Analyzer"/>
    <m/>
    <m/>
    <m/>
    <m/>
    <m/>
    <s v="13.10.2025"/>
    <m/>
    <m/>
    <x v="2"/>
    <x v="0"/>
    <s v="Karachi"/>
    <n v="3020001115"/>
    <s v="Al Khidmat Hospital Karachi"/>
    <m/>
    <m/>
    <m/>
    <m/>
    <m/>
    <m/>
    <n v="7395308"/>
    <n v="40"/>
    <n v="688873"/>
    <m/>
    <m/>
    <m/>
    <m/>
    <m/>
    <m/>
    <m/>
    <m/>
    <m/>
    <m/>
    <m/>
    <m/>
    <m/>
    <m/>
    <m/>
    <m/>
    <m/>
    <m/>
    <m/>
    <m/>
    <m/>
    <m/>
    <m/>
    <m/>
    <m/>
    <m/>
    <s v="New Installation"/>
    <m/>
    <s v="Placed"/>
    <m/>
    <m/>
    <m/>
    <m/>
    <m/>
    <m/>
    <m/>
    <m/>
    <m/>
    <m/>
    <m/>
    <m/>
    <n v="0"/>
    <m/>
    <m/>
    <m/>
    <m/>
    <m/>
    <m/>
    <m/>
    <m/>
    <m/>
    <m/>
    <m/>
    <m/>
    <n v="0"/>
    <m/>
    <m/>
    <m/>
    <n v="0"/>
    <n v="0"/>
  </r>
  <r>
    <s v="Jahangir Jalil"/>
    <s v="OCD"/>
    <s v="Vitros ECiQ"/>
    <n v="15002760"/>
    <s v="Immunoassay"/>
    <n v="3002000080"/>
    <m/>
    <n v="30006375"/>
    <m/>
    <m/>
    <m/>
    <m/>
    <m/>
    <x v="0"/>
    <x v="1"/>
    <s v="Lahore"/>
    <n v="3020001124"/>
    <s v="Punjab Inst.Of Cardiology"/>
    <m/>
    <m/>
    <m/>
    <m/>
    <m/>
    <m/>
    <n v="18808000"/>
    <m/>
    <n v="3123750"/>
    <m/>
    <m/>
    <m/>
    <m/>
    <m/>
    <m/>
    <m/>
    <m/>
    <m/>
    <m/>
    <m/>
    <m/>
    <m/>
    <m/>
    <m/>
    <m/>
    <m/>
    <m/>
    <m/>
    <m/>
    <m/>
    <m/>
    <m/>
    <m/>
    <m/>
    <m/>
    <s v="Behind Target need to followup"/>
    <n v="1"/>
    <m/>
    <m/>
    <m/>
    <m/>
    <m/>
    <m/>
    <m/>
    <m/>
    <m/>
    <m/>
    <m/>
    <m/>
    <m/>
    <n v="0"/>
    <m/>
    <m/>
    <n v="0"/>
    <n v="6230153"/>
    <n v="3749491.8000000003"/>
    <n v="19000"/>
    <n v="0"/>
    <n v="0"/>
    <n v="0"/>
    <n v="0"/>
    <m/>
    <m/>
    <n v="9998644.8000000007"/>
    <n v="0"/>
    <n v="0"/>
    <n v="0"/>
    <n v="0"/>
    <n v="0"/>
  </r>
  <r>
    <s v="Jahangir Jalil"/>
    <s v="Stago"/>
    <s v="STA Compact Max3"/>
    <n v="15003001"/>
    <s v="coagulation"/>
    <m/>
    <m/>
    <m/>
    <m/>
    <m/>
    <s v="20.10.2025"/>
    <m/>
    <m/>
    <x v="4"/>
    <x v="1"/>
    <s v="Lahore"/>
    <n v="3020001124"/>
    <s v="Punjab Institute of Cardiology Lahore"/>
    <s v="Hafiz Aneaq Ahmed"/>
    <s v="Ghaus-ul-azam Road, jail road punjab lahore"/>
    <s v="042-99203053, 03008183288"/>
    <s v="punjab.cardiology@gmail.com"/>
    <s v="9020107-1"/>
    <s v="_"/>
    <n v="15492667"/>
    <n v="23"/>
    <n v="4804146"/>
    <m/>
    <m/>
    <m/>
    <m/>
    <m/>
    <m/>
    <m/>
    <m/>
    <m/>
    <m/>
    <m/>
    <m/>
    <m/>
    <m/>
    <m/>
    <m/>
    <m/>
    <m/>
    <m/>
    <m/>
    <m/>
    <m/>
    <m/>
    <m/>
    <m/>
    <m/>
    <s v="On Track"/>
    <n v="1"/>
    <s v="Placed  "/>
    <m/>
    <m/>
    <m/>
    <m/>
    <m/>
    <m/>
    <m/>
    <m/>
    <m/>
    <m/>
    <m/>
    <m/>
    <n v="0"/>
    <m/>
    <m/>
    <m/>
    <m/>
    <m/>
    <m/>
    <m/>
    <m/>
    <m/>
    <m/>
    <n v="2462400"/>
    <n v="16873200"/>
    <n v="19335600"/>
    <m/>
    <m/>
    <m/>
    <n v="0"/>
    <n v="3222600"/>
  </r>
  <r>
    <s v="Hammad Noor"/>
    <s v="YHLO"/>
    <s v="iFlash 1200"/>
    <n v="15002553"/>
    <s v="Immunoassay"/>
    <m/>
    <m/>
    <m/>
    <m/>
    <m/>
    <s v="02.09.2025"/>
    <m/>
    <m/>
    <x v="0"/>
    <x v="1"/>
    <s v="Wazirabad"/>
    <n v="3020001131"/>
    <s v="Metlab-Shahmir Enterprises"/>
    <m/>
    <m/>
    <m/>
    <m/>
    <m/>
    <m/>
    <n v="3032232"/>
    <n v="36"/>
    <n v="147374"/>
    <m/>
    <m/>
    <m/>
    <m/>
    <m/>
    <m/>
    <m/>
    <m/>
    <m/>
    <m/>
    <m/>
    <m/>
    <m/>
    <m/>
    <m/>
    <m/>
    <m/>
    <m/>
    <m/>
    <m/>
    <m/>
    <m/>
    <m/>
    <m/>
    <m/>
    <m/>
    <s v="On Track"/>
    <n v="1"/>
    <s v="Placed"/>
    <m/>
    <m/>
    <m/>
    <m/>
    <m/>
    <m/>
    <m/>
    <m/>
    <m/>
    <m/>
    <m/>
    <m/>
    <n v="0"/>
    <m/>
    <m/>
    <m/>
    <m/>
    <m/>
    <m/>
    <m/>
    <m/>
    <n v="251840"/>
    <n v="381770"/>
    <n v="0"/>
    <m/>
    <n v="633610"/>
    <m/>
    <m/>
    <m/>
    <n v="0"/>
    <n v="211203.33333333334"/>
  </r>
  <r>
    <s v="Hammad Noor"/>
    <s v="YHLO"/>
    <s v="IFlash 1800 "/>
    <n v="15002462"/>
    <s v="Immunoassay"/>
    <n v="3002000028"/>
    <s v="N/A"/>
    <s v="IA00096624"/>
    <s v="27.01.2023"/>
    <s v="10.01.2023"/>
    <s v="27.02.2023"/>
    <s v="Available"/>
    <m/>
    <x v="0"/>
    <x v="1"/>
    <s v="Gujranwala"/>
    <n v="3020001141"/>
    <s v="Rafiq Anwar Memorial Trust Hospital"/>
    <s v="Mr. Nawaz Ahmed Bajwa"/>
    <s v="Sialkot Road, Gujranwala."/>
    <s v="055-3259061-3"/>
    <s v="Not Available"/>
    <s v="2298630-8"/>
    <m/>
    <n v="3706000"/>
    <n v="15"/>
    <n v="541370"/>
    <m/>
    <m/>
    <s v="1 month sales, first order sale still not completed due to unavailiblity of stock"/>
    <s v="Stock unavailable "/>
    <s v="account has been blocked "/>
    <s v="invoice 0.7 Mio has been recieved "/>
    <s v="order will be executed in Aug 0.6 Mio"/>
    <s v="Stocks issue resolved few new parameters added we are expecting in Q3 we will cover the deficit ."/>
    <s v="800,000 order invoiced "/>
    <s v="in line as per business comitment "/>
    <m/>
    <m/>
    <m/>
    <m/>
    <m/>
    <m/>
    <m/>
    <m/>
    <s v="Sales are on track"/>
    <m/>
    <m/>
    <m/>
    <m/>
    <m/>
    <m/>
    <m/>
    <s v="On Track"/>
    <n v="1"/>
    <s v="Placed"/>
    <n v="640175"/>
    <n v="530975"/>
    <n v="569950"/>
    <n v="469775"/>
    <n v="561800"/>
    <n v="577100"/>
    <n v="873725"/>
    <n v="747100"/>
    <n v="811225"/>
    <n v="365700"/>
    <n v="855075"/>
    <n v="583900"/>
    <n v="7586500"/>
    <n v="672050"/>
    <n v="462125"/>
    <n v="422120"/>
    <n v="576650"/>
    <n v="634525"/>
    <n v="468775"/>
    <n v="514375"/>
    <n v="574200"/>
    <n v="505350"/>
    <n v="359125"/>
    <n v="714925"/>
    <n v="377400"/>
    <n v="6281620"/>
    <n v="574900"/>
    <n v="986225"/>
    <n v="843500"/>
    <n v="2404625"/>
    <n v="575812.5"/>
  </r>
  <r>
    <s v="Jahangir Jalil"/>
    <s v="Erba"/>
    <s v="EC90"/>
    <n v="15002674"/>
    <s v="Electrolyte Analyzer"/>
    <m/>
    <m/>
    <s v="5867-2-202302"/>
    <m/>
    <m/>
    <s v="12.09.2025"/>
    <m/>
    <m/>
    <x v="0"/>
    <x v="0"/>
    <s v="Karachi"/>
    <n v="3020001174"/>
    <s v="Sky Blue Lab Karachi"/>
    <m/>
    <m/>
    <m/>
    <m/>
    <m/>
    <m/>
    <n v="633821"/>
    <n v="22"/>
    <n v="63930"/>
    <m/>
    <m/>
    <m/>
    <m/>
    <m/>
    <m/>
    <m/>
    <m/>
    <m/>
    <m/>
    <m/>
    <m/>
    <m/>
    <m/>
    <m/>
    <m/>
    <m/>
    <m/>
    <m/>
    <m/>
    <m/>
    <m/>
    <m/>
    <m/>
    <m/>
    <m/>
    <s v="Pull Back"/>
    <n v="1"/>
    <s v="Placed"/>
    <m/>
    <m/>
    <m/>
    <m/>
    <m/>
    <m/>
    <m/>
    <m/>
    <m/>
    <m/>
    <m/>
    <m/>
    <n v="0"/>
    <m/>
    <m/>
    <m/>
    <m/>
    <m/>
    <m/>
    <m/>
    <m/>
    <n v="87100"/>
    <m/>
    <m/>
    <m/>
    <n v="87100"/>
    <n v="0"/>
    <n v="0"/>
    <n v="0"/>
    <n v="0"/>
    <n v="29033.333333333332"/>
  </r>
  <r>
    <s v="Jahangir Jalil"/>
    <s v="Erba"/>
    <s v="ECL412"/>
    <n v="15002668"/>
    <s v="Coagulation Analyzer"/>
    <n v="3002000074"/>
    <m/>
    <s v="E0672-41-300621"/>
    <m/>
    <m/>
    <s v="16.09.2024"/>
    <m/>
    <m/>
    <x v="0"/>
    <x v="0"/>
    <s v="Nawabshah"/>
    <n v="3020001175"/>
    <s v="(SICHN) Sindh Institute of Child Health and Neonatology"/>
    <m/>
    <m/>
    <m/>
    <m/>
    <m/>
    <m/>
    <n v="483475"/>
    <n v="6"/>
    <n v="143250"/>
    <m/>
    <m/>
    <m/>
    <m/>
    <m/>
    <m/>
    <m/>
    <m/>
    <m/>
    <m/>
    <m/>
    <m/>
    <m/>
    <m/>
    <m/>
    <m/>
    <m/>
    <m/>
    <e v="#N/A"/>
    <m/>
    <m/>
    <m/>
    <m/>
    <m/>
    <m/>
    <m/>
    <s v="behind track need followup"/>
    <n v="1"/>
    <s v="Placed"/>
    <m/>
    <m/>
    <m/>
    <m/>
    <m/>
    <m/>
    <m/>
    <m/>
    <m/>
    <m/>
    <m/>
    <m/>
    <n v="0"/>
    <m/>
    <m/>
    <m/>
    <m/>
    <n v="0"/>
    <n v="154153"/>
    <n v="0"/>
    <n v="0"/>
    <n v="150763"/>
    <n v="0"/>
    <n v="0"/>
    <n v="0"/>
    <n v="304916"/>
    <n v="155085"/>
    <m/>
    <n v="113390"/>
    <n v="268475"/>
    <n v="43692.571428571428"/>
  </r>
  <r>
    <s v="Hammad Noor"/>
    <s v="YHLO"/>
    <s v="iFlash 1200"/>
    <n v="15002553"/>
    <s v="Immunoassay"/>
    <m/>
    <m/>
    <m/>
    <m/>
    <m/>
    <s v="12.09.2024"/>
    <s v="Not Available"/>
    <m/>
    <x v="1"/>
    <x v="0"/>
    <s v="Nawabshah"/>
    <n v="3020001175"/>
    <s v="(SICHN) Sindh Institute of Child Health and Neonatology"/>
    <m/>
    <m/>
    <m/>
    <m/>
    <m/>
    <m/>
    <n v="2915000"/>
    <n v="36"/>
    <n v="295221"/>
    <m/>
    <m/>
    <m/>
    <m/>
    <m/>
    <m/>
    <m/>
    <m/>
    <m/>
    <m/>
    <m/>
    <m/>
    <m/>
    <m/>
    <m/>
    <m/>
    <m/>
    <m/>
    <e v="#N/A"/>
    <m/>
    <m/>
    <m/>
    <m/>
    <m/>
    <m/>
    <m/>
    <m/>
    <m/>
    <m/>
    <m/>
    <m/>
    <m/>
    <m/>
    <m/>
    <m/>
    <m/>
    <m/>
    <m/>
    <m/>
    <m/>
    <m/>
    <n v="0"/>
    <m/>
    <m/>
    <m/>
    <m/>
    <m/>
    <m/>
    <n v="0"/>
    <n v="0"/>
    <m/>
    <n v="0"/>
    <n v="0"/>
    <m/>
    <n v="0"/>
    <m/>
    <m/>
    <m/>
    <n v="0"/>
    <n v="0"/>
  </r>
  <r>
    <s v="Hammad Noor"/>
    <s v="Vital Scientific"/>
    <s v="Selectra Mach 5"/>
    <n v="15002463"/>
    <s v="Clinical Chemistry"/>
    <n v="3002000002"/>
    <s v="N/A"/>
    <s v="21-5017"/>
    <m/>
    <s v="21.9.2023"/>
    <s v="19.03.2024"/>
    <s v="Available"/>
    <m/>
    <x v="0"/>
    <x v="1"/>
    <s v="Gujrat"/>
    <n v="3020001192"/>
    <s v="Aziz Bhatti Shaheed Teaching Hospital"/>
    <s v="Govt. Institute"/>
    <s v="AZIZ BHATTI SHAHEED TEACHING HOSPITAL"/>
    <s v="053-9260104"/>
    <s v=" shaistasyed28@hotmail.com"/>
    <s v="9021249-0"/>
    <m/>
    <n v="4350000"/>
    <n v="30"/>
    <n v="391086"/>
    <m/>
    <m/>
    <m/>
    <m/>
    <m/>
    <m/>
    <m/>
    <m/>
    <m/>
    <m/>
    <m/>
    <m/>
    <m/>
    <m/>
    <m/>
    <m/>
    <m/>
    <m/>
    <m/>
    <m/>
    <m/>
    <m/>
    <m/>
    <m/>
    <m/>
    <m/>
    <s v="Pull Back"/>
    <n v="1"/>
    <s v="Placed"/>
    <n v="3781305.1599999997"/>
    <n v="0"/>
    <n v="236600"/>
    <n v="0"/>
    <n v="0"/>
    <n v="0"/>
    <n v="2442712.11"/>
    <n v="-335500"/>
    <n v="0"/>
    <n v="685254.27"/>
    <n v="0"/>
    <n v="1821694.8600000003"/>
    <n v="8632066.3999999985"/>
    <n v="0"/>
    <n v="0"/>
    <n v="878818"/>
    <n v="0"/>
    <n v="0"/>
    <n v="0"/>
    <n v="0"/>
    <n v="0"/>
    <n v="0"/>
    <m/>
    <m/>
    <m/>
    <n v="878818"/>
    <n v="0"/>
    <n v="0"/>
    <n v="0"/>
    <n v="0"/>
    <n v="0"/>
  </r>
  <r>
    <s v="Hammad Noor"/>
    <s v="Vital Scientific"/>
    <s v="Selectra Mach 5"/>
    <n v="15002463"/>
    <s v="Clinical Chemistry"/>
    <n v="3002000105"/>
    <s v="Transferred to Medcare"/>
    <s v="24-5018"/>
    <m/>
    <m/>
    <s v="13.05.2025"/>
    <m/>
    <m/>
    <x v="1"/>
    <x v="1"/>
    <s v="Lahore"/>
    <n v="3020001221"/>
    <s v="Sharif Trust Medical City Hospital"/>
    <m/>
    <s v="Jatti Umra, Adda Plot Rawand Road, Punjab"/>
    <s v="042-37860101"/>
    <s v="smch@brain.net.pk"/>
    <s v="1888872-7"/>
    <m/>
    <n v="4335000"/>
    <n v="35"/>
    <n v="272436"/>
    <m/>
    <m/>
    <m/>
    <m/>
    <m/>
    <m/>
    <m/>
    <m/>
    <m/>
    <m/>
    <m/>
    <m/>
    <m/>
    <m/>
    <m/>
    <m/>
    <m/>
    <m/>
    <m/>
    <m/>
    <m/>
    <m/>
    <m/>
    <m/>
    <m/>
    <m/>
    <s v="Closed"/>
    <m/>
    <m/>
    <m/>
    <m/>
    <m/>
    <m/>
    <m/>
    <m/>
    <n v="258474.57"/>
    <n v="494000"/>
    <n v="354880"/>
    <m/>
    <m/>
    <n v="280000"/>
    <n v="1387354.57"/>
    <n v="0"/>
    <n v="0"/>
    <n v="0"/>
    <n v="0"/>
    <n v="0"/>
    <n v="0"/>
    <n v="0"/>
    <n v="0"/>
    <n v="0"/>
    <n v="0"/>
    <n v="0"/>
    <m/>
    <n v="0"/>
    <m/>
    <m/>
    <m/>
    <n v="0"/>
    <n v="0"/>
  </r>
  <r>
    <s v="Hammad Noor"/>
    <s v="Vital Scientific"/>
    <s v="Selectra Mach 5"/>
    <n v="15002463"/>
    <s v="Clinical Chemistry"/>
    <n v="3002000110"/>
    <m/>
    <s v="24-5032"/>
    <s v="11.02.2025"/>
    <m/>
    <s v="20.12.2024"/>
    <s v="Available"/>
    <m/>
    <x v="1"/>
    <x v="0"/>
    <s v="Karachi"/>
    <n v="3020001224"/>
    <s v="SOMH-FFH (shaukat umar memorial Hospital- fauji Foundation hospital)"/>
    <m/>
    <s v="Fauji Foundation, Shahfaisal colony-2"/>
    <s v="021-3814060"/>
    <s v="shaffat.hussain@fauji.org.pk"/>
    <s v="0710317-2"/>
    <m/>
    <n v="8800000"/>
    <n v="35"/>
    <n v="389145"/>
    <m/>
    <m/>
    <m/>
    <m/>
    <m/>
    <m/>
    <m/>
    <m/>
    <m/>
    <m/>
    <m/>
    <m/>
    <m/>
    <m/>
    <m/>
    <m/>
    <m/>
    <m/>
    <e v="#N/A"/>
    <m/>
    <m/>
    <m/>
    <m/>
    <m/>
    <m/>
    <m/>
    <m/>
    <m/>
    <m/>
    <m/>
    <m/>
    <m/>
    <m/>
    <m/>
    <m/>
    <m/>
    <m/>
    <m/>
    <m/>
    <m/>
    <m/>
    <n v="0"/>
    <m/>
    <m/>
    <n v="4557907"/>
    <m/>
    <n v="259077"/>
    <m/>
    <m/>
    <m/>
    <m/>
    <m/>
    <m/>
    <m/>
    <n v="4816984"/>
    <m/>
    <m/>
    <m/>
    <n v="0"/>
    <n v="0"/>
  </r>
  <r>
    <s v="Hammad Noor"/>
    <s v="Vital Scientific"/>
    <s v="Selectra Mach 5"/>
    <n v="15002463"/>
    <s v="Clinical Chemistry"/>
    <m/>
    <m/>
    <m/>
    <m/>
    <m/>
    <m/>
    <m/>
    <m/>
    <x v="5"/>
    <x v="0"/>
    <s v="Karachi"/>
    <n v="3020001224"/>
    <s v="SOMH-FFH (shaukat umar memorial Hospital- fauji Foundation hospital)"/>
    <m/>
    <m/>
    <m/>
    <m/>
    <m/>
    <m/>
    <n v="8800000"/>
    <n v="37"/>
    <n v="379664"/>
    <m/>
    <m/>
    <m/>
    <m/>
    <m/>
    <m/>
    <m/>
    <m/>
    <m/>
    <m/>
    <m/>
    <m/>
    <m/>
    <m/>
    <m/>
    <m/>
    <m/>
    <m/>
    <m/>
    <m/>
    <m/>
    <m/>
    <m/>
    <m/>
    <m/>
    <m/>
    <s v="on Track"/>
    <n v="1"/>
    <s v="Placed"/>
    <m/>
    <m/>
    <m/>
    <m/>
    <m/>
    <m/>
    <m/>
    <m/>
    <m/>
    <m/>
    <m/>
    <m/>
    <n v="0"/>
    <m/>
    <m/>
    <n v="4557907"/>
    <m/>
    <n v="259077"/>
    <m/>
    <m/>
    <n v="30000"/>
    <n v="2618773"/>
    <n v="3250213"/>
    <n v="3363259"/>
    <n v="2171078"/>
    <n v="16250307"/>
    <n v="5612247"/>
    <n v="221538"/>
    <n v="418339"/>
    <n v="6252124"/>
    <n v="2466729.7142857141"/>
  </r>
  <r>
    <s v="Jahangir Jalil"/>
    <s v="Erba"/>
    <s v="EC90"/>
    <n v="15002674"/>
    <s v="Electrolyte Analyzer"/>
    <n v="3002000116"/>
    <m/>
    <s v="81-1-202207"/>
    <m/>
    <m/>
    <s v="27.06.2025"/>
    <m/>
    <m/>
    <x v="0"/>
    <x v="1"/>
    <s v="Rahim Yar Khan"/>
    <n v="3020001230"/>
    <s v="Shaikh Zayed Hospital"/>
    <m/>
    <m/>
    <m/>
    <m/>
    <m/>
    <m/>
    <n v="653000"/>
    <n v="27"/>
    <n v="79375"/>
    <m/>
    <m/>
    <m/>
    <m/>
    <m/>
    <m/>
    <m/>
    <m/>
    <m/>
    <m/>
    <m/>
    <m/>
    <m/>
    <m/>
    <m/>
    <m/>
    <m/>
    <m/>
    <m/>
    <m/>
    <m/>
    <m/>
    <m/>
    <m/>
    <m/>
    <m/>
    <s v="Pull Back"/>
    <m/>
    <s v="Placed"/>
    <m/>
    <m/>
    <m/>
    <m/>
    <m/>
    <m/>
    <m/>
    <m/>
    <m/>
    <m/>
    <n v="190500"/>
    <m/>
    <n v="190500"/>
    <m/>
    <m/>
    <n v="381000"/>
    <n v="0"/>
    <n v="0"/>
    <n v="0"/>
    <n v="0"/>
    <n v="0"/>
    <n v="0"/>
    <m/>
    <m/>
    <m/>
    <n v="381000"/>
    <m/>
    <m/>
    <m/>
    <n v="0"/>
    <n v="0"/>
  </r>
  <r>
    <s v="Hammad Noor"/>
    <s v="Dymind"/>
    <s v="DYMIND DH-76"/>
    <n v="15003243"/>
    <s v="Hematology "/>
    <m/>
    <m/>
    <s v="DM11052437001"/>
    <m/>
    <m/>
    <s v="25.04.2025"/>
    <s v="Available"/>
    <m/>
    <x v="0"/>
    <x v="1"/>
    <s v="Gujranwala"/>
    <n v="3020001237"/>
    <s v="Siddique Sadiq Memorial trust"/>
    <s v="N/A"/>
    <s v="Sheikhupura road, Gujranwala"/>
    <s v="0308-4227064"/>
    <s v="ssmtci@yahoo.com"/>
    <s v="2073349-6"/>
    <m/>
    <n v="2324427"/>
    <n v="37"/>
    <n v="92242"/>
    <m/>
    <m/>
    <m/>
    <m/>
    <m/>
    <m/>
    <m/>
    <m/>
    <m/>
    <m/>
    <m/>
    <m/>
    <m/>
    <m/>
    <m/>
    <m/>
    <m/>
    <m/>
    <m/>
    <m/>
    <m/>
    <m/>
    <m/>
    <m/>
    <m/>
    <m/>
    <s v="On Track but supply issue"/>
    <n v="1"/>
    <s v="Placed"/>
    <m/>
    <m/>
    <m/>
    <m/>
    <m/>
    <m/>
    <m/>
    <m/>
    <m/>
    <m/>
    <m/>
    <m/>
    <n v="0"/>
    <n v="0"/>
    <n v="0"/>
    <n v="0"/>
    <n v="238820"/>
    <n v="0"/>
    <n v="0"/>
    <n v="222380"/>
    <n v="916400"/>
    <n v="98940"/>
    <n v="100200"/>
    <m/>
    <n v="273000"/>
    <n v="1849740"/>
    <n v="0"/>
    <n v="0"/>
    <m/>
    <n v="0"/>
    <n v="230131.42857142858"/>
  </r>
  <r>
    <s v="Hammad Noor"/>
    <s v="Vital Scientific"/>
    <s v="Selectra Mach 5"/>
    <n v="15002463"/>
    <s v="Clinical Chemistry"/>
    <n v="3002000001"/>
    <s v="N/A"/>
    <s v="22-5003"/>
    <s v="18.01.2022"/>
    <s v="29.03.2022"/>
    <s v="20.03.2022"/>
    <s v="Available"/>
    <m/>
    <x v="0"/>
    <x v="1"/>
    <s v="Gujranwala"/>
    <n v="3020001237"/>
    <s v="Siddique Sadiq Memorial trust"/>
    <s v="Mr. Usman"/>
    <s v="Sheikhupura road, Gujranwala"/>
    <s v="0304-1114242"/>
    <s v=" ssmtci@yahoo.com       "/>
    <s v="2073349-6"/>
    <m/>
    <n v="4520275"/>
    <n v="32"/>
    <n v="40000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s v="issue in instrument "/>
    <s v="Sales is below agreed terms ,reason prob in instrument and shortage of stocks . We are going to revise the prices @20% .Stocks issue resolved in next three month we will cover the deficit ."/>
    <s v=" Order is in process expected orderRs. 800,000 "/>
    <s v="prices revised to mitigate the commited Sales gap "/>
    <m/>
    <m/>
    <m/>
    <m/>
    <m/>
    <m/>
    <m/>
    <m/>
    <s v="Sales are on track. We have revised the prices. Gap will be covered within next 3 months"/>
    <m/>
    <s v="Revised case"/>
    <m/>
    <m/>
    <m/>
    <m/>
    <m/>
    <s v="behind track need followup"/>
    <n v="1"/>
    <s v="Placed"/>
    <n v="0"/>
    <n v="324345"/>
    <n v="19245"/>
    <n v="225042"/>
    <n v="677282"/>
    <n v="0"/>
    <n v="710770"/>
    <n v="0"/>
    <n v="29800"/>
    <n v="298061"/>
    <n v="610185"/>
    <n v="41090"/>
    <n v="2935820"/>
    <n v="269486"/>
    <n v="487678"/>
    <n v="93646"/>
    <n v="1110653"/>
    <n v="10602"/>
    <n v="87624"/>
    <n v="45600"/>
    <n v="815305"/>
    <n v="336333"/>
    <n v="571545"/>
    <n v="-18142"/>
    <n v="441948"/>
    <n v="4252278"/>
    <n v="141569"/>
    <n v="520230"/>
    <n v="99889"/>
    <n v="761688"/>
    <n v="356798.5"/>
  </r>
  <r>
    <s v="Jahangir Jalil"/>
    <s v="OCD"/>
    <s v="Vitros ECiQ Immunodiagnostic System"/>
    <n v="15002760"/>
    <s v="Immunoassay"/>
    <n v="3002000035"/>
    <s v="N/A"/>
    <n v="30006187"/>
    <s v="20.07.2023"/>
    <s v="17.05.2023"/>
    <s v="17.05.2023"/>
    <s v="Available"/>
    <m/>
    <x v="1"/>
    <x v="1"/>
    <s v="Lahore"/>
    <n v="3020001238"/>
    <s v="Indus Clinical Laboratories"/>
    <s v="Dr. Mateen Izhar"/>
    <s v="100-A, Shadman-1, Lahore-54000"/>
    <s v="042-37550666 &amp; 37550555"/>
    <s v="zubairee786@gmail.com     "/>
    <s v="1533283-7"/>
    <m/>
    <n v="7000000"/>
    <n v="23"/>
    <n v="909975"/>
    <m/>
    <m/>
    <m/>
    <m/>
    <s v="System is still not installed "/>
    <m/>
    <s v="System is still not installed "/>
    <s v="System is still not installed "/>
    <s v="Waiting for Inventory &amp; then invoice execution "/>
    <m/>
    <s v="New PO has been Recieved Amount Subject to Invoice "/>
    <s v="Parameter Woking Planning to shift from Roche "/>
    <m/>
    <s v="Parameter Woking Planning to shift from Roche "/>
    <s v="PO is in hand , waiting for payment "/>
    <s v="once payment will receive then order will be released by our finance and number will shown in sales "/>
    <s v="credit days issue , actually we block the orders after 30 days and our competitor has given the supplies. i think we redefine the credit days to 60"/>
    <m/>
    <s v="we have received an order of 0.4 mio. Re-negotiating the prices/Contract"/>
    <m/>
    <s v="Revised case"/>
    <m/>
    <m/>
    <s v="No sales in June and July"/>
    <m/>
    <m/>
    <m/>
    <m/>
    <m/>
    <n v="0"/>
    <n v="0"/>
    <n v="232100"/>
    <n v="47000"/>
    <n v="164500"/>
    <n v="0"/>
    <n v="0"/>
    <n v="0"/>
    <n v="249200"/>
    <n v="0"/>
    <n v="0"/>
    <n v="65700"/>
    <n v="758500"/>
    <n v="0"/>
    <n v="0"/>
    <n v="0"/>
    <n v="0"/>
    <n v="0"/>
    <m/>
    <m/>
    <m/>
    <m/>
    <m/>
    <m/>
    <m/>
    <n v="0"/>
    <m/>
    <m/>
    <m/>
    <n v="0"/>
    <n v="0"/>
  </r>
  <r>
    <s v="Jahangir Jalil"/>
    <s v="Erba"/>
    <s v="EC90"/>
    <n v="15002674"/>
    <s v="Electrolyte Analyzer "/>
    <n v="3002000043"/>
    <s v="N/A"/>
    <s v="5782-2-202302 "/>
    <s v="07.08.2023 "/>
    <s v="07.11.2023"/>
    <s v="03.08.2023"/>
    <s v="Available"/>
    <m/>
    <x v="1"/>
    <x v="0"/>
    <s v="Karachi"/>
    <n v="3020001255"/>
    <s v="JDC Diagnostic Center"/>
    <s v="N/A"/>
    <s v="House B-24, Block 20, FB Area, Gulberg Town,"/>
    <s v="0333-3351024, 021-36341059"/>
    <s v=" lab@jdcwelfare.org"/>
    <s v="4003056-3"/>
    <m/>
    <n v="442697"/>
    <n v="11"/>
    <n v="105332.5"/>
    <m/>
    <m/>
    <m/>
    <m/>
    <m/>
    <m/>
    <n v="0"/>
    <n v="0"/>
    <s v="We've received order of 280,000 in August 2023 "/>
    <s v="Order received as per commitment"/>
    <s v="No Orders received in Sep 2023 due to innaguration preparation"/>
    <s v="Working with customer to get the desired orders as per comittment"/>
    <m/>
    <m/>
    <m/>
    <m/>
    <s v="Still lab isnt completely opperational"/>
    <m/>
    <s v="Business case to be check for monthly commitment One machine to be pull back by 15 April"/>
    <m/>
    <s v="Under dicussion on pull back of one instrument, infromed to Insituite. We will pull back one unit by May 2024."/>
    <m/>
    <m/>
    <m/>
    <m/>
    <m/>
    <m/>
    <m/>
    <m/>
    <m/>
    <n v="122500"/>
    <m/>
    <n v="17500"/>
    <n v="0"/>
    <m/>
    <m/>
    <m/>
    <m/>
    <m/>
    <m/>
    <m/>
    <n v="140000"/>
    <m/>
    <m/>
    <m/>
    <m/>
    <m/>
    <m/>
    <m/>
    <m/>
    <m/>
    <m/>
    <m/>
    <m/>
    <n v="0"/>
    <m/>
    <m/>
    <m/>
    <n v="0"/>
    <n v="0"/>
  </r>
  <r>
    <s v="Jahangir Jalil"/>
    <s v="Erba"/>
    <s v="EC90"/>
    <n v="15002674"/>
    <s v="Electrolyte Analyzer "/>
    <n v="3002000043"/>
    <s v="N/A"/>
    <s v="4286-2-202208"/>
    <s v="04.07.2023"/>
    <s v="07.11.2023"/>
    <s v="08.03.2024"/>
    <s v="Available"/>
    <m/>
    <x v="1"/>
    <x v="0"/>
    <s v="Karachi"/>
    <n v="3020001255"/>
    <s v="JDC Diagnostic Center"/>
    <s v="N/A"/>
    <s v="House B-24, Block 20, FB Area, Gulberg Town,"/>
    <s v="0333-3351024, 021-36341059"/>
    <s v=" lab@jdcwelfare.org"/>
    <s v="4003056-3"/>
    <m/>
    <n v="442697"/>
    <n v="11"/>
    <n v="105332.5"/>
    <m/>
    <m/>
    <m/>
    <m/>
    <m/>
    <m/>
    <m/>
    <m/>
    <m/>
    <m/>
    <m/>
    <m/>
    <m/>
    <m/>
    <m/>
    <m/>
    <m/>
    <m/>
    <s v="Business case to be check for monthly commitment One machine to be pull back by 15 April"/>
    <m/>
    <s v="Under dicussion on pull back of one instrument, infromed to Insituite. We will pull back one unit by May 2024."/>
    <s v="Letter submitted to pull back one Unit"/>
    <m/>
    <m/>
    <m/>
    <m/>
    <m/>
    <m/>
    <m/>
    <m/>
    <n v="122500"/>
    <m/>
    <n v="17500"/>
    <n v="0"/>
    <m/>
    <m/>
    <m/>
    <m/>
    <m/>
    <m/>
    <m/>
    <n v="140000"/>
    <m/>
    <m/>
    <n v="0"/>
    <m/>
    <m/>
    <m/>
    <m/>
    <m/>
    <m/>
    <m/>
    <m/>
    <m/>
    <n v="0"/>
    <m/>
    <m/>
    <m/>
    <n v="0"/>
    <n v="0"/>
  </r>
  <r>
    <s v="Hammad Noor"/>
    <s v="YHLO"/>
    <s v="IFlash 1800 "/>
    <n v="15002462"/>
    <s v="Immunoassay"/>
    <n v="3002000071"/>
    <m/>
    <s v="IA00096724 "/>
    <m/>
    <s v="Not mentioned on the agreement "/>
    <s v="30.09.2024"/>
    <s v="Available"/>
    <m/>
    <x v="0"/>
    <x v="1"/>
    <s v="Lahore"/>
    <n v="3020001280"/>
    <s v="Test Zone"/>
    <m/>
    <s v="133-A Faisal town opposite to Allama Iqbal medical college gate no. 2"/>
    <s v="0336-4820296 &amp; 042-35163747"/>
    <s v="support@testzone.com.pk"/>
    <s v="4008662-3"/>
    <m/>
    <n v="4615000"/>
    <n v="15"/>
    <n v="2046333"/>
    <m/>
    <m/>
    <m/>
    <m/>
    <m/>
    <m/>
    <m/>
    <m/>
    <m/>
    <m/>
    <m/>
    <m/>
    <m/>
    <m/>
    <m/>
    <m/>
    <m/>
    <m/>
    <e v="#N/A"/>
    <m/>
    <m/>
    <m/>
    <m/>
    <m/>
    <m/>
    <m/>
    <s v="behind track need followup"/>
    <n v="1"/>
    <s v="Placed"/>
    <m/>
    <m/>
    <m/>
    <m/>
    <m/>
    <m/>
    <m/>
    <n v="2085200"/>
    <n v="804000"/>
    <n v="590000"/>
    <n v="803000"/>
    <n v="0"/>
    <n v="4282200"/>
    <n v="2171000"/>
    <n v="0"/>
    <n v="0"/>
    <n v="496000"/>
    <n v="1771200"/>
    <m/>
    <n v="2783753"/>
    <m/>
    <n v="1174300"/>
    <n v="2198150"/>
    <n v="0"/>
    <m/>
    <n v="10594403"/>
    <m/>
    <m/>
    <m/>
    <n v="0"/>
    <n v="1539050.75"/>
  </r>
  <r>
    <s v="Hammad Noor"/>
    <s v="YHLO"/>
    <s v="iFlash 1200"/>
    <n v="15002553"/>
    <s v="Immunoassay"/>
    <s v="AR # 300346"/>
    <m/>
    <s v="ID00148543"/>
    <m/>
    <m/>
    <s v="17.07.2025"/>
    <m/>
    <m/>
    <x v="0"/>
    <x v="1"/>
    <s v="Multan"/>
    <n v="3020001280"/>
    <s v="Test Zone Multan"/>
    <m/>
    <m/>
    <m/>
    <m/>
    <m/>
    <m/>
    <n v="2894655"/>
    <n v="36"/>
    <n v="529290"/>
    <m/>
    <m/>
    <m/>
    <m/>
    <m/>
    <m/>
    <m/>
    <m/>
    <m/>
    <m/>
    <m/>
    <m/>
    <m/>
    <m/>
    <m/>
    <m/>
    <m/>
    <m/>
    <m/>
    <m/>
    <m/>
    <m/>
    <m/>
    <m/>
    <m/>
    <m/>
    <s v="behind track need followup"/>
    <n v="1"/>
    <s v="Placed"/>
    <m/>
    <m/>
    <m/>
    <m/>
    <m/>
    <m/>
    <m/>
    <m/>
    <m/>
    <m/>
    <m/>
    <n v="0"/>
    <n v="0"/>
    <m/>
    <m/>
    <m/>
    <m/>
    <m/>
    <m/>
    <m/>
    <m/>
    <m/>
    <m/>
    <n v="0"/>
    <m/>
    <n v="0"/>
    <m/>
    <m/>
    <m/>
    <n v="0"/>
    <n v="0"/>
  </r>
  <r>
    <s v="Hammad Noor"/>
    <s v="YHLO"/>
    <s v="iFlash 3000"/>
    <n v="15003241"/>
    <s v="Immunoassay"/>
    <s v="AR # 300245"/>
    <m/>
    <s v="FC4040144B"/>
    <m/>
    <m/>
    <s v="17.07.2025"/>
    <m/>
    <m/>
    <x v="0"/>
    <x v="1"/>
    <s v="Lahore"/>
    <n v="3020001280"/>
    <s v="Test Zone"/>
    <m/>
    <s v="133-A Faisal town opposite to Allama Iqbal medical college gate no. 2"/>
    <s v="0336-4820296 &amp; 042-35163747"/>
    <s v="support@testzone.com.pk"/>
    <s v="4008662-3"/>
    <m/>
    <n v="5025642"/>
    <n v="36"/>
    <n v="1028560"/>
    <m/>
    <m/>
    <m/>
    <m/>
    <m/>
    <m/>
    <m/>
    <m/>
    <m/>
    <m/>
    <m/>
    <m/>
    <m/>
    <m/>
    <m/>
    <m/>
    <m/>
    <m/>
    <m/>
    <m/>
    <m/>
    <m/>
    <m/>
    <m/>
    <m/>
    <m/>
    <s v="behind track need followup"/>
    <n v="1"/>
    <s v="Placed"/>
    <m/>
    <m/>
    <m/>
    <m/>
    <m/>
    <m/>
    <m/>
    <m/>
    <m/>
    <m/>
    <m/>
    <m/>
    <n v="0"/>
    <m/>
    <m/>
    <m/>
    <m/>
    <m/>
    <m/>
    <m/>
    <m/>
    <m/>
    <m/>
    <n v="0"/>
    <m/>
    <n v="0"/>
    <m/>
    <m/>
    <m/>
    <n v="0"/>
    <n v="0"/>
  </r>
  <r>
    <s v="Hammad Noor"/>
    <s v="YHLO"/>
    <s v="iFlash 1800"/>
    <n v="15002462"/>
    <s v="Immunoassay"/>
    <n v="3002000100"/>
    <m/>
    <s v="IA00147046"/>
    <m/>
    <m/>
    <s v="14.05.2025"/>
    <m/>
    <m/>
    <x v="0"/>
    <x v="2"/>
    <s v="Rawalpindi"/>
    <n v="3020001357"/>
    <s v="Healthway Laboratories"/>
    <m/>
    <m/>
    <m/>
    <m/>
    <m/>
    <m/>
    <n v="4715000"/>
    <n v="35"/>
    <n v="551283"/>
    <m/>
    <m/>
    <m/>
    <m/>
    <m/>
    <m/>
    <m/>
    <m/>
    <m/>
    <m/>
    <m/>
    <m/>
    <m/>
    <m/>
    <m/>
    <m/>
    <m/>
    <m/>
    <m/>
    <m/>
    <m/>
    <m/>
    <m/>
    <m/>
    <m/>
    <m/>
    <s v="Behind Track Followup"/>
    <n v="1"/>
    <s v="Placed"/>
    <m/>
    <m/>
    <m/>
    <m/>
    <m/>
    <m/>
    <m/>
    <m/>
    <m/>
    <m/>
    <m/>
    <m/>
    <n v="0"/>
    <n v="1124145"/>
    <n v="181223"/>
    <n v="286961"/>
    <n v="695411"/>
    <n v="722945"/>
    <n v="448757"/>
    <n v="881376"/>
    <n v="397279"/>
    <n v="571425"/>
    <n v="0"/>
    <n v="0"/>
    <n v="1474506"/>
    <n v="6784028"/>
    <n v="40800"/>
    <n v="0"/>
    <m/>
    <n v="40800"/>
    <n v="420673.25"/>
  </r>
  <r>
    <s v="Hammad Noor"/>
    <s v="Boule"/>
    <s v="Swelab Alfa Plus Standard"/>
    <n v="15001967"/>
    <s v="Hematology"/>
    <n v="3002000039"/>
    <m/>
    <n v="121495"/>
    <s v="07.11.2023"/>
    <m/>
    <s v="07.11.2023"/>
    <s v="Available"/>
    <m/>
    <x v="1"/>
    <x v="0"/>
    <s v="Hyderabad"/>
    <n v="3020001382"/>
    <s v="Liaquat Univerty Hospital through Ojhal Enterprises"/>
    <s v="Junaid Ahmed Jatoi"/>
    <s v="National Stadium Road, Karachi"/>
    <s v="022-2666644, 0333-2751669"/>
    <s v="enterprisesojal@gmail.com"/>
    <m/>
    <s v="45501-4957284-1"/>
    <n v="880301.4"/>
    <n v="15"/>
    <n v="156749.4"/>
    <m/>
    <m/>
    <m/>
    <m/>
    <m/>
    <m/>
    <m/>
    <m/>
    <m/>
    <m/>
    <m/>
    <m/>
    <m/>
    <m/>
    <m/>
    <m/>
    <m/>
    <m/>
    <s v="Sales On track"/>
    <m/>
    <e v="#REF!"/>
    <m/>
    <m/>
    <s v="No sales in June and July"/>
    <m/>
    <m/>
    <s v="Close"/>
    <m/>
    <m/>
    <m/>
    <n v="855000"/>
    <m/>
    <m/>
    <n v="1710000"/>
    <m/>
    <m/>
    <m/>
    <m/>
    <m/>
    <m/>
    <m/>
    <n v="2565000"/>
    <m/>
    <m/>
    <n v="0"/>
    <m/>
    <m/>
    <m/>
    <m/>
    <m/>
    <m/>
    <m/>
    <m/>
    <m/>
    <n v="0"/>
    <n v="0"/>
    <n v="0"/>
    <m/>
    <n v="0"/>
    <n v="0"/>
  </r>
  <r>
    <s v="Hammad Noor"/>
    <s v="Boule"/>
    <s v="Swelab Alfa Plus Standard"/>
    <n v="15001967"/>
    <s v="Hematology"/>
    <n v="3002000064"/>
    <m/>
    <n v="121497"/>
    <s v="07.11.2023"/>
    <m/>
    <s v="07.11.2023"/>
    <s v="Available"/>
    <m/>
    <x v="1"/>
    <x v="0"/>
    <s v="Hyderabad"/>
    <n v="3020001382"/>
    <s v="Liaquat Univerty Hospital through Ojhal Enterprises"/>
    <s v="Junaid Ahmed Jatoi"/>
    <s v="National Stadium Road, Karachi"/>
    <s v="022-2666644, 0333-2751669"/>
    <s v="enterprisesojal@gmail.com"/>
    <m/>
    <s v="45501-4957284-1"/>
    <n v="880301.4"/>
    <n v="15"/>
    <n v="156749.4"/>
    <m/>
    <m/>
    <m/>
    <m/>
    <m/>
    <m/>
    <m/>
    <m/>
    <m/>
    <m/>
    <m/>
    <m/>
    <m/>
    <m/>
    <m/>
    <m/>
    <m/>
    <m/>
    <s v="Sales On track"/>
    <m/>
    <e v="#REF!"/>
    <m/>
    <m/>
    <s v="No sales in June and July"/>
    <m/>
    <m/>
    <s v="Close"/>
    <m/>
    <m/>
    <m/>
    <n v="855000"/>
    <m/>
    <m/>
    <n v="1710000"/>
    <m/>
    <m/>
    <m/>
    <m/>
    <m/>
    <m/>
    <m/>
    <n v="2565000"/>
    <m/>
    <m/>
    <n v="0"/>
    <m/>
    <m/>
    <m/>
    <m/>
    <m/>
    <m/>
    <m/>
    <m/>
    <m/>
    <n v="0"/>
    <m/>
    <m/>
    <m/>
    <n v="0"/>
    <n v="0"/>
  </r>
  <r>
    <s v="Hammad Noor"/>
    <s v="Boule"/>
    <s v="Swelab Alfa Plus Standard"/>
    <n v="15001967"/>
    <s v="Hematology"/>
    <n v="3002000050"/>
    <m/>
    <n v="122531"/>
    <s v="07.11.2023"/>
    <s v="31.10.2023"/>
    <s v="07.11.2023"/>
    <s v="Available"/>
    <m/>
    <x v="1"/>
    <x v="0"/>
    <s v="Hyderabad"/>
    <n v="3020001382"/>
    <s v="Liaquat Univerty Hospital through Ojhal Enterprises"/>
    <s v="Junaid Ahmed Jatoi"/>
    <s v="National Stadium Road, Karachi"/>
    <s v="022-2666644, 0333-2751669"/>
    <s v="enterprisesojal@gmail.com"/>
    <m/>
    <s v="45501-4957284-1"/>
    <n v="880301.4"/>
    <n v="15"/>
    <n v="156749.4"/>
    <m/>
    <m/>
    <m/>
    <m/>
    <m/>
    <m/>
    <m/>
    <m/>
    <m/>
    <m/>
    <m/>
    <m/>
    <m/>
    <m/>
    <m/>
    <m/>
    <m/>
    <m/>
    <s v="Sales On track"/>
    <m/>
    <e v="#REF!"/>
    <m/>
    <m/>
    <s v="No sales in June and July"/>
    <m/>
    <m/>
    <s v="Close"/>
    <m/>
    <m/>
    <m/>
    <n v="855000"/>
    <m/>
    <m/>
    <n v="1710000"/>
    <m/>
    <m/>
    <m/>
    <m/>
    <m/>
    <m/>
    <m/>
    <n v="2565000"/>
    <m/>
    <m/>
    <n v="0"/>
    <m/>
    <m/>
    <m/>
    <m/>
    <m/>
    <m/>
    <m/>
    <m/>
    <m/>
    <n v="0"/>
    <m/>
    <m/>
    <m/>
    <n v="0"/>
    <n v="0"/>
  </r>
  <r>
    <s v="Hammad Noor"/>
    <s v="Boule"/>
    <s v="Swelab Alfa Plus Standard"/>
    <n v="15001967"/>
    <s v="Hematology "/>
    <n v="3002000051"/>
    <s v="N/A"/>
    <n v="123197"/>
    <s v="22.11.2023"/>
    <s v="31.10.2023"/>
    <s v="07.11.2023"/>
    <s v="Available"/>
    <m/>
    <x v="1"/>
    <x v="0"/>
    <s v="Hyderabad"/>
    <n v="3020001382"/>
    <s v="Liaquat Univerty Hospital through Ojhal Enterprises"/>
    <s v="Junaid Ahmed Jatoi"/>
    <s v="National Stadium Road, Karachi"/>
    <s v="022-2666644, 0333-2751669"/>
    <s v="enterprisesojal@gmail.com"/>
    <m/>
    <s v="45501-4957284-1"/>
    <n v="880301.4"/>
    <n v="15"/>
    <n v="156749.4"/>
    <m/>
    <m/>
    <m/>
    <m/>
    <m/>
    <m/>
    <m/>
    <m/>
    <m/>
    <m/>
    <m/>
    <m/>
    <m/>
    <m/>
    <m/>
    <m/>
    <m/>
    <m/>
    <s v="Sales On track"/>
    <m/>
    <e v="#REF!"/>
    <m/>
    <m/>
    <s v="No sales in June and July"/>
    <m/>
    <m/>
    <s v="Close"/>
    <m/>
    <m/>
    <m/>
    <n v="855000"/>
    <m/>
    <m/>
    <n v="1710000"/>
    <m/>
    <m/>
    <m/>
    <m/>
    <m/>
    <m/>
    <m/>
    <n v="2565000"/>
    <m/>
    <m/>
    <n v="0"/>
    <m/>
    <m/>
    <m/>
    <m/>
    <m/>
    <m/>
    <m/>
    <m/>
    <m/>
    <n v="0"/>
    <m/>
    <m/>
    <m/>
    <n v="0"/>
    <n v="0"/>
  </r>
  <r>
    <s v="Hammad Noor"/>
    <s v="Boule"/>
    <s v="Swelab Alfa Plus Standard"/>
    <n v="15001967"/>
    <s v="Hematology"/>
    <n v="3002000048"/>
    <m/>
    <n v="121496"/>
    <s v="07.11.2023"/>
    <m/>
    <s v="07.11.2023"/>
    <s v="Available"/>
    <m/>
    <x v="1"/>
    <x v="0"/>
    <s v="Hyderabad"/>
    <n v="3020001382"/>
    <s v="Liaquat Univerty Hospital through Ojhal Enterprises"/>
    <s v="Junaid Ahmed Jatoi"/>
    <s v="National Stadium Road, Karachi"/>
    <s v="022-2666644, 0333-2751669"/>
    <s v="enterprisesojal@gmail.com"/>
    <m/>
    <s v="45501-4957284-1"/>
    <n v="880301.4"/>
    <n v="15"/>
    <n v="156749.4"/>
    <m/>
    <m/>
    <m/>
    <m/>
    <m/>
    <m/>
    <m/>
    <m/>
    <m/>
    <m/>
    <m/>
    <m/>
    <m/>
    <m/>
    <m/>
    <m/>
    <m/>
    <m/>
    <s v="Sales On track"/>
    <m/>
    <e v="#REF!"/>
    <m/>
    <m/>
    <s v="No sales in June and July"/>
    <m/>
    <m/>
    <s v="Close"/>
    <m/>
    <m/>
    <m/>
    <n v="855000"/>
    <m/>
    <m/>
    <n v="1710000"/>
    <m/>
    <m/>
    <m/>
    <m/>
    <m/>
    <m/>
    <m/>
    <n v="2565000"/>
    <m/>
    <m/>
    <n v="0"/>
    <m/>
    <m/>
    <m/>
    <m/>
    <m/>
    <m/>
    <m/>
    <m/>
    <m/>
    <n v="0"/>
    <m/>
    <m/>
    <m/>
    <n v="0"/>
    <n v="0"/>
  </r>
  <r>
    <s v="Hammad Noor"/>
    <s v="YHLO"/>
    <s v="iFlash 1200"/>
    <n v="15002553"/>
    <s v="Immunoassay"/>
    <s v="AR # 300322"/>
    <s v="Transferred from demo"/>
    <s v="ID00094934"/>
    <m/>
    <m/>
    <s v="23.05.2025"/>
    <m/>
    <m/>
    <x v="0"/>
    <x v="1"/>
    <s v="Gujranwala"/>
    <n v="3020001384"/>
    <s v="Ishtiaq Tarrar Medical Complex"/>
    <m/>
    <s v="Sialkot Road, Civil Lines, Punjab"/>
    <s v="055-3841018 &amp; 0322-5955955"/>
    <s v="waleed.tarrar000gmail.com"/>
    <m/>
    <s v="34101-5252040-3"/>
    <n v="2549913"/>
    <n v="36"/>
    <n v="237632"/>
    <m/>
    <m/>
    <m/>
    <m/>
    <m/>
    <m/>
    <m/>
    <m/>
    <m/>
    <m/>
    <m/>
    <m/>
    <m/>
    <m/>
    <m/>
    <m/>
    <m/>
    <m/>
    <m/>
    <m/>
    <m/>
    <m/>
    <m/>
    <m/>
    <m/>
    <m/>
    <s v="On Track"/>
    <n v="1"/>
    <s v="Placed"/>
    <m/>
    <m/>
    <m/>
    <n v="177445"/>
    <n v="495075"/>
    <m/>
    <n v="420095"/>
    <n v="211140"/>
    <n v="266225"/>
    <n v="568130"/>
    <m/>
    <n v="894585"/>
    <n v="3032695"/>
    <n v="443670"/>
    <n v="0"/>
    <n v="582767"/>
    <n v="418255"/>
    <n v="542800"/>
    <n v="664740"/>
    <n v="95220"/>
    <n v="403765"/>
    <n v="295895"/>
    <n v="671485"/>
    <n v="766780"/>
    <n v="660790"/>
    <n v="5546167"/>
    <n v="280370"/>
    <n v="77280"/>
    <m/>
    <n v="357650"/>
    <n v="406448.125"/>
  </r>
  <r>
    <s v="Jahangir Jalil"/>
    <s v="Nova"/>
    <s v="Nova Prime CCS"/>
    <n v="15002705"/>
    <s v="Arterial Blood Gas Analyzer"/>
    <n v="3002000104"/>
    <m/>
    <s v="P078240140C"/>
    <m/>
    <m/>
    <s v="14.05.2025"/>
    <m/>
    <m/>
    <x v="0"/>
    <x v="2"/>
    <s v="Peshawar"/>
    <n v="3020001399"/>
    <s v="Rehman Medical Institute, Peshawar"/>
    <m/>
    <m/>
    <m/>
    <m/>
    <m/>
    <m/>
    <n v="2270000"/>
    <n v="20"/>
    <n v="380500"/>
    <m/>
    <m/>
    <m/>
    <m/>
    <m/>
    <m/>
    <m/>
    <m/>
    <m/>
    <m/>
    <m/>
    <m/>
    <m/>
    <m/>
    <m/>
    <m/>
    <m/>
    <m/>
    <m/>
    <m/>
    <m/>
    <m/>
    <m/>
    <m/>
    <m/>
    <m/>
    <s v="Behind Track"/>
    <n v="1"/>
    <s v="Placed"/>
    <m/>
    <m/>
    <m/>
    <m/>
    <m/>
    <m/>
    <m/>
    <m/>
    <m/>
    <m/>
    <m/>
    <m/>
    <n v="0"/>
    <n v="536000"/>
    <n v="0"/>
    <n v="0"/>
    <n v="0"/>
    <n v="0"/>
    <n v="1018000"/>
    <n v="0"/>
    <n v="0"/>
    <n v="0"/>
    <n v="0"/>
    <m/>
    <n v="1198000"/>
    <n v="2752000"/>
    <n v="0"/>
    <n v="-120000"/>
    <n v="0"/>
    <n v="-120000"/>
    <n v="154000"/>
  </r>
  <r>
    <s v="Jahangir Jalil"/>
    <s v="Headway"/>
    <s v="HUBT-20P"/>
    <m/>
    <m/>
    <m/>
    <s v="Transferred from demo"/>
    <n v="2024070199"/>
    <m/>
    <m/>
    <s v="04.06.2025"/>
    <m/>
    <s v="Issued to Fawad shah for exhibition purpose in Peshawar on dated 14.04.2025 against LS Demo # 8300058987 customer # 3020001583"/>
    <x v="2"/>
    <x v="2"/>
    <s v="Peshawar"/>
    <n v="3020001399"/>
    <s v="Rehman Medical Institute (Pvt) Ltd"/>
    <m/>
    <s v="5/B-2, Phase 5, Hayatabad, KPK"/>
    <s v="091-5838333 &amp; 0336-2244360"/>
    <s v="raees.ahmed@rmi.edu.pk"/>
    <s v="1804447-6"/>
    <m/>
    <n v="1272000"/>
    <n v="9"/>
    <n v="350000"/>
    <m/>
    <m/>
    <m/>
    <m/>
    <m/>
    <m/>
    <m/>
    <m/>
    <m/>
    <m/>
    <m/>
    <m/>
    <m/>
    <m/>
    <m/>
    <m/>
    <m/>
    <m/>
    <m/>
    <m/>
    <m/>
    <m/>
    <m/>
    <m/>
    <m/>
    <m/>
    <s v="Behind Track Followup"/>
    <n v="1"/>
    <s v="Placed"/>
    <m/>
    <m/>
    <m/>
    <m/>
    <m/>
    <m/>
    <m/>
    <m/>
    <m/>
    <m/>
    <m/>
    <m/>
    <n v="0"/>
    <m/>
    <m/>
    <m/>
    <m/>
    <m/>
    <m/>
    <m/>
    <m/>
    <m/>
    <m/>
    <m/>
    <m/>
    <n v="0"/>
    <n v="0"/>
    <n v="0"/>
    <n v="0"/>
    <n v="0"/>
    <n v="0"/>
  </r>
  <r>
    <s v="Hammad Noor"/>
    <s v="YHLO"/>
    <s v="iFlash 1800"/>
    <n v="15002462"/>
    <s v="Immunoassay"/>
    <n v="3002000072"/>
    <s v="Transfer to Bio Care Islamabad"/>
    <s v="iA00093422"/>
    <s v="19.09.2023"/>
    <s v="20.09.2023"/>
    <s v="20.09.2023"/>
    <s v="Not Available"/>
    <m/>
    <x v="1"/>
    <x v="2"/>
    <s v="Swat"/>
    <n v="3020001430"/>
    <s v="Suhail Daignostic "/>
    <s v="N/A"/>
    <s v=" Opposite Azeem Medical Centre, Fatima Jinnah Road"/>
    <s v="081-2823350, 0331-8055742"/>
    <s v=" sohailenterprisesqta@gmail.com"/>
    <s v="4471634-7"/>
    <s v=" 54400-4142931-3"/>
    <n v="2983545"/>
    <n v="12"/>
    <n v="751293"/>
    <m/>
    <m/>
    <m/>
    <m/>
    <m/>
    <m/>
    <m/>
    <m/>
    <m/>
    <m/>
    <m/>
    <m/>
    <m/>
    <m/>
    <m/>
    <m/>
    <m/>
    <m/>
    <s v="Recently installed "/>
    <m/>
    <m/>
    <m/>
    <m/>
    <s v="No sales in June and July"/>
    <m/>
    <m/>
    <s v="Closed"/>
    <n v="1"/>
    <m/>
    <n v="0"/>
    <n v="0"/>
    <n v="0"/>
    <n v="0"/>
    <n v="494250"/>
    <n v="0"/>
    <n v="0"/>
    <n v="1113140"/>
    <n v="397760"/>
    <n v="0"/>
    <n v="0"/>
    <n v="0"/>
    <n v="2005150"/>
    <n v="0"/>
    <n v="0"/>
    <n v="0"/>
    <n v="0"/>
    <n v="0"/>
    <n v="0"/>
    <n v="0"/>
    <n v="0"/>
    <n v="0"/>
    <n v="0"/>
    <n v="0"/>
    <m/>
    <n v="0"/>
    <m/>
    <m/>
    <m/>
    <n v="0"/>
    <n v="0"/>
  </r>
  <r>
    <s v="Jahangir Jalil"/>
    <s v="Nova"/>
    <s v="Nova Prime CCS"/>
    <n v="15002705"/>
    <s v="Arterial Blood Gas Analyzer"/>
    <m/>
    <m/>
    <s v="P078240080C"/>
    <m/>
    <m/>
    <s v="1.27.2025"/>
    <s v="Available"/>
    <m/>
    <x v="1"/>
    <x v="2"/>
    <s v="Islamabad"/>
    <n v="3020001475"/>
    <s v="Advance Diagnostic Centre"/>
    <m/>
    <s v="12-G, aih building G-8 marqaz near pso pump, Capital territory"/>
    <s v="0307-5629510"/>
    <s v="junaid@aih.net.pk"/>
    <s v="A049244-5"/>
    <m/>
    <n v="1790491"/>
    <n v="18"/>
    <n v="243750"/>
    <m/>
    <m/>
    <m/>
    <m/>
    <m/>
    <m/>
    <m/>
    <m/>
    <m/>
    <m/>
    <m/>
    <m/>
    <m/>
    <m/>
    <m/>
    <m/>
    <m/>
    <m/>
    <m/>
    <m/>
    <m/>
    <m/>
    <m/>
    <m/>
    <m/>
    <m/>
    <s v="Trf to WH KHI"/>
    <m/>
    <s v="Pulled Back"/>
    <m/>
    <m/>
    <m/>
    <m/>
    <m/>
    <m/>
    <m/>
    <m/>
    <m/>
    <m/>
    <m/>
    <m/>
    <n v="0"/>
    <n v="300000"/>
    <n v="300000"/>
    <n v="330000"/>
    <n v="300000"/>
    <n v="300000"/>
    <n v="0"/>
    <n v="0"/>
    <n v="0"/>
    <n v="0"/>
    <m/>
    <m/>
    <m/>
    <n v="1530000"/>
    <m/>
    <m/>
    <m/>
    <n v="0"/>
    <n v="0"/>
  </r>
  <r>
    <s v="Jahangir Jalil"/>
    <s v="OCD"/>
    <s v="Vitros ECiQ"/>
    <n v="15002760"/>
    <s v="Immunoassay"/>
    <m/>
    <s v="Transfer to GAMCA Venus"/>
    <m/>
    <m/>
    <m/>
    <s v="04.06.2025"/>
    <m/>
    <m/>
    <x v="1"/>
    <x v="2"/>
    <s v="Peshawar"/>
    <n v="3020001479"/>
    <s v="GAMCA (Peshawar Medical Check-up Center) Through Jan Marketing"/>
    <m/>
    <s v="Office # 632, 6th Floor Pak Medical Centre,  Khyber Bazar, KPK"/>
    <s v="0333-9102734 &amp; 091-2562734"/>
    <s v="janmarketingservices@gmail.com"/>
    <m/>
    <s v="17301-1612771-3"/>
    <n v="14396400"/>
    <n v="31"/>
    <n v="1127700"/>
    <m/>
    <m/>
    <m/>
    <m/>
    <m/>
    <m/>
    <m/>
    <m/>
    <m/>
    <m/>
    <m/>
    <m/>
    <m/>
    <m/>
    <m/>
    <m/>
    <m/>
    <m/>
    <m/>
    <m/>
    <m/>
    <m/>
    <m/>
    <m/>
    <m/>
    <m/>
    <s v="Closed"/>
    <m/>
    <s v="Not Placed"/>
    <m/>
    <m/>
    <m/>
    <m/>
    <m/>
    <m/>
    <m/>
    <m/>
    <m/>
    <m/>
    <m/>
    <m/>
    <n v="0"/>
    <m/>
    <m/>
    <m/>
    <n v="0"/>
    <n v="0"/>
    <n v="0"/>
    <n v="0"/>
    <n v="0"/>
    <n v="438708"/>
    <m/>
    <m/>
    <n v="-255468"/>
    <n v="183240"/>
    <m/>
    <m/>
    <m/>
    <n v="0"/>
    <n v="45810"/>
  </r>
  <r>
    <s v="Jahangir Jalil"/>
    <s v="Erba"/>
    <s v="EC105"/>
    <n v="15002669"/>
    <s v="Coagulation Analyzer"/>
    <n v="3002000085"/>
    <m/>
    <s v="E0848-11-140423"/>
    <m/>
    <m/>
    <m/>
    <m/>
    <m/>
    <x v="0"/>
    <x v="0"/>
    <s v="Nokundi"/>
    <n v="3020001511"/>
    <s v="Indus Hospital "/>
    <m/>
    <s v="Korangi crossing, Korangi"/>
    <s v="0332-0366593"/>
    <s v="unsa.sajjad@tih.org.pk"/>
    <m/>
    <m/>
    <n v="162901"/>
    <n v="16"/>
    <n v="38357"/>
    <m/>
    <m/>
    <m/>
    <m/>
    <m/>
    <m/>
    <m/>
    <m/>
    <m/>
    <m/>
    <m/>
    <m/>
    <m/>
    <m/>
    <m/>
    <m/>
    <m/>
    <m/>
    <e v="#N/A"/>
    <m/>
    <m/>
    <m/>
    <m/>
    <m/>
    <m/>
    <m/>
    <s v="on Track"/>
    <n v="1"/>
    <s v="Placed"/>
    <m/>
    <m/>
    <m/>
    <m/>
    <m/>
    <m/>
    <m/>
    <m/>
    <m/>
    <m/>
    <n v="77700"/>
    <n v="25400"/>
    <n v="103100"/>
    <m/>
    <m/>
    <n v="74800"/>
    <n v="25400"/>
    <m/>
    <n v="80600"/>
    <m/>
    <m/>
    <m/>
    <m/>
    <m/>
    <n v="92900"/>
    <n v="273700"/>
    <n v="442633.33333333331"/>
    <n v="-81200"/>
    <m/>
    <n v="361433.33333333331"/>
    <n v="151444.44444444441"/>
  </r>
  <r>
    <s v="Jahangir Jalil"/>
    <s v="Erba"/>
    <s v="EC90"/>
    <n v="15002674"/>
    <s v="Electrolyte Analyzer"/>
    <s v="AR # 1900389-414"/>
    <m/>
    <s v="8931-2-202401/8034-2-202308/8036-2-202308/8961-2-202402/8982-2-202402/8933-2-202402/9273-2-202405/9275-2-202405/8170-2-202308/8183-2-202309/8197-2-202309/8173-2-202308/8196-2-202309/8177-2-202309/8140-2-202308/8185-202309/8198-2-202309/9268-2-202405/9272-2-202405/9262-2-202405/9261-2-202405/9257-2-202405/9269-2-202405/9256-2-202405/9259-2-202405/8953-2-202401"/>
    <m/>
    <m/>
    <s v="12.05.2025"/>
    <m/>
    <s v="26 Machines"/>
    <x v="0"/>
    <x v="0"/>
    <s v="Karachi"/>
    <n v="3020001511"/>
    <s v="Indus Hospital &amp; Health Network"/>
    <m/>
    <s v="Korangi crossing, Korangi"/>
    <s v="0332-0366596"/>
    <s v="unsa.sajjad@tih.org.pk"/>
    <s v="3162706-4"/>
    <m/>
    <n v="17326991"/>
    <n v="29"/>
    <n v="1242200"/>
    <m/>
    <m/>
    <m/>
    <m/>
    <m/>
    <m/>
    <m/>
    <m/>
    <m/>
    <m/>
    <m/>
    <m/>
    <m/>
    <m/>
    <m/>
    <m/>
    <m/>
    <m/>
    <m/>
    <m/>
    <m/>
    <m/>
    <m/>
    <m/>
    <m/>
    <m/>
    <s v="20 machines and all will be pull back"/>
    <n v="1"/>
    <s v="Humayun"/>
    <m/>
    <m/>
    <m/>
    <m/>
    <m/>
    <m/>
    <m/>
    <m/>
    <m/>
    <m/>
    <m/>
    <m/>
    <n v="0"/>
    <m/>
    <m/>
    <m/>
    <n v="47950"/>
    <n v="344900"/>
    <n v="389200"/>
    <n v="1633400"/>
    <n v="47950"/>
    <n v="1269750"/>
    <n v="65150"/>
    <n v="0"/>
    <n v="285700"/>
    <n v="4084000"/>
    <m/>
    <m/>
    <m/>
    <n v="0"/>
    <n v="550325"/>
  </r>
  <r>
    <s v="Jahangir Jalil"/>
    <s v="Erba"/>
    <s v="EC90 "/>
    <n v="15002674"/>
    <s v="Electrolyte Analyzer"/>
    <n v="3002000084"/>
    <m/>
    <s v="6909-2-202305"/>
    <m/>
    <m/>
    <m/>
    <m/>
    <m/>
    <x v="0"/>
    <x v="0"/>
    <s v="Nokundi"/>
    <n v="3020001511"/>
    <s v="Indus Hospital "/>
    <m/>
    <s v="Korangi crossing, Korangi"/>
    <s v="0332-0366595"/>
    <s v="unsa.sajjad@tih.org.pk"/>
    <m/>
    <m/>
    <n v="275285"/>
    <n v="10"/>
    <n v="64040"/>
    <m/>
    <m/>
    <m/>
    <m/>
    <m/>
    <m/>
    <m/>
    <m/>
    <m/>
    <m/>
    <m/>
    <m/>
    <m/>
    <m/>
    <m/>
    <m/>
    <m/>
    <m/>
    <e v="#N/A"/>
    <m/>
    <m/>
    <m/>
    <m/>
    <m/>
    <m/>
    <m/>
    <s v="on Track"/>
    <n v="1"/>
    <s v="Placed"/>
    <m/>
    <m/>
    <m/>
    <m/>
    <m/>
    <m/>
    <m/>
    <m/>
    <m/>
    <m/>
    <n v="38800"/>
    <n v="70000"/>
    <n v="108800"/>
    <n v="0"/>
    <n v="0"/>
    <n v="0"/>
    <n v="47950"/>
    <n v="344900"/>
    <n v="389200"/>
    <n v="1633400"/>
    <n v="47950"/>
    <n v="1269750"/>
    <n v="65150"/>
    <n v="0"/>
    <n v="285700"/>
    <n v="4084000"/>
    <n v="442633.33333333331"/>
    <n v="-81200"/>
    <n v="0"/>
    <n v="361433.33333333331"/>
    <n v="457922.91666666669"/>
  </r>
  <r>
    <s v="Jahangir Jalil"/>
    <s v="Erba"/>
    <s v="Laura Smart "/>
    <n v="15002670"/>
    <s v="Urine Analyzer"/>
    <n v="3002000086"/>
    <m/>
    <s v="10477-1-202306"/>
    <m/>
    <m/>
    <m/>
    <m/>
    <m/>
    <x v="0"/>
    <x v="0"/>
    <s v="Nokundi"/>
    <n v="3020001511"/>
    <s v="Indus Hospital "/>
    <m/>
    <s v="Korangi crossing, Korangi"/>
    <s v="0332-0366594"/>
    <s v="unsa.sajjad@tih.org.pk"/>
    <m/>
    <m/>
    <n v="188518"/>
    <n v="16"/>
    <n v="25920"/>
    <m/>
    <m/>
    <m/>
    <m/>
    <m/>
    <m/>
    <m/>
    <m/>
    <m/>
    <m/>
    <m/>
    <m/>
    <m/>
    <m/>
    <m/>
    <m/>
    <m/>
    <m/>
    <e v="#N/A"/>
    <m/>
    <m/>
    <m/>
    <m/>
    <m/>
    <m/>
    <m/>
    <s v="on Track"/>
    <n v="1"/>
    <s v="Placed"/>
    <m/>
    <m/>
    <m/>
    <m/>
    <m/>
    <m/>
    <m/>
    <m/>
    <m/>
    <m/>
    <m/>
    <n v="12800"/>
    <n v="12800"/>
    <n v="0"/>
    <n v="0"/>
    <n v="51800"/>
    <n v="0"/>
    <n v="0"/>
    <n v="39600"/>
    <n v="0"/>
    <n v="0"/>
    <n v="0"/>
    <n v="0"/>
    <n v="0"/>
    <n v="25600"/>
    <n v="117000"/>
    <n v="442633.33333333331"/>
    <n v="-81200"/>
    <n v="0"/>
    <n v="361433.33333333331"/>
    <n v="48379.166666666664"/>
  </r>
  <r>
    <s v="Hammad Noor"/>
    <s v="Vital Scientific"/>
    <s v="Microlab 300"/>
    <n v="15000003"/>
    <s v="Clinical Chemistry"/>
    <n v="3002000083"/>
    <m/>
    <s v="23-46854"/>
    <m/>
    <m/>
    <m/>
    <m/>
    <m/>
    <x v="0"/>
    <x v="0"/>
    <s v="Nokundi"/>
    <n v="3020001511"/>
    <s v="Indus Hospital "/>
    <m/>
    <s v="Korangi crossing, Korangi"/>
    <s v="0332-0366596"/>
    <s v="unsa.sajjad@tih.org.pk"/>
    <m/>
    <m/>
    <n v="420800"/>
    <n v="3"/>
    <n v="327855"/>
    <m/>
    <m/>
    <m/>
    <m/>
    <m/>
    <m/>
    <m/>
    <m/>
    <m/>
    <m/>
    <m/>
    <m/>
    <m/>
    <m/>
    <m/>
    <m/>
    <m/>
    <m/>
    <e v="#N/A"/>
    <m/>
    <m/>
    <m/>
    <m/>
    <m/>
    <m/>
    <m/>
    <s v="on Track"/>
    <n v="1"/>
    <s v="Placed"/>
    <m/>
    <m/>
    <m/>
    <m/>
    <m/>
    <m/>
    <m/>
    <m/>
    <m/>
    <m/>
    <n v="463978"/>
    <n v="42978"/>
    <n v="506956"/>
    <n v="0"/>
    <n v="0"/>
    <n v="1407054.5"/>
    <n v="578759"/>
    <n v="0"/>
    <n v="313687"/>
    <n v="199298.5"/>
    <n v="0"/>
    <n v="197023"/>
    <n v="232304"/>
    <m/>
    <n v="1779910"/>
    <n v="4708036"/>
    <n v="184333"/>
    <n v="602718"/>
    <m/>
    <n v="787051"/>
    <n v="456512.35714285716"/>
  </r>
  <r>
    <s v="Hammad Noor"/>
    <s v="Boule"/>
    <s v="Swelab Alfa Plus Standard"/>
    <n v="15001967"/>
    <s v="Hematology "/>
    <n v="3002000082"/>
    <m/>
    <n v="122534"/>
    <m/>
    <m/>
    <m/>
    <m/>
    <m/>
    <x v="0"/>
    <x v="0"/>
    <s v="Nokundi"/>
    <n v="3020001511"/>
    <s v="Indus Hospital "/>
    <m/>
    <s v="Korangi crossing, Korangi"/>
    <s v="0332-0366592"/>
    <s v="unsa.sajjad@tih.org.pk"/>
    <s v="3162706-4"/>
    <m/>
    <n v="1071664"/>
    <n v="26"/>
    <n v="95790"/>
    <m/>
    <m/>
    <m/>
    <m/>
    <m/>
    <m/>
    <m/>
    <m/>
    <m/>
    <m/>
    <m/>
    <m/>
    <m/>
    <m/>
    <m/>
    <m/>
    <m/>
    <m/>
    <e v="#N/A"/>
    <m/>
    <m/>
    <m/>
    <m/>
    <m/>
    <m/>
    <m/>
    <s v="Behind track"/>
    <n v="1"/>
    <s v="Placed"/>
    <m/>
    <m/>
    <m/>
    <m/>
    <m/>
    <m/>
    <m/>
    <m/>
    <m/>
    <m/>
    <n v="126000"/>
    <n v="30000"/>
    <n v="156000"/>
    <n v="0"/>
    <n v="0"/>
    <n v="126000"/>
    <n v="0"/>
    <n v="0"/>
    <n v="0"/>
    <n v="0"/>
    <n v="0"/>
    <n v="30000"/>
    <m/>
    <m/>
    <n v="363000"/>
    <n v="519000"/>
    <n v="0"/>
    <n v="0"/>
    <m/>
    <n v="0"/>
    <n v="65500"/>
  </r>
  <r>
    <s v="Hammad Noor"/>
    <s v="Vital Scientific"/>
    <s v="Microlab 300"/>
    <n v="15000003"/>
    <s v="Clinical Chemistry"/>
    <s v="AR # 19000491"/>
    <m/>
    <s v="25-47705"/>
    <m/>
    <m/>
    <s v="27.08.2025"/>
    <m/>
    <m/>
    <x v="2"/>
    <x v="0"/>
    <s v="Quetta"/>
    <n v="3020001511"/>
    <s v="Public Welfare Sheikh Zayed (The Indus Hospital)"/>
    <m/>
    <s v="Korangi crossing, Korangi"/>
    <s v="0332-0366592"/>
    <s v="unsa.sajjad@tih.org.pk"/>
    <s v="3162706-4"/>
    <m/>
    <n v="507833"/>
    <n v="3"/>
    <n v="327855"/>
    <m/>
    <m/>
    <m/>
    <m/>
    <m/>
    <m/>
    <m/>
    <m/>
    <m/>
    <m/>
    <m/>
    <m/>
    <m/>
    <m/>
    <m/>
    <m/>
    <m/>
    <m/>
    <m/>
    <m/>
    <m/>
    <m/>
    <m/>
    <m/>
    <m/>
    <m/>
    <s v="New machines"/>
    <m/>
    <s v="Placed"/>
    <m/>
    <m/>
    <m/>
    <m/>
    <m/>
    <m/>
    <m/>
    <m/>
    <m/>
    <m/>
    <m/>
    <m/>
    <n v="0"/>
    <m/>
    <m/>
    <m/>
    <m/>
    <m/>
    <m/>
    <m/>
    <m/>
    <m/>
    <m/>
    <m/>
    <m/>
    <n v="0"/>
    <m/>
    <m/>
    <m/>
    <n v="0"/>
    <n v="0"/>
  </r>
  <r>
    <s v="Jahangir Jalil"/>
    <s v="Erba"/>
    <s v="Erba EC90"/>
    <n v="15002674"/>
    <s v="Electrolyte Analyzer "/>
    <m/>
    <m/>
    <m/>
    <m/>
    <m/>
    <s v="11.20.2025"/>
    <m/>
    <m/>
    <x v="2"/>
    <x v="0"/>
    <s v="Sui Balochistan"/>
    <n v="3020001511"/>
    <s v="Indus Hospital Health Network (SUI Campus)"/>
    <m/>
    <s v="Korangi crossing, Korangi"/>
    <s v="0332-0366592"/>
    <s v="unsa.sajjad@tih.org.pk"/>
    <s v="3162706-4"/>
    <m/>
    <n v="597824"/>
    <n v="37"/>
    <n v="28928"/>
    <m/>
    <m/>
    <m/>
    <m/>
    <m/>
    <m/>
    <m/>
    <m/>
    <m/>
    <m/>
    <m/>
    <m/>
    <m/>
    <m/>
    <m/>
    <m/>
    <m/>
    <m/>
    <m/>
    <m/>
    <m/>
    <m/>
    <m/>
    <m/>
    <m/>
    <m/>
    <s v="New installation"/>
    <m/>
    <s v="Placed"/>
    <m/>
    <m/>
    <m/>
    <m/>
    <m/>
    <m/>
    <m/>
    <m/>
    <m/>
    <m/>
    <m/>
    <m/>
    <n v="0"/>
    <m/>
    <m/>
    <m/>
    <m/>
    <m/>
    <m/>
    <m/>
    <m/>
    <m/>
    <m/>
    <m/>
    <m/>
    <n v="0"/>
    <m/>
    <m/>
    <m/>
    <n v="0"/>
    <n v="0"/>
  </r>
  <r>
    <s v="Jahangir Jalil"/>
    <s v="Erba"/>
    <s v="Laura Semi Automatic"/>
    <n v="15002671"/>
    <s v="Urine Analyzer"/>
    <n v="3002000038"/>
    <m/>
    <s v="898-1-202110"/>
    <m/>
    <s v="26.07.2022"/>
    <s v="23.10.2023"/>
    <m/>
    <m/>
    <x v="1"/>
    <x v="0"/>
    <s v="Karachi"/>
    <n v="3020001552"/>
    <s v="Jinnah Post Graduate Medical Center (JPMC) through MHK Enterprises"/>
    <m/>
    <s v="Plot # N-118, 1st Floor, Block-2, P.E.C.H.S Karachi"/>
    <s v="021-34331144, 0335-3322085"/>
    <s v="info@mhk.com.pk"/>
    <s v="4267791-2"/>
    <s v="N/A"/>
    <n v="200000"/>
    <n v="27"/>
    <n v="96304"/>
    <m/>
    <m/>
    <m/>
    <m/>
    <m/>
    <m/>
    <m/>
    <m/>
    <m/>
    <m/>
    <m/>
    <m/>
    <m/>
    <m/>
    <m/>
    <m/>
    <m/>
    <m/>
    <e v="#N/A"/>
    <m/>
    <m/>
    <m/>
    <m/>
    <s v="no Sales after feb"/>
    <m/>
    <m/>
    <m/>
    <m/>
    <m/>
    <n v="0"/>
    <n v="839375"/>
    <n v="0"/>
    <n v="0"/>
    <n v="0"/>
    <n v="0"/>
    <n v="0"/>
    <n v="0"/>
    <n v="0"/>
    <n v="0"/>
    <n v="0"/>
    <n v="0"/>
    <n v="839375"/>
    <n v="0"/>
    <n v="0"/>
    <n v="0"/>
    <n v="0"/>
    <n v="0"/>
    <n v="0"/>
    <n v="0"/>
    <n v="0"/>
    <n v="0"/>
    <m/>
    <m/>
    <m/>
    <n v="0"/>
    <n v="0"/>
    <n v="0"/>
    <m/>
    <n v="0"/>
    <n v="0"/>
  </r>
  <r>
    <s v="Jahangir Jalil"/>
    <s v="Erba"/>
    <s v="Laura Semi Automatic"/>
    <n v="15002671"/>
    <s v="Urine Analyzer"/>
    <s v="12- 7-24 demo 8300051872"/>
    <m/>
    <s v="897-1-202110"/>
    <m/>
    <s v="26.07.2022"/>
    <s v="23.10.2023"/>
    <m/>
    <m/>
    <x v="1"/>
    <x v="0"/>
    <s v="Karachi"/>
    <n v="3020001552"/>
    <s v="Jinnah Post Graduate Medical Center (JPMC) through MHK Enterprises"/>
    <m/>
    <s v="Plot # N-118, 1st Floor, Block-2, P.E.C.H.S Karachi"/>
    <s v="021-34331144, 0335-3322085"/>
    <s v="info@mhk.com.pk"/>
    <s v="4267791-2"/>
    <s v="N/A"/>
    <n v="200000"/>
    <n v="27"/>
    <n v="96304"/>
    <m/>
    <m/>
    <m/>
    <m/>
    <m/>
    <m/>
    <m/>
    <m/>
    <m/>
    <m/>
    <m/>
    <m/>
    <m/>
    <m/>
    <m/>
    <m/>
    <m/>
    <m/>
    <e v="#N/A"/>
    <m/>
    <m/>
    <m/>
    <m/>
    <s v="no Sales after feb"/>
    <m/>
    <m/>
    <m/>
    <m/>
    <m/>
    <n v="0"/>
    <n v="839375"/>
    <n v="0"/>
    <n v="0"/>
    <n v="0"/>
    <n v="0"/>
    <n v="0"/>
    <n v="0"/>
    <n v="0"/>
    <n v="0"/>
    <n v="0"/>
    <n v="0"/>
    <n v="839375"/>
    <n v="0"/>
    <n v="0"/>
    <n v="0"/>
    <n v="0"/>
    <n v="0"/>
    <n v="0"/>
    <n v="0"/>
    <n v="0"/>
    <n v="0"/>
    <m/>
    <m/>
    <m/>
    <n v="0"/>
    <n v="0"/>
    <n v="0"/>
    <m/>
    <n v="0"/>
    <n v="0"/>
  </r>
  <r>
    <s v="Jahangir Jalil"/>
    <s v="Erba"/>
    <s v="Laura XL"/>
    <n v="15002673"/>
    <s v="Urine Analyzer"/>
    <n v="3002000042"/>
    <s v="202-X2-120520"/>
    <s v="106-X2-260419"/>
    <m/>
    <s v="26.07.2022"/>
    <s v="23.10.2023"/>
    <m/>
    <m/>
    <x v="1"/>
    <x v="0"/>
    <s v="Karachi"/>
    <n v="3020001552"/>
    <s v="Jinnah Post Graduate Medical Center (JPMC) through MHK Enterprises"/>
    <m/>
    <s v="Plot # N-118, 1st Floor, Block-2, P.E.C.H.S Karachi"/>
    <m/>
    <m/>
    <s v="4267791-2"/>
    <s v="N/A"/>
    <n v="1600000"/>
    <n v="27"/>
    <n v="109972"/>
    <m/>
    <m/>
    <m/>
    <m/>
    <m/>
    <m/>
    <m/>
    <m/>
    <m/>
    <m/>
    <m/>
    <m/>
    <m/>
    <m/>
    <m/>
    <m/>
    <m/>
    <m/>
    <e v="#N/A"/>
    <m/>
    <m/>
    <m/>
    <m/>
    <m/>
    <m/>
    <m/>
    <m/>
    <m/>
    <m/>
    <m/>
    <m/>
    <m/>
    <m/>
    <m/>
    <m/>
    <m/>
    <m/>
    <m/>
    <m/>
    <m/>
    <m/>
    <n v="0"/>
    <m/>
    <m/>
    <n v="0"/>
    <m/>
    <n v="0"/>
    <m/>
    <n v="0"/>
    <n v="0"/>
    <n v="0"/>
    <m/>
    <m/>
    <m/>
    <n v="0"/>
    <n v="0"/>
    <n v="0"/>
    <m/>
    <n v="0"/>
    <n v="0"/>
  </r>
  <r>
    <s v="Jahangir Jalil"/>
    <s v="Erba"/>
    <s v="Laura XL"/>
    <n v="15002673"/>
    <s v="Urine Analyzer"/>
    <n v="3002000049"/>
    <s v="202-X2-120520"/>
    <s v="202-X2-120520"/>
    <m/>
    <m/>
    <m/>
    <m/>
    <m/>
    <x v="1"/>
    <x v="0"/>
    <s v="Karachi"/>
    <n v="3020001552"/>
    <s v="Jinnah Post Graduate Medical Center (JPMC) through MHK Enterprises"/>
    <m/>
    <s v="Plot # N-118, 1st Floor, Block-2, P.E.C.H.S Karachi"/>
    <m/>
    <m/>
    <s v="4267791-2"/>
    <s v="N/A"/>
    <n v="3378744"/>
    <n v="37"/>
    <n v="365779"/>
    <m/>
    <m/>
    <m/>
    <m/>
    <m/>
    <m/>
    <m/>
    <m/>
    <m/>
    <m/>
    <m/>
    <m/>
    <m/>
    <m/>
    <m/>
    <m/>
    <m/>
    <m/>
    <e v="#N/A"/>
    <m/>
    <m/>
    <m/>
    <m/>
    <m/>
    <m/>
    <m/>
    <m/>
    <m/>
    <m/>
    <m/>
    <m/>
    <m/>
    <m/>
    <m/>
    <m/>
    <m/>
    <m/>
    <m/>
    <m/>
    <m/>
    <m/>
    <n v="0"/>
    <m/>
    <m/>
    <n v="0"/>
    <m/>
    <n v="0"/>
    <m/>
    <n v="0"/>
    <n v="0"/>
    <n v="0"/>
    <m/>
    <m/>
    <m/>
    <n v="0"/>
    <n v="0"/>
    <n v="0"/>
    <m/>
    <n v="0"/>
    <n v="0"/>
  </r>
  <r>
    <s v="Jahangir Jalil"/>
    <s v="Stago"/>
    <s v="STA Compact Max"/>
    <n v="15003000"/>
    <s v="Coagulation Analyzer"/>
    <n v="3002000058"/>
    <m/>
    <n v="8657"/>
    <m/>
    <s v="30.11.2023"/>
    <s v="07.12.2023"/>
    <s v="Available"/>
    <m/>
    <x v="1"/>
    <x v="0"/>
    <s v="Karachi"/>
    <n v="3020001552"/>
    <s v="JPMC through MHK Enterprises"/>
    <m/>
    <s v="Plot # N-118, 1st Floor, Block-2, P.E.C.H.S Karachi"/>
    <s v="021-34331144, 0335-3322085"/>
    <s v="info@mhk.com.pk"/>
    <s v="4267791-2"/>
    <s v="N/A"/>
    <n v="5274883"/>
    <n v="36"/>
    <n v="1615386"/>
    <m/>
    <m/>
    <m/>
    <m/>
    <m/>
    <m/>
    <m/>
    <m/>
    <m/>
    <m/>
    <m/>
    <m/>
    <m/>
    <m/>
    <m/>
    <m/>
    <m/>
    <m/>
    <e v="#N/A"/>
    <m/>
    <m/>
    <m/>
    <m/>
    <s v="No Sales after Feb-24"/>
    <m/>
    <m/>
    <s v="Closed need to check with WH"/>
    <m/>
    <m/>
    <m/>
    <n v="3585000"/>
    <n v="0"/>
    <n v="0"/>
    <n v="0"/>
    <n v="0"/>
    <n v="0"/>
    <n v="0"/>
    <n v="0"/>
    <n v="0"/>
    <n v="0"/>
    <n v="0"/>
    <n v="3585000"/>
    <n v="0"/>
    <n v="0"/>
    <n v="0"/>
    <n v="0"/>
    <n v="0"/>
    <n v="0"/>
    <n v="0"/>
    <n v="0"/>
    <n v="0"/>
    <n v="0"/>
    <m/>
    <m/>
    <n v="0"/>
    <m/>
    <m/>
    <m/>
    <n v="0"/>
    <n v="0"/>
  </r>
  <r>
    <s v="Hammad Noor"/>
    <s v="YHLO"/>
    <s v="IFlash 1800 "/>
    <n v="15002462"/>
    <s v="Immunoassay"/>
    <s v="E-mail forwarded to Mr. Asim &amp; Mr. Abdul Khalid for CAPEX appropriation requested because demo performed from 3200 Plant Lahore (mail attached)"/>
    <s v="N/A"/>
    <s v="IA00096724 "/>
    <s v="21.09.2023"/>
    <s v="14.06.2023"/>
    <s v="06.07.2023"/>
    <s v="Available"/>
    <m/>
    <x v="1"/>
    <x v="1"/>
    <s v="Sialkot"/>
    <n v="3020001659"/>
    <s v="Imran Idress Hospital /Test Zone"/>
    <s v="N/A"/>
    <s v="2-Km Daska Raod, "/>
    <s v="0324-8787299, 052-3574812"/>
    <s v=" info.iih@smcs.edu.pk"/>
    <s v="8892361-1"/>
    <m/>
    <n v="4497465"/>
    <n v="34"/>
    <n v="592145"/>
    <m/>
    <m/>
    <m/>
    <m/>
    <m/>
    <m/>
    <e v="#N/A"/>
    <e v="#N/A"/>
    <m/>
    <m/>
    <s v=" "/>
    <s v=" "/>
    <m/>
    <m/>
    <m/>
    <m/>
    <m/>
    <m/>
    <s v="Machine is not installed at customer site and it will be pulled back from customer to shift the machine at Test zone Lab till 10th-15th April."/>
    <m/>
    <m/>
    <m/>
    <m/>
    <s v="Machine is on demo here"/>
    <m/>
    <m/>
    <s v="Closed"/>
    <m/>
    <m/>
    <m/>
    <m/>
    <m/>
    <m/>
    <m/>
    <m/>
    <m/>
    <m/>
    <m/>
    <m/>
    <m/>
    <m/>
    <n v="0"/>
    <m/>
    <m/>
    <m/>
    <m/>
    <m/>
    <m/>
    <m/>
    <m/>
    <m/>
    <m/>
    <n v="0"/>
    <m/>
    <n v="0"/>
    <m/>
    <m/>
    <m/>
    <n v="0"/>
    <n v="0"/>
  </r>
  <r>
    <s v="Hammad Noor"/>
    <s v="YHLO"/>
    <s v="iFlash 1200"/>
    <n v="15002553"/>
    <s v="Immunoassay"/>
    <m/>
    <m/>
    <s v="ID00175747"/>
    <m/>
    <m/>
    <s v="20.12.2024"/>
    <m/>
    <m/>
    <x v="0"/>
    <x v="0"/>
    <s v="Quetta"/>
    <n v="3020001748"/>
    <s v="Gillani Hospital Quetta(Through Jamal Brothers)"/>
    <m/>
    <m/>
    <s v="0336-3557475"/>
    <s v="ahmed_ullah26@yahoo.com"/>
    <s v="5132026-1"/>
    <s v="54400-1404155-1"/>
    <n v="2587355"/>
    <n v="35"/>
    <n v="223571"/>
    <m/>
    <m/>
    <m/>
    <m/>
    <m/>
    <m/>
    <m/>
    <m/>
    <m/>
    <m/>
    <m/>
    <m/>
    <m/>
    <m/>
    <m/>
    <m/>
    <m/>
    <m/>
    <s v="Revise case submitted"/>
    <m/>
    <m/>
    <m/>
    <m/>
    <m/>
    <m/>
    <m/>
    <s v="on track"/>
    <n v="1"/>
    <s v="Placed"/>
    <m/>
    <m/>
    <m/>
    <m/>
    <m/>
    <m/>
    <m/>
    <m/>
    <m/>
    <m/>
    <m/>
    <m/>
    <n v="0"/>
    <n v="123186"/>
    <n v="1367339"/>
    <m/>
    <n v="0"/>
    <n v="859806"/>
    <m/>
    <n v="373472"/>
    <n v="514242"/>
    <n v="3201023"/>
    <n v="3372670"/>
    <n v="539515"/>
    <n v="4130990"/>
    <n v="14482243"/>
    <n v="205240"/>
    <n v="424978"/>
    <n v="79312.5"/>
    <n v="709530.5"/>
    <n v="797633.125"/>
  </r>
  <r>
    <s v="Jahangir Jalil"/>
    <s v="OCD"/>
    <s v="Vitros ECiQ Analyzer"/>
    <n v="15002760"/>
    <s v="Immunoassay"/>
    <s v="AR # 300403"/>
    <m/>
    <n v="30006366"/>
    <s v="19.02.2025"/>
    <m/>
    <s v="12.03.2024"/>
    <m/>
    <m/>
    <x v="0"/>
    <x v="0"/>
    <s v="Quetta"/>
    <n v="3020001748"/>
    <s v="Regional Blood Centre Through Jamal Brothers"/>
    <m/>
    <m/>
    <s v="0336-3557475"/>
    <s v="ahmed_ullah26@yahoo.com"/>
    <s v="5132026-1"/>
    <s v="54400-1404155-1"/>
    <n v="18824399"/>
    <n v="34"/>
    <n v="1550725"/>
    <m/>
    <m/>
    <m/>
    <m/>
    <m/>
    <m/>
    <m/>
    <m/>
    <m/>
    <m/>
    <m/>
    <m/>
    <m/>
    <m/>
    <m/>
    <m/>
    <m/>
    <m/>
    <m/>
    <m/>
    <m/>
    <m/>
    <m/>
    <m/>
    <m/>
    <m/>
    <s v="Behind Track"/>
    <n v="1"/>
    <s v="Placed"/>
    <m/>
    <m/>
    <m/>
    <m/>
    <m/>
    <m/>
    <m/>
    <m/>
    <m/>
    <m/>
    <m/>
    <m/>
    <n v="0"/>
    <m/>
    <m/>
    <n v="1089608"/>
    <n v="578220"/>
    <n v="1859355.5561303066"/>
    <n v="0"/>
    <n v="350113"/>
    <n v="210000"/>
    <n v="425000"/>
    <m/>
    <n v="167883.5"/>
    <m/>
    <n v="4680180.0561303068"/>
    <n v="24300"/>
    <n v="328038.5"/>
    <n v="0"/>
    <n v="352338.5"/>
    <n v="250889.16666666666"/>
  </r>
  <r>
    <s v="Jahangir Jalil"/>
    <s v="OCD"/>
    <s v="Vitros ECiQ Analyzer"/>
    <n v="15002760"/>
    <s v="Immunoassay"/>
    <n v="3002000089"/>
    <m/>
    <n v="30006362"/>
    <s v="29.08.2024"/>
    <m/>
    <s v="12.09.2024"/>
    <m/>
    <m/>
    <x v="0"/>
    <x v="0"/>
    <s v="Quetta"/>
    <n v="3020001748"/>
    <s v="Rehan Hospital Through Jamal Brothers"/>
    <m/>
    <m/>
    <s v="0336-3557475"/>
    <s v="ahmed_ullah26@yahoo.com"/>
    <s v="5132026-1"/>
    <s v="54400-1404155-1"/>
    <n v="8002112"/>
    <n v="48"/>
    <n v="497587"/>
    <m/>
    <m/>
    <m/>
    <m/>
    <m/>
    <m/>
    <m/>
    <m/>
    <m/>
    <m/>
    <m/>
    <m/>
    <m/>
    <m/>
    <m/>
    <m/>
    <m/>
    <m/>
    <m/>
    <m/>
    <m/>
    <m/>
    <m/>
    <m/>
    <m/>
    <m/>
    <s v="Behind Track"/>
    <n v="1"/>
    <s v="Placed"/>
    <m/>
    <m/>
    <m/>
    <m/>
    <m/>
    <m/>
    <m/>
    <m/>
    <m/>
    <m/>
    <m/>
    <m/>
    <n v="0"/>
    <m/>
    <n v="170450"/>
    <n v="386349"/>
    <n v="80000"/>
    <n v="585500"/>
    <n v="72000"/>
    <n v="188000"/>
    <n v="120000"/>
    <n v="398000"/>
    <m/>
    <n v="167883.5"/>
    <m/>
    <n v="2168182.5"/>
    <n v="24300"/>
    <n v="328038.5"/>
    <n v="0"/>
    <n v="352338.5"/>
    <n v="204370.33333333334"/>
  </r>
  <r>
    <s v="Hammad Noor"/>
    <s v="YHLO"/>
    <s v="iFlash 1200"/>
    <n v="15002553"/>
    <s v="Immunoassay"/>
    <s v="AR # 300362"/>
    <m/>
    <s v="ID00176348"/>
    <m/>
    <m/>
    <s v="20.12.2024"/>
    <m/>
    <m/>
    <x v="1"/>
    <x v="0"/>
    <s v="Quetta"/>
    <n v="3020001748"/>
    <s v="City International Hospital Quetta(Through Jamal Brothers)"/>
    <m/>
    <m/>
    <s v="0336-3557475"/>
    <s v="ahmed_ullah26@yahoo.com"/>
    <s v="5132026-1"/>
    <s v="54400-1404155-1"/>
    <n v="2587355"/>
    <n v="35"/>
    <n v="223571"/>
    <m/>
    <m/>
    <m/>
    <m/>
    <m/>
    <m/>
    <m/>
    <m/>
    <m/>
    <m/>
    <m/>
    <m/>
    <m/>
    <m/>
    <m/>
    <m/>
    <m/>
    <m/>
    <s v="Revise case submitted"/>
    <m/>
    <m/>
    <m/>
    <m/>
    <m/>
    <m/>
    <m/>
    <m/>
    <n v="1"/>
    <m/>
    <m/>
    <m/>
    <m/>
    <m/>
    <m/>
    <m/>
    <m/>
    <m/>
    <m/>
    <m/>
    <m/>
    <m/>
    <n v="0"/>
    <n v="30796.5"/>
    <n v="341834.75"/>
    <n v="0"/>
    <n v="0"/>
    <n v="225000"/>
    <n v="870000"/>
    <n v="95000"/>
    <n v="130000"/>
    <n v="166475"/>
    <n v="843167.5"/>
    <n v="134878.75"/>
    <m/>
    <n v="2837152.5"/>
    <m/>
    <m/>
    <m/>
    <n v="0"/>
    <n v="273904.25"/>
  </r>
  <r>
    <s v="Hammad Noor"/>
    <s v="YHLO"/>
    <s v="iFlash 1200"/>
    <n v="15002553"/>
    <s v="Immunoassay"/>
    <n v="3002000109"/>
    <m/>
    <s v="ID00093734"/>
    <m/>
    <m/>
    <s v="25.04.2025"/>
    <m/>
    <m/>
    <x v="1"/>
    <x v="0"/>
    <s v="Quetta"/>
    <n v="3020001748"/>
    <s v="Harmon Lab Quetta (through Jamal Brothers)"/>
    <m/>
    <m/>
    <s v="0336-3557475"/>
    <s v="ahmed_ullah26@yahoo.com"/>
    <s v="5132026-1"/>
    <s v="54400-1404155-1"/>
    <n v="2587355"/>
    <n v="31"/>
    <n v="302952"/>
    <m/>
    <m/>
    <m/>
    <m/>
    <m/>
    <m/>
    <m/>
    <m/>
    <m/>
    <m/>
    <m/>
    <m/>
    <m/>
    <m/>
    <m/>
    <m/>
    <m/>
    <m/>
    <s v="Revise case submitted"/>
    <m/>
    <m/>
    <m/>
    <m/>
    <m/>
    <m/>
    <m/>
    <m/>
    <n v="1"/>
    <m/>
    <m/>
    <m/>
    <m/>
    <m/>
    <m/>
    <m/>
    <m/>
    <m/>
    <m/>
    <m/>
    <m/>
    <m/>
    <n v="0"/>
    <n v="30796.5"/>
    <n v="341834.75"/>
    <n v="0"/>
    <n v="0"/>
    <n v="198000"/>
    <n v="246000"/>
    <n v="136000"/>
    <n v="142000"/>
    <n v="201000"/>
    <n v="843167.5"/>
    <n v="134878.75"/>
    <m/>
    <n v="2273677.5"/>
    <m/>
    <m/>
    <m/>
    <n v="0"/>
    <n v="291409.25"/>
  </r>
  <r>
    <s v="Hammad Noor"/>
    <s v="YHLO"/>
    <s v="iFlash 1200"/>
    <n v="15002553"/>
    <s v="Immunoassay"/>
    <n v="3002000108"/>
    <m/>
    <s v="ID00082632"/>
    <m/>
    <m/>
    <s v="25.04.2025"/>
    <m/>
    <m/>
    <x v="1"/>
    <x v="0"/>
    <s v="Quetta"/>
    <n v="3020001748"/>
    <s v="Sultan Tareen Hospital Quetta(Through Jamal Brothers)"/>
    <m/>
    <m/>
    <s v="0336-3557475"/>
    <s v="ahmed_ullah26@yahoo.com"/>
    <s v="5132026-1"/>
    <s v="54400-1404155-1"/>
    <n v="2587355"/>
    <n v="30"/>
    <n v="291732"/>
    <m/>
    <m/>
    <m/>
    <m/>
    <m/>
    <m/>
    <m/>
    <m/>
    <m/>
    <m/>
    <m/>
    <m/>
    <m/>
    <m/>
    <m/>
    <m/>
    <m/>
    <m/>
    <s v="Revise case submitted"/>
    <m/>
    <m/>
    <m/>
    <m/>
    <m/>
    <m/>
    <m/>
    <m/>
    <n v="1"/>
    <m/>
    <m/>
    <m/>
    <m/>
    <m/>
    <m/>
    <m/>
    <m/>
    <m/>
    <m/>
    <m/>
    <m/>
    <m/>
    <n v="0"/>
    <n v="30796.5"/>
    <n v="341834.75"/>
    <n v="0"/>
    <n v="0"/>
    <n v="229806"/>
    <n v="299331"/>
    <n v="0"/>
    <n v="92242"/>
    <n v="214000"/>
    <n v="843167.5"/>
    <n v="134878.75"/>
    <m/>
    <n v="2186056.5"/>
    <m/>
    <m/>
    <m/>
    <n v="0"/>
    <n v="256857.65"/>
  </r>
  <r>
    <s v="Jahangir Jalil"/>
    <s v="OCD"/>
    <s v="Vitros Eciq Immunoassay"/>
    <n v="15002758"/>
    <s v="Immunoassay"/>
    <n v="3002000025"/>
    <s v="N/A"/>
    <n v="36000907"/>
    <s v="04.01.2023"/>
    <s v="06.12.2022"/>
    <s v="06.12.2022"/>
    <s v="Available"/>
    <m/>
    <x v="7"/>
    <x v="0"/>
    <s v="Quetta"/>
    <n v="3020001748"/>
    <s v="Fayyaz Lab (Through Jamal brothers)"/>
    <s v="Dr. Fayaz butt"/>
    <s v="Jinnah Road Quetta"/>
    <s v="0812-822360"/>
    <s v="Not Available"/>
    <s v="5132026-1"/>
    <s v="54400-1404155-1"/>
    <n v="10856400"/>
    <n v="29"/>
    <n v="1266339"/>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m/>
    <m/>
    <m/>
    <n v="301920"/>
    <n v="604500"/>
    <n v="602950"/>
    <n v="0"/>
    <n v="432564"/>
    <n v="1646505"/>
    <n v="625224"/>
    <n v="334868"/>
    <n v="160290"/>
    <n v="103427"/>
    <n v="617018.57999999996"/>
    <n v="744021"/>
    <n v="6173287.5800000001"/>
    <n v="405650"/>
    <m/>
    <m/>
    <m/>
    <m/>
    <m/>
    <m/>
    <m/>
    <m/>
    <m/>
    <m/>
    <m/>
    <n v="405650"/>
    <m/>
    <m/>
    <m/>
    <n v="0"/>
    <n v="0"/>
  </r>
  <r>
    <s v="Jahangir Jalil"/>
    <s v="OCD"/>
    <s v="Vitros ECiQ Immunodiagnostic System"/>
    <n v="15002760"/>
    <s v="Immunoassay"/>
    <n v="3002000021"/>
    <s v="N/A"/>
    <n v="30006248"/>
    <s v="01.10.2022"/>
    <s v="23.09.2022"/>
    <s v="26.09.2022"/>
    <s v="Available"/>
    <m/>
    <x v="7"/>
    <x v="0"/>
    <s v="Quetta"/>
    <n v="3020001748"/>
    <s v="M khan Lab Quetta (Through Jamal brothers)"/>
    <s v="Installed through Trader Jamal Brothers"/>
    <s v="Saleem Medical Complex, Quetta, Pakistan-87300"/>
    <s v="0336-3557475"/>
    <s v="ahmed_ullah26@yahoo.com"/>
    <s v="5132026-1"/>
    <s v="54400-1404155-1"/>
    <n v="9297200"/>
    <n v="30"/>
    <n v="1002975"/>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n v="208000"/>
    <n v="452532"/>
    <n v="411355"/>
    <n v="0"/>
    <n v="405250"/>
    <n v="1372088"/>
    <n v="729428"/>
    <n v="298852"/>
    <n v="280510"/>
    <n v="120665"/>
    <n v="594166.04"/>
    <n v="637733"/>
    <n v="5510579.04"/>
    <n v="376675"/>
    <m/>
    <m/>
    <m/>
    <m/>
    <m/>
    <m/>
    <m/>
    <m/>
    <m/>
    <m/>
    <m/>
    <n v="376675"/>
    <m/>
    <m/>
    <m/>
    <n v="0"/>
    <n v="0"/>
  </r>
  <r>
    <s v="Jahangir Jalil"/>
    <s v="OCD"/>
    <s v="Vitros ECiQ Immunodiagnostic System"/>
    <n v="15002760"/>
    <s v="Immunoassay"/>
    <n v="3002000020"/>
    <s v="N/A"/>
    <n v="30006249"/>
    <s v="01.10.2022"/>
    <s v="26.09.2022"/>
    <s v="26.09.2022"/>
    <s v="Available"/>
    <m/>
    <x v="7"/>
    <x v="0"/>
    <s v="Quetta"/>
    <n v="3020001748"/>
    <s v="Rahat Hospital Quetta(Through Jamal brothers)"/>
    <s v="Installed through Trader Jamal Brothers"/>
    <s v="Art School Rd, Quetta, Balochistan 83200"/>
    <s v="0336-3557475"/>
    <s v="ahmed_ullah26@yahoo.com"/>
    <s v="5132026-1"/>
    <s v="54400-1404155-1"/>
    <n v="9297200"/>
    <n v="30"/>
    <n v="1380048"/>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n v="221000"/>
    <n v="425300"/>
    <n v="425361"/>
    <n v="0"/>
    <n v="412580"/>
    <n v="1317204"/>
    <n v="573122"/>
    <n v="286810"/>
    <n v="240438"/>
    <n v="94809"/>
    <n v="525723.42000000004"/>
    <n v="584588"/>
    <n v="5106935.42"/>
    <n v="318725"/>
    <m/>
    <m/>
    <m/>
    <m/>
    <m/>
    <m/>
    <m/>
    <m/>
    <m/>
    <m/>
    <m/>
    <n v="318725"/>
    <m/>
    <m/>
    <m/>
    <n v="0"/>
    <n v="0"/>
  </r>
  <r>
    <s v="Jahangir Jalil"/>
    <s v="OCD"/>
    <s v="Vitros ECiQ Immunodiagnostic System"/>
    <n v="15002760"/>
    <s v="Immunoassay"/>
    <n v="3002000022"/>
    <s v="N/A"/>
    <n v="30006240"/>
    <s v="29.10.2022"/>
    <s v="19.10.2022"/>
    <s v="19.10.2022"/>
    <s v="Available"/>
    <m/>
    <x v="7"/>
    <x v="0"/>
    <s v="Quetta"/>
    <n v="3020001748"/>
    <s v="Yaseen Hospital(Through Jamal brothers)"/>
    <s v="Dr. Hanif Mangel"/>
    <s v="52Q5+VJ4, Patel Road, Patel Bagh Quetta, Balochistan"/>
    <s v="0336-3557475"/>
    <s v="ahmed_ullah26@yahoo.com"/>
    <s v="5132026-1"/>
    <s v="54400-1404155-1"/>
    <n v="9297200"/>
    <n v="29"/>
    <n v="1059783"/>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n v="208820"/>
    <n v="384000"/>
    <n v="458717"/>
    <n v="0"/>
    <n v="380600"/>
    <n v="1152556"/>
    <n v="677326"/>
    <n v="323429"/>
    <n v="120257"/>
    <n v="112046"/>
    <n v="548460.96"/>
    <n v="690877"/>
    <n v="5057088.96"/>
    <n v="347700"/>
    <m/>
    <m/>
    <m/>
    <m/>
    <m/>
    <m/>
    <m/>
    <m/>
    <m/>
    <m/>
    <m/>
    <n v="347700"/>
    <m/>
    <m/>
    <m/>
    <n v="0"/>
    <n v="0"/>
  </r>
  <r>
    <s v="Jahangir Jalil"/>
    <s v="OCD"/>
    <s v="Vitros Eciq Immunoassay"/>
    <n v="15002760"/>
    <s v="Immunoassay"/>
    <n v="3002000090"/>
    <s v="N/A"/>
    <n v="30006326"/>
    <s v="04.01.2023"/>
    <s v="06.12.2022"/>
    <s v="25.04.2025"/>
    <s v="Available"/>
    <m/>
    <x v="8"/>
    <x v="0"/>
    <s v="Quetta"/>
    <n v="3020001748"/>
    <s v="Fayyaz Lab (Through Jamal brothers)"/>
    <s v="Dr. Fayaz butt"/>
    <s v="Jinnah Road Quetta"/>
    <s v="0812-822360"/>
    <s v="Not Available"/>
    <s v="5132026-1"/>
    <s v="54400-1404155-1"/>
    <n v="8595000"/>
    <n v="45"/>
    <n v="529967"/>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s v="Behind Track"/>
    <n v="1"/>
    <s v="Not funtional - At customer site"/>
    <n v="301920"/>
    <n v="604500"/>
    <n v="602950"/>
    <n v="0"/>
    <n v="432564"/>
    <n v="1646505"/>
    <n v="625224"/>
    <n v="334868"/>
    <n v="160290"/>
    <n v="103427"/>
    <n v="617018.57999999996"/>
    <n v="744021"/>
    <n v="6173287.5800000001"/>
    <n v="405650"/>
    <n v="317365"/>
    <n v="416000"/>
    <n v="96500"/>
    <n v="676000"/>
    <n v="120000"/>
    <n v="190000"/>
    <n v="176000"/>
    <n v="340000"/>
    <m/>
    <m/>
    <m/>
    <n v="2737515"/>
    <m/>
    <m/>
    <m/>
    <n v="0"/>
    <n v="235333.33333333334"/>
  </r>
  <r>
    <s v="Jahangir Jalil"/>
    <s v="OCD"/>
    <s v="Vitros ECiQ Immunodiagnostic System"/>
    <n v="15002760"/>
    <s v="Immunoassay"/>
    <n v="3002000021"/>
    <s v="N/A"/>
    <n v="30006248"/>
    <s v="01.10.2022"/>
    <s v="23.09.2022"/>
    <s v="25.04.2025"/>
    <s v="Available"/>
    <m/>
    <x v="8"/>
    <x v="0"/>
    <s v="Quetta"/>
    <n v="3020001748"/>
    <s v="M khan Lab Quetta (Through Jamal brothers)"/>
    <s v="Installed through Trader Jamal Brothers"/>
    <s v="Saleem Medical Complex, Quetta, Pakistan-87300"/>
    <s v="0336-3557475"/>
    <s v="ahmed_ullah26@yahoo.com"/>
    <s v="5132026-1"/>
    <s v="54400-1404155-1"/>
    <n v="9412200"/>
    <n v="55"/>
    <n v="50462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n v="1"/>
    <s v="Not funtional - At customer site"/>
    <n v="208000"/>
    <n v="452532"/>
    <n v="411355"/>
    <n v="0"/>
    <n v="405250"/>
    <n v="1372088"/>
    <n v="729428"/>
    <n v="298852"/>
    <n v="280510"/>
    <n v="120665"/>
    <n v="594166.04"/>
    <n v="637733"/>
    <n v="5510579.04"/>
    <n v="376675"/>
    <n v="387000"/>
    <n v="437000"/>
    <n v="93000"/>
    <n v="720000"/>
    <n v="127084"/>
    <n v="245000"/>
    <n v="249000"/>
    <n v="375730"/>
    <m/>
    <m/>
    <m/>
    <n v="3010489"/>
    <m/>
    <m/>
    <m/>
    <n v="0"/>
    <n v="289910"/>
  </r>
  <r>
    <s v="Jahangir Jalil"/>
    <s v="OCD"/>
    <s v="Vitros ECiQ Immunodiagnostic System"/>
    <n v="15002760"/>
    <s v="Immunoassay"/>
    <n v="3002000020"/>
    <s v="N/A"/>
    <n v="30006249"/>
    <s v="01.10.2022"/>
    <s v="26.09.2022"/>
    <s v="25.04.2025"/>
    <s v="Available"/>
    <m/>
    <x v="8"/>
    <x v="0"/>
    <s v="Quetta"/>
    <n v="3020001748"/>
    <s v="Rahat Hospital Quetta(Through Jamal brothers)"/>
    <s v="Installed through Trader Jamal Brothers"/>
    <s v="Art School Rd, Quetta, Balochistan 83200"/>
    <s v="0336-3557475"/>
    <s v="ahmed_ullah26@yahoo.com"/>
    <s v="5132026-1"/>
    <s v="54400-1404155-1"/>
    <n v="9412200"/>
    <n v="58"/>
    <n v="50747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n v="1"/>
    <s v="Not funtional - At customer site"/>
    <n v="221000"/>
    <n v="425300"/>
    <n v="425361"/>
    <n v="0"/>
    <n v="412580"/>
    <n v="1317204"/>
    <n v="573122"/>
    <n v="286810"/>
    <n v="240438"/>
    <n v="94809"/>
    <n v="525723.42000000004"/>
    <n v="584588"/>
    <n v="5106935.42"/>
    <n v="318725"/>
    <n v="369174"/>
    <n v="522000"/>
    <n v="106000"/>
    <n v="1040000"/>
    <n v="150000"/>
    <n v="250000"/>
    <n v="222500"/>
    <n v="387500"/>
    <m/>
    <m/>
    <m/>
    <n v="3365899"/>
    <m/>
    <m/>
    <m/>
    <n v="0"/>
    <n v="286666.66666666669"/>
  </r>
  <r>
    <s v="Jahangir Jalil"/>
    <s v="OCD"/>
    <s v="Vitros ECiQ Immunodiagnostic System"/>
    <n v="15002760"/>
    <s v="Immunoassay"/>
    <n v="3002000022"/>
    <s v="N/A"/>
    <n v="30006240"/>
    <s v="29.10.2022"/>
    <s v="19.10.2022"/>
    <s v="25.04.2025"/>
    <s v="Available"/>
    <m/>
    <x v="8"/>
    <x v="0"/>
    <s v="Quetta"/>
    <n v="3020001748"/>
    <s v="Yaseen Hospital(Through Jamal brothers)"/>
    <s v="Dr. Hanif Mangel"/>
    <s v="52Q5+VJ4, Patel Road, Patel Bagh Quetta, Balochistan"/>
    <s v="0336-3557475"/>
    <s v="ahmed_ullah26@yahoo.com"/>
    <s v="5132026-1"/>
    <s v="54400-1404155-1"/>
    <n v="8595000"/>
    <n v="55"/>
    <n v="424250"/>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n v="1"/>
    <s v="Not funtional - At customer site"/>
    <n v="208820"/>
    <n v="384000"/>
    <n v="458717"/>
    <n v="0"/>
    <n v="380600"/>
    <n v="1152556"/>
    <n v="677326"/>
    <n v="323429"/>
    <n v="120257"/>
    <n v="112046"/>
    <n v="548460.96"/>
    <n v="690877"/>
    <n v="5057088.96"/>
    <n v="347700"/>
    <n v="698335"/>
    <n v="479000"/>
    <n v="107017"/>
    <n v="791114"/>
    <n v="115000"/>
    <n v="287000"/>
    <n v="81039"/>
    <n v="154000"/>
    <m/>
    <m/>
    <m/>
    <n v="3060205"/>
    <m/>
    <m/>
    <m/>
    <n v="0"/>
    <n v="174013"/>
  </r>
  <r>
    <s v="Hammad Noor"/>
    <s v="YHLO"/>
    <s v="iFlash 1800"/>
    <n v="15002462"/>
    <s v="Immunoassay"/>
    <n v="3002000098"/>
    <m/>
    <s v="IA00093422"/>
    <m/>
    <m/>
    <s v="14.05.2025"/>
    <m/>
    <m/>
    <x v="0"/>
    <x v="1"/>
    <s v="D.G Khan"/>
    <n v="3020001809"/>
    <s v="Sardar Fateh M. Khan Buzdar Institute of Cardiology"/>
    <m/>
    <m/>
    <m/>
    <m/>
    <m/>
    <m/>
    <n v="3100000"/>
    <n v="33"/>
    <n v="29400"/>
    <m/>
    <m/>
    <m/>
    <m/>
    <m/>
    <m/>
    <m/>
    <m/>
    <m/>
    <m/>
    <m/>
    <m/>
    <m/>
    <m/>
    <m/>
    <m/>
    <m/>
    <m/>
    <m/>
    <m/>
    <m/>
    <m/>
    <m/>
    <m/>
    <m/>
    <m/>
    <s v="Machine to be checked"/>
    <n v="1"/>
    <s v="Placed"/>
    <m/>
    <m/>
    <m/>
    <m/>
    <m/>
    <m/>
    <m/>
    <m/>
    <m/>
    <n v="2491525.5"/>
    <m/>
    <m/>
    <n v="2491525.5"/>
    <m/>
    <m/>
    <m/>
    <m/>
    <m/>
    <m/>
    <m/>
    <m/>
    <n v="0"/>
    <n v="0"/>
    <n v="0"/>
    <m/>
    <n v="0"/>
    <n v="0"/>
    <n v="0"/>
    <n v="0"/>
    <n v="0"/>
    <n v="0"/>
  </r>
  <r>
    <s v="Jahangir Jalil"/>
    <s v="OCD"/>
    <s v="Vitros ECiQ Analyzer"/>
    <n v="15002760"/>
    <s v="Immunoassay"/>
    <m/>
    <m/>
    <m/>
    <m/>
    <m/>
    <s v="23.06.2025"/>
    <m/>
    <m/>
    <x v="1"/>
    <x v="2"/>
    <s v="Islamabad"/>
    <n v="3020001811"/>
    <s v="KRL (through Professional Healthcare Services)"/>
    <m/>
    <s v="1-674, Street No 7, Murree Road Committee Chowk"/>
    <s v="051-5132096/0333-5483970"/>
    <s v="mjunaidpirzada@gmail.com"/>
    <m/>
    <s v="37405-8532137-1"/>
    <n v="13726374"/>
    <n v="35"/>
    <n v="979837"/>
    <m/>
    <m/>
    <m/>
    <m/>
    <m/>
    <m/>
    <m/>
    <m/>
    <m/>
    <m/>
    <m/>
    <m/>
    <m/>
    <m/>
    <m/>
    <m/>
    <m/>
    <m/>
    <m/>
    <m/>
    <m/>
    <m/>
    <m/>
    <m/>
    <m/>
    <m/>
    <s v="Closed"/>
    <m/>
    <m/>
    <m/>
    <m/>
    <m/>
    <m/>
    <n v="1710000"/>
    <m/>
    <m/>
    <m/>
    <m/>
    <m/>
    <m/>
    <m/>
    <n v="1710000"/>
    <m/>
    <m/>
    <m/>
    <m/>
    <m/>
    <m/>
    <n v="316962"/>
    <n v="0"/>
    <n v="0"/>
    <m/>
    <m/>
    <m/>
    <n v="316962"/>
    <m/>
    <m/>
    <m/>
    <n v="0"/>
    <n v="105654"/>
  </r>
  <r>
    <s v="Jahangir Jalil"/>
    <s v="OCD"/>
    <s v="Vitros ECiQ"/>
    <n v="15002760"/>
    <s v="Immunoassay"/>
    <s v="AR # 300405"/>
    <s v="Received from GAMCA Peshawar"/>
    <n v="30006409"/>
    <m/>
    <m/>
    <s v="04.07.2025"/>
    <m/>
    <m/>
    <x v="0"/>
    <x v="2"/>
    <s v="Peshawar"/>
    <n v="3020001102"/>
    <s v="GAMCA (Venus Diagnostic Center) "/>
    <m/>
    <m/>
    <m/>
    <m/>
    <m/>
    <m/>
    <n v="14446400"/>
    <n v="28"/>
    <n v="855600"/>
    <m/>
    <m/>
    <m/>
    <m/>
    <m/>
    <m/>
    <m/>
    <m/>
    <m/>
    <m/>
    <m/>
    <m/>
    <m/>
    <m/>
    <m/>
    <m/>
    <m/>
    <m/>
    <m/>
    <m/>
    <m/>
    <m/>
    <m/>
    <m/>
    <m/>
    <m/>
    <s v="Behind Track"/>
    <n v="1"/>
    <s v="Placed"/>
    <m/>
    <m/>
    <m/>
    <m/>
    <m/>
    <m/>
    <m/>
    <m/>
    <m/>
    <m/>
    <m/>
    <m/>
    <n v="0"/>
    <m/>
    <m/>
    <m/>
    <m/>
    <m/>
    <m/>
    <n v="469000"/>
    <m/>
    <n v="0"/>
    <m/>
    <m/>
    <m/>
    <n v="469000"/>
    <n v="647500"/>
    <m/>
    <m/>
    <n v="647500"/>
    <n v="372166.66666666669"/>
  </r>
  <r>
    <s v="Jahangir Jalil"/>
    <s v="Erba"/>
    <s v="EC90"/>
    <n v="15002674"/>
    <s v="Electrolyte Analyzer"/>
    <s v="AR # 1900381"/>
    <s v="Shifted from demo 8300061998 18.08.2025"/>
    <s v="9254-2-202402"/>
    <m/>
    <m/>
    <s v="14.07.2025"/>
    <m/>
    <m/>
    <x v="0"/>
    <x v="0"/>
    <s v="Quetta"/>
    <s v="Jamal brother customer"/>
    <s v="Fatima Jinnah Institute of Chest Disease (Jamal brothers)"/>
    <m/>
    <m/>
    <m/>
    <m/>
    <m/>
    <m/>
    <n v="532660"/>
    <n v="24"/>
    <n v="68306"/>
    <m/>
    <m/>
    <m/>
    <m/>
    <m/>
    <m/>
    <m/>
    <m/>
    <m/>
    <m/>
    <m/>
    <m/>
    <m/>
    <m/>
    <m/>
    <m/>
    <m/>
    <m/>
    <m/>
    <m/>
    <m/>
    <m/>
    <m/>
    <m/>
    <m/>
    <m/>
    <s v="2 Mchines through jamal brothers purchsed"/>
    <n v="1"/>
    <s v="Active"/>
    <m/>
    <m/>
    <m/>
    <m/>
    <m/>
    <m/>
    <m/>
    <m/>
    <m/>
    <m/>
    <m/>
    <m/>
    <n v="0"/>
    <m/>
    <m/>
    <m/>
    <m/>
    <m/>
    <m/>
    <m/>
    <m/>
    <m/>
    <m/>
    <m/>
    <m/>
    <n v="0"/>
    <m/>
    <m/>
    <m/>
    <n v="0"/>
    <n v="0"/>
  </r>
  <r>
    <s v="Hammad Noor"/>
    <s v="YHLO"/>
    <s v="IFLASH 1200"/>
    <n v="15002553"/>
    <s v="Immunoassay"/>
    <m/>
    <m/>
    <s v="ID00093734"/>
    <m/>
    <m/>
    <s v="25.11.2025"/>
    <m/>
    <m/>
    <x v="0"/>
    <x v="0"/>
    <s v="Quetta"/>
    <n v="3020001748"/>
    <s v="Dr.Najma Ghaffar Hospital(Through Jamal Brothers)"/>
    <m/>
    <m/>
    <m/>
    <m/>
    <m/>
    <m/>
    <n v="4910685"/>
    <n v="30"/>
    <n v="674745"/>
    <m/>
    <m/>
    <m/>
    <m/>
    <m/>
    <m/>
    <m/>
    <m/>
    <m/>
    <m/>
    <m/>
    <m/>
    <m/>
    <m/>
    <m/>
    <m/>
    <m/>
    <m/>
    <m/>
    <m/>
    <m/>
    <m/>
    <m/>
    <m/>
    <m/>
    <m/>
    <s v="on track"/>
    <n v="1"/>
    <s v="Placed"/>
    <m/>
    <m/>
    <m/>
    <m/>
    <m/>
    <m/>
    <m/>
    <m/>
    <m/>
    <m/>
    <m/>
    <m/>
    <n v="0"/>
    <m/>
    <m/>
    <m/>
    <m/>
    <m/>
    <m/>
    <m/>
    <m/>
    <m/>
    <m/>
    <m/>
    <n v="1032747.5"/>
    <n v="1032747.5"/>
    <n v="205240"/>
    <n v="424978"/>
    <n v="79312.5"/>
    <n v="709530.5"/>
    <n v="554321.83333333337"/>
  </r>
  <r>
    <s v="Hammad Noor"/>
    <s v="YHLO"/>
    <s v="IFLASH 1800"/>
    <n v="15002462"/>
    <s v="Immunoassay"/>
    <m/>
    <m/>
    <m/>
    <m/>
    <m/>
    <s v="25.11.2025"/>
    <m/>
    <m/>
    <x v="0"/>
    <x v="0"/>
    <s v="Quetta"/>
    <n v="3020001748"/>
    <s v="Dawood Lab(Through Jamal Brothers)"/>
    <m/>
    <m/>
    <m/>
    <m/>
    <m/>
    <m/>
    <n v="4910685"/>
    <n v="35"/>
    <n v="472477"/>
    <m/>
    <m/>
    <m/>
    <m/>
    <m/>
    <m/>
    <m/>
    <m/>
    <m/>
    <m/>
    <m/>
    <m/>
    <m/>
    <m/>
    <m/>
    <m/>
    <m/>
    <m/>
    <m/>
    <m/>
    <m/>
    <m/>
    <m/>
    <m/>
    <m/>
    <m/>
    <s v="on track"/>
    <n v="1"/>
    <s v="Placed"/>
    <m/>
    <m/>
    <m/>
    <m/>
    <m/>
    <m/>
    <m/>
    <m/>
    <m/>
    <m/>
    <m/>
    <m/>
    <n v="0"/>
    <m/>
    <m/>
    <m/>
    <m/>
    <m/>
    <m/>
    <m/>
    <m/>
    <m/>
    <m/>
    <m/>
    <n v="1032747.5"/>
    <n v="1032747.5"/>
    <n v="205240"/>
    <n v="424978"/>
    <n v="79312.5"/>
    <n v="709530.5"/>
    <n v="554321.83333333337"/>
  </r>
  <r>
    <s v="Jahangir Jalil"/>
    <s v="Stago"/>
    <s v="STA Compact Max"/>
    <n v="15003000"/>
    <s v="Coagulation Analyzer"/>
    <m/>
    <m/>
    <m/>
    <m/>
    <m/>
    <s v="27.06.2025"/>
    <m/>
    <m/>
    <x v="1"/>
    <x v="1"/>
    <s v="Lahore"/>
    <m/>
    <s v="Haemophilia Treatment Center( molicular concern)"/>
    <m/>
    <m/>
    <m/>
    <m/>
    <m/>
    <m/>
    <n v="7823998"/>
    <n v="34"/>
    <n v="500398"/>
    <m/>
    <m/>
    <m/>
    <m/>
    <m/>
    <m/>
    <m/>
    <m/>
    <m/>
    <m/>
    <m/>
    <m/>
    <m/>
    <m/>
    <m/>
    <m/>
    <m/>
    <m/>
    <m/>
    <m/>
    <m/>
    <m/>
    <m/>
    <m/>
    <m/>
    <m/>
    <m/>
    <m/>
    <s v="Not Placed"/>
    <m/>
    <m/>
    <m/>
    <m/>
    <m/>
    <m/>
    <m/>
    <m/>
    <m/>
    <m/>
    <m/>
    <m/>
    <n v="0"/>
    <m/>
    <m/>
    <m/>
    <m/>
    <m/>
    <m/>
    <m/>
    <m/>
    <m/>
    <m/>
    <m/>
    <m/>
    <n v="0"/>
    <m/>
    <m/>
    <m/>
    <n v="0"/>
    <n v="0"/>
  </r>
  <r>
    <s v="Jahangir Jalil"/>
    <s v="OCD"/>
    <s v="Vitros ECiQ"/>
    <n v="15002760"/>
    <s v="Immunoassay"/>
    <n v="3002000121"/>
    <m/>
    <n v="30006374"/>
    <m/>
    <m/>
    <s v="04.07.2025"/>
    <m/>
    <m/>
    <x v="2"/>
    <x v="2"/>
    <s v="Peshawar"/>
    <n v="3020001086"/>
    <s v="GAMCA (Express Medical Center)"/>
    <m/>
    <m/>
    <m/>
    <m/>
    <m/>
    <m/>
    <n v="14446400"/>
    <n v="28"/>
    <n v="855600"/>
    <m/>
    <m/>
    <m/>
    <m/>
    <m/>
    <m/>
    <m/>
    <m/>
    <m/>
    <m/>
    <m/>
    <m/>
    <m/>
    <m/>
    <m/>
    <m/>
    <m/>
    <m/>
    <m/>
    <m/>
    <m/>
    <m/>
    <m/>
    <m/>
    <m/>
    <m/>
    <m/>
    <n v="1"/>
    <s v="Placed"/>
    <m/>
    <m/>
    <m/>
    <m/>
    <m/>
    <m/>
    <m/>
    <m/>
    <m/>
    <m/>
    <m/>
    <m/>
    <n v="0"/>
    <m/>
    <m/>
    <m/>
    <m/>
    <m/>
    <m/>
    <m/>
    <m/>
    <m/>
    <m/>
    <m/>
    <m/>
    <n v="0"/>
    <m/>
    <m/>
    <m/>
    <n v="0"/>
    <n v="0"/>
  </r>
  <r>
    <s v="Jahangir Jalil"/>
    <s v="OCD"/>
    <s v="Vitros ECiQ"/>
    <n v="15002760"/>
    <s v="Immunoassay"/>
    <m/>
    <m/>
    <m/>
    <m/>
    <m/>
    <s v="12.08.2025"/>
    <m/>
    <m/>
    <x v="1"/>
    <x v="2"/>
    <s v="Timmergara"/>
    <m/>
    <s v="Tmmergara Clinical Labs-Through JMS"/>
    <m/>
    <m/>
    <m/>
    <m/>
    <m/>
    <m/>
    <n v="7635000"/>
    <n v="36"/>
    <n v="656506"/>
    <m/>
    <m/>
    <m/>
    <m/>
    <m/>
    <m/>
    <m/>
    <m/>
    <m/>
    <m/>
    <m/>
    <m/>
    <m/>
    <m/>
    <m/>
    <m/>
    <m/>
    <m/>
    <m/>
    <m/>
    <m/>
    <m/>
    <m/>
    <m/>
    <m/>
    <m/>
    <s v="Pull Back"/>
    <m/>
    <s v="Pulling back"/>
    <m/>
    <m/>
    <m/>
    <m/>
    <m/>
    <m/>
    <m/>
    <m/>
    <m/>
    <m/>
    <m/>
    <m/>
    <n v="0"/>
    <m/>
    <m/>
    <m/>
    <m/>
    <m/>
    <m/>
    <m/>
    <m/>
    <m/>
    <m/>
    <m/>
    <m/>
    <n v="0"/>
    <m/>
    <m/>
    <m/>
    <n v="0"/>
    <n v="0"/>
  </r>
  <r>
    <s v="Jahangir Jalil"/>
    <s v="OCD"/>
    <s v="Vitros ECiQ"/>
    <n v="15002760"/>
    <s v="Immunoassay"/>
    <m/>
    <m/>
    <m/>
    <m/>
    <m/>
    <s v="26.08.2025"/>
    <m/>
    <m/>
    <x v="1"/>
    <x v="0"/>
    <s v="Karachi"/>
    <m/>
    <s v="Taj Hematology and healthcare Center"/>
    <m/>
    <m/>
    <m/>
    <m/>
    <m/>
    <m/>
    <n v="8085000"/>
    <n v="36"/>
    <n v="598711"/>
    <m/>
    <m/>
    <m/>
    <m/>
    <m/>
    <m/>
    <m/>
    <m/>
    <m/>
    <m/>
    <m/>
    <m/>
    <m/>
    <m/>
    <m/>
    <m/>
    <m/>
    <m/>
    <m/>
    <m/>
    <m/>
    <m/>
    <m/>
    <m/>
    <m/>
    <m/>
    <m/>
    <m/>
    <s v="Not Placed"/>
    <m/>
    <m/>
    <m/>
    <m/>
    <m/>
    <m/>
    <m/>
    <m/>
    <m/>
    <m/>
    <m/>
    <m/>
    <n v="0"/>
    <m/>
    <m/>
    <m/>
    <m/>
    <m/>
    <m/>
    <m/>
    <m/>
    <m/>
    <m/>
    <m/>
    <m/>
    <n v="0"/>
    <m/>
    <m/>
    <m/>
    <n v="0"/>
    <n v="0"/>
  </r>
  <r>
    <s v="Hammad Noor"/>
    <s v="Boule"/>
    <s v="Swelab Alfa Plus"/>
    <n v="15001967"/>
    <s v="Hematology "/>
    <s v="AR # 300424"/>
    <m/>
    <n v="128455"/>
    <m/>
    <m/>
    <m/>
    <m/>
    <m/>
    <x v="4"/>
    <x v="1"/>
    <s v="Sahiwal"/>
    <n v="3020000896"/>
    <s v="Sahiwal Teaching Hospital"/>
    <m/>
    <m/>
    <m/>
    <m/>
    <m/>
    <m/>
    <n v="3382372"/>
    <n v="36"/>
    <n v="421334"/>
    <m/>
    <m/>
    <m/>
    <m/>
    <m/>
    <m/>
    <m/>
    <m/>
    <m/>
    <m/>
    <m/>
    <m/>
    <m/>
    <m/>
    <m/>
    <m/>
    <m/>
    <m/>
    <m/>
    <m/>
    <m/>
    <m/>
    <m/>
    <m/>
    <m/>
    <m/>
    <s v="on Track"/>
    <n v="1"/>
    <s v="Placed"/>
    <m/>
    <m/>
    <m/>
    <m/>
    <m/>
    <m/>
    <m/>
    <m/>
    <m/>
    <m/>
    <m/>
    <m/>
    <n v="0"/>
    <m/>
    <m/>
    <m/>
    <m/>
    <m/>
    <m/>
    <m/>
    <m/>
    <m/>
    <m/>
    <m/>
    <n v="1525424"/>
    <n v="1525424"/>
    <m/>
    <n v="3050848"/>
    <n v="0"/>
    <n v="3050848"/>
    <n v="2288136"/>
  </r>
  <r>
    <s v="Hammad Noor"/>
    <s v="Boule"/>
    <s v="Swelab-Autoloader"/>
    <m/>
    <s v="Hematology"/>
    <m/>
    <m/>
    <m/>
    <m/>
    <m/>
    <s v="24.11.2025"/>
    <m/>
    <m/>
    <x v="2"/>
    <x v="0"/>
    <s v="Sehwan"/>
    <m/>
    <s v="SASIM Sehwan through Mehran Trader"/>
    <m/>
    <m/>
    <m/>
    <m/>
    <m/>
    <m/>
    <n v="1960000"/>
    <n v="36"/>
    <n v="175449"/>
    <m/>
    <m/>
    <m/>
    <m/>
    <m/>
    <m/>
    <m/>
    <m/>
    <m/>
    <m/>
    <m/>
    <m/>
    <m/>
    <m/>
    <m/>
    <m/>
    <m/>
    <m/>
    <m/>
    <m/>
    <m/>
    <m/>
    <m/>
    <m/>
    <m/>
    <m/>
    <s v="New installation "/>
    <m/>
    <s v="Placed"/>
    <m/>
    <m/>
    <m/>
    <m/>
    <m/>
    <m/>
    <m/>
    <m/>
    <m/>
    <m/>
    <m/>
    <m/>
    <n v="0"/>
    <m/>
    <m/>
    <m/>
    <m/>
    <m/>
    <m/>
    <m/>
    <m/>
    <m/>
    <m/>
    <m/>
    <m/>
    <n v="0"/>
    <m/>
    <m/>
    <m/>
    <n v="0"/>
    <n v="0"/>
  </r>
  <r>
    <s v="Hammad Noor"/>
    <s v="Vital Scientific"/>
    <s v="Microlab 300"/>
    <n v="15000003"/>
    <s v="Clinical Chemistry"/>
    <m/>
    <m/>
    <m/>
    <m/>
    <m/>
    <s v="27.08.2025"/>
    <m/>
    <m/>
    <x v="2"/>
    <x v="0"/>
    <s v="Sui Balochistan"/>
    <m/>
    <s v="Welfare Hospital Sui (the indus hospital)"/>
    <m/>
    <m/>
    <m/>
    <m/>
    <m/>
    <m/>
    <n v="477000"/>
    <m/>
    <n v="327855"/>
    <m/>
    <m/>
    <m/>
    <m/>
    <m/>
    <m/>
    <m/>
    <m/>
    <m/>
    <m/>
    <m/>
    <m/>
    <m/>
    <m/>
    <m/>
    <m/>
    <m/>
    <m/>
    <m/>
    <m/>
    <m/>
    <m/>
    <m/>
    <m/>
    <m/>
    <m/>
    <s v="New machines"/>
    <n v="1"/>
    <s v="Placed"/>
    <m/>
    <m/>
    <m/>
    <m/>
    <m/>
    <m/>
    <m/>
    <m/>
    <m/>
    <m/>
    <m/>
    <m/>
    <n v="0"/>
    <m/>
    <m/>
    <m/>
    <m/>
    <m/>
    <m/>
    <m/>
    <m/>
    <m/>
    <m/>
    <m/>
    <m/>
    <n v="0"/>
    <m/>
    <m/>
    <m/>
    <n v="0"/>
    <n v="0"/>
  </r>
  <r>
    <s v="Hammad Noor"/>
    <s v="Boule"/>
    <s v="Swelab Alfa Plus Standard"/>
    <n v="15001967"/>
    <s v="Hematology"/>
    <m/>
    <m/>
    <m/>
    <s v="24.11.2025"/>
    <m/>
    <s v="24.11.2025"/>
    <m/>
    <m/>
    <x v="4"/>
    <x v="1"/>
    <s v="Faisalabad Medical University"/>
    <n v="3020000393"/>
    <s v="Faisalabad Medical University"/>
    <m/>
    <m/>
    <m/>
    <m/>
    <m/>
    <m/>
    <n v="1186483.33333333"/>
    <n v="25"/>
    <n v="108475"/>
    <m/>
    <m/>
    <m/>
    <m/>
    <m/>
    <m/>
    <m/>
    <m/>
    <m/>
    <m/>
    <m/>
    <m/>
    <m/>
    <m/>
    <m/>
    <m/>
    <m/>
    <m/>
    <m/>
    <m/>
    <m/>
    <m/>
    <m/>
    <m/>
    <m/>
    <m/>
    <s v="on Track"/>
    <m/>
    <s v="Placed"/>
    <m/>
    <m/>
    <m/>
    <m/>
    <m/>
    <m/>
    <m/>
    <m/>
    <m/>
    <m/>
    <m/>
    <m/>
    <n v="0"/>
    <m/>
    <m/>
    <m/>
    <m/>
    <m/>
    <m/>
    <m/>
    <m/>
    <m/>
    <m/>
    <m/>
    <m/>
    <n v="0"/>
    <n v="0"/>
    <n v="1050033.03"/>
    <n v="312678.5"/>
    <n v="1362711.53"/>
    <n v="525016.51500000001"/>
  </r>
  <r>
    <s v="Hammad Noor"/>
    <s v="Boule"/>
    <s v="Swelab Alfa Plus Standard"/>
    <n v="15001967"/>
    <s v="Hematology"/>
    <m/>
    <m/>
    <m/>
    <s v="24.11.2025"/>
    <m/>
    <s v="24.11.2025"/>
    <m/>
    <m/>
    <x v="4"/>
    <x v="1"/>
    <s v="Faisalabad Medical University"/>
    <n v="3020000393"/>
    <s v="Faisalabad Medical University"/>
    <m/>
    <m/>
    <m/>
    <m/>
    <m/>
    <m/>
    <n v="1186483.33333333"/>
    <n v="25"/>
    <n v="108475"/>
    <m/>
    <m/>
    <m/>
    <m/>
    <m/>
    <m/>
    <m/>
    <m/>
    <m/>
    <m/>
    <m/>
    <m/>
    <m/>
    <m/>
    <m/>
    <m/>
    <m/>
    <m/>
    <m/>
    <m/>
    <m/>
    <m/>
    <m/>
    <m/>
    <m/>
    <m/>
    <s v="on Track"/>
    <m/>
    <s v="Placed"/>
    <m/>
    <m/>
    <m/>
    <m/>
    <m/>
    <m/>
    <m/>
    <m/>
    <m/>
    <m/>
    <m/>
    <m/>
    <n v="0"/>
    <m/>
    <m/>
    <m/>
    <m/>
    <m/>
    <m/>
    <m/>
    <m/>
    <m/>
    <m/>
    <m/>
    <m/>
    <n v="0"/>
    <n v="0"/>
    <n v="1050033.03"/>
    <n v="312678.5"/>
    <n v="1362711.53"/>
    <n v="525016.51500000001"/>
  </r>
  <r>
    <s v="Hammad Noor"/>
    <s v="YHLO"/>
    <s v="IFLASH 1200"/>
    <n v="15002553"/>
    <s v="Immunoassay"/>
    <m/>
    <m/>
    <m/>
    <m/>
    <m/>
    <s v="26.12.2025"/>
    <m/>
    <m/>
    <x v="0"/>
    <x v="2"/>
    <s v="Rawalpindi"/>
    <n v="3020000685"/>
    <s v="Ibn-E-Sina"/>
    <m/>
    <m/>
    <m/>
    <m/>
    <m/>
    <m/>
    <n v="3047232"/>
    <n v="36"/>
    <n v="455552"/>
    <m/>
    <m/>
    <m/>
    <m/>
    <m/>
    <m/>
    <m/>
    <m/>
    <m/>
    <m/>
    <m/>
    <m/>
    <m/>
    <m/>
    <m/>
    <m/>
    <m/>
    <m/>
    <m/>
    <m/>
    <m/>
    <m/>
    <m/>
    <m/>
    <m/>
    <m/>
    <s v="Behind track due to overdue"/>
    <m/>
    <s v="Placed"/>
    <m/>
    <m/>
    <m/>
    <m/>
    <m/>
    <m/>
    <m/>
    <m/>
    <m/>
    <m/>
    <m/>
    <m/>
    <n v="0"/>
    <m/>
    <m/>
    <m/>
    <m/>
    <m/>
    <m/>
    <n v="402610"/>
    <n v="140000"/>
    <n v="109500"/>
    <m/>
    <n v="416420"/>
    <m/>
    <n v="1068530"/>
    <m/>
    <m/>
    <m/>
    <n v="0"/>
    <n v="267132.5"/>
  </r>
  <r>
    <s v="Jahangir Jalil"/>
    <s v="OCD"/>
    <s v="Vitros ECiQ"/>
    <m/>
    <s v="Immunoassay"/>
    <m/>
    <m/>
    <m/>
    <m/>
    <m/>
    <s v="14.10.2025"/>
    <m/>
    <m/>
    <x v="4"/>
    <x v="1"/>
    <s v="Multan"/>
    <n v="3020000633"/>
    <s v="Children's Hospital Multan"/>
    <m/>
    <m/>
    <m/>
    <m/>
    <m/>
    <m/>
    <n v="12513969"/>
    <n v="19"/>
    <n v="1442723.5"/>
    <m/>
    <m/>
    <m/>
    <m/>
    <m/>
    <m/>
    <m/>
    <m/>
    <m/>
    <m/>
    <m/>
    <m/>
    <m/>
    <m/>
    <m/>
    <m/>
    <m/>
    <m/>
    <m/>
    <m/>
    <m/>
    <m/>
    <m/>
    <m/>
    <m/>
    <m/>
    <s v="Behind Track"/>
    <m/>
    <m/>
    <m/>
    <m/>
    <m/>
    <m/>
    <m/>
    <m/>
    <m/>
    <m/>
    <m/>
    <m/>
    <m/>
    <m/>
    <n v="0"/>
    <m/>
    <m/>
    <n v="168750.52499999999"/>
    <n v="0"/>
    <n v="116339.01000000001"/>
    <n v="557370"/>
    <n v="687105.67999999993"/>
    <n v="0"/>
    <n v="6160"/>
    <n v="0"/>
    <n v="0"/>
    <n v="924903"/>
    <n v="2460628.2149999999"/>
    <n v="0"/>
    <n v="770631"/>
    <m/>
    <n v="770631"/>
    <n v="298599.95999999996"/>
  </r>
  <r>
    <s v="Jahangir Jalil"/>
    <s v="OCD"/>
    <s v="Vitros ECiQ"/>
    <m/>
    <s v="Immunoassay"/>
    <m/>
    <m/>
    <m/>
    <m/>
    <m/>
    <s v="14.10.2025"/>
    <m/>
    <m/>
    <x v="4"/>
    <x v="1"/>
    <s v="Multan"/>
    <n v="3020000633"/>
    <s v="Children's Hospital Multan"/>
    <m/>
    <m/>
    <m/>
    <m/>
    <m/>
    <m/>
    <n v="12513969"/>
    <n v="19"/>
    <n v="1442723.5"/>
    <m/>
    <m/>
    <m/>
    <m/>
    <m/>
    <m/>
    <m/>
    <m/>
    <m/>
    <m/>
    <m/>
    <m/>
    <m/>
    <m/>
    <m/>
    <m/>
    <m/>
    <m/>
    <m/>
    <m/>
    <m/>
    <m/>
    <m/>
    <m/>
    <m/>
    <m/>
    <s v="Behind Track"/>
    <m/>
    <m/>
    <m/>
    <m/>
    <m/>
    <m/>
    <m/>
    <m/>
    <m/>
    <m/>
    <m/>
    <m/>
    <m/>
    <m/>
    <n v="0"/>
    <m/>
    <m/>
    <n v="168750.52499999999"/>
    <n v="0"/>
    <n v="116339.01000000001"/>
    <n v="557370"/>
    <n v="687105.67999999993"/>
    <n v="0"/>
    <n v="6160"/>
    <n v="0"/>
    <n v="0"/>
    <n v="924903"/>
    <n v="2460628.2149999999"/>
    <n v="0"/>
    <n v="770631"/>
    <m/>
    <n v="770631"/>
    <n v="298599.95999999996"/>
  </r>
  <r>
    <s v="Hammad Noor"/>
    <s v="Dymind"/>
    <s v="DYMIND DH-76"/>
    <n v="15003243"/>
    <s v="Hematology "/>
    <m/>
    <m/>
    <s v="DM11052437003"/>
    <m/>
    <m/>
    <s v="26.12.2025"/>
    <m/>
    <m/>
    <x v="4"/>
    <x v="2"/>
    <s v="Peshawar"/>
    <n v="3020001115"/>
    <s v="Al-Khidmat Mashal Medical"/>
    <m/>
    <m/>
    <m/>
    <m/>
    <m/>
    <m/>
    <n v="21992876"/>
    <n v="35"/>
    <n v="1808443"/>
    <m/>
    <m/>
    <m/>
    <m/>
    <m/>
    <m/>
    <m/>
    <m/>
    <m/>
    <m/>
    <m/>
    <m/>
    <m/>
    <m/>
    <m/>
    <m/>
    <m/>
    <m/>
    <m/>
    <m/>
    <m/>
    <m/>
    <m/>
    <m/>
    <m/>
    <m/>
    <s v="Behind Track due to supply issue"/>
    <m/>
    <s v="Placed"/>
    <m/>
    <m/>
    <m/>
    <m/>
    <m/>
    <m/>
    <m/>
    <m/>
    <m/>
    <m/>
    <m/>
    <m/>
    <n v="0"/>
    <m/>
    <m/>
    <m/>
    <m/>
    <m/>
    <m/>
    <m/>
    <m/>
    <n v="143500"/>
    <m/>
    <m/>
    <n v="41600"/>
    <n v="185100"/>
    <n v="0"/>
    <n v="0"/>
    <m/>
    <n v="0"/>
    <n v="46275"/>
  </r>
  <r>
    <s v="Hammad Noor"/>
    <s v="YHLO"/>
    <s v="IFLASH 1200"/>
    <m/>
    <s v="Immunoassay"/>
    <m/>
    <m/>
    <m/>
    <m/>
    <m/>
    <s v="25.11.2025"/>
    <m/>
    <m/>
    <x v="0"/>
    <x v="0"/>
    <s v="Quetta"/>
    <n v="3020001748"/>
    <s v="M. Khan Lab (Through Jamal Brothers)"/>
    <m/>
    <m/>
    <m/>
    <m/>
    <m/>
    <m/>
    <n v="3276255"/>
    <n v="36"/>
    <n v="386629"/>
    <m/>
    <m/>
    <m/>
    <m/>
    <m/>
    <m/>
    <m/>
    <m/>
    <m/>
    <m/>
    <m/>
    <m/>
    <m/>
    <m/>
    <m/>
    <m/>
    <m/>
    <m/>
    <m/>
    <m/>
    <m/>
    <m/>
    <m/>
    <m/>
    <m/>
    <m/>
    <s v="on track"/>
    <m/>
    <s v="Placed"/>
    <m/>
    <m/>
    <m/>
    <m/>
    <n v="1710000"/>
    <m/>
    <m/>
    <m/>
    <m/>
    <m/>
    <m/>
    <m/>
    <n v="1710000"/>
    <m/>
    <m/>
    <m/>
    <m/>
    <m/>
    <m/>
    <m/>
    <m/>
    <m/>
    <m/>
    <m/>
    <n v="1032747.5"/>
    <n v="1032747.5"/>
    <n v="205240"/>
    <n v="424978"/>
    <n v="79312.5"/>
    <n v="709530.5"/>
    <n v="554321.83333333337"/>
  </r>
  <r>
    <s v="Hammad Noor"/>
    <s v="YHLO"/>
    <s v="IFLASH 1200"/>
    <m/>
    <s v="Immunoassay"/>
    <m/>
    <m/>
    <m/>
    <m/>
    <m/>
    <s v="25.11.2025"/>
    <m/>
    <m/>
    <x v="2"/>
    <x v="1"/>
    <s v="Multan"/>
    <m/>
    <s v="Laeq Rafiq Hospital"/>
    <m/>
    <m/>
    <m/>
    <m/>
    <m/>
    <m/>
    <n v="3232232"/>
    <n v="25"/>
    <n v="497735"/>
    <m/>
    <m/>
    <m/>
    <m/>
    <m/>
    <m/>
    <m/>
    <m/>
    <m/>
    <m/>
    <m/>
    <m/>
    <m/>
    <m/>
    <m/>
    <m/>
    <m/>
    <m/>
    <m/>
    <m/>
    <m/>
    <m/>
    <m/>
    <m/>
    <m/>
    <m/>
    <s v="Machine to be checked"/>
    <m/>
    <m/>
    <m/>
    <m/>
    <m/>
    <m/>
    <m/>
    <m/>
    <m/>
    <m/>
    <m/>
    <m/>
    <m/>
    <m/>
    <n v="0"/>
    <m/>
    <m/>
    <m/>
    <m/>
    <m/>
    <m/>
    <m/>
    <m/>
    <m/>
    <m/>
    <m/>
    <m/>
    <n v="0"/>
    <m/>
    <m/>
    <m/>
    <n v="0"/>
    <n v="0"/>
  </r>
  <r>
    <s v="Hammad Noor"/>
    <s v="YHLO"/>
    <s v="IFLASH 1200"/>
    <m/>
    <s v="Immunoassay"/>
    <m/>
    <m/>
    <m/>
    <m/>
    <m/>
    <s v="25.11.2025"/>
    <m/>
    <m/>
    <x v="0"/>
    <x v="2"/>
    <s v="Rawalpindi"/>
    <n v="3020000176"/>
    <s v="Attock Hospital (Through Humanity Care Diagnostic)"/>
    <m/>
    <m/>
    <m/>
    <m/>
    <m/>
    <m/>
    <n v="2998200"/>
    <n v="36"/>
    <n v="320078"/>
    <m/>
    <m/>
    <m/>
    <m/>
    <m/>
    <m/>
    <m/>
    <m/>
    <m/>
    <m/>
    <m/>
    <m/>
    <m/>
    <m/>
    <m/>
    <m/>
    <m/>
    <m/>
    <m/>
    <m/>
    <m/>
    <m/>
    <m/>
    <m/>
    <m/>
    <m/>
    <s v="Behind Track"/>
    <m/>
    <s v="Placed"/>
    <m/>
    <m/>
    <m/>
    <m/>
    <m/>
    <m/>
    <m/>
    <m/>
    <m/>
    <m/>
    <m/>
    <m/>
    <n v="0"/>
    <m/>
    <m/>
    <m/>
    <m/>
    <m/>
    <m/>
    <m/>
    <m/>
    <m/>
    <m/>
    <m/>
    <m/>
    <n v="0"/>
    <n v="229400"/>
    <n v="236500"/>
    <n v="306800"/>
    <n v="772700"/>
    <n v="232950"/>
  </r>
  <r>
    <m/>
    <s v="YHLO"/>
    <s v="iFlash 1800"/>
    <m/>
    <m/>
    <n v="3002000072"/>
    <s v="Machine transfer from Suhail"/>
    <s v="iA00093422"/>
    <m/>
    <m/>
    <m/>
    <m/>
    <m/>
    <x v="2"/>
    <x v="3"/>
    <m/>
    <n v="3020000998"/>
    <s v="Biocare Labs (Private) Limited"/>
    <m/>
    <m/>
    <m/>
    <m/>
    <m/>
    <m/>
    <m/>
    <m/>
    <m/>
    <m/>
    <m/>
    <m/>
    <m/>
    <m/>
    <m/>
    <m/>
    <m/>
    <m/>
    <m/>
    <m/>
    <m/>
    <m/>
    <m/>
    <m/>
    <m/>
    <m/>
    <m/>
    <m/>
    <m/>
    <m/>
    <m/>
    <m/>
    <m/>
    <m/>
    <m/>
    <m/>
    <m/>
    <m/>
    <n v="0"/>
    <m/>
    <m/>
    <m/>
    <m/>
    <m/>
    <m/>
    <m/>
    <m/>
    <m/>
    <m/>
    <m/>
    <m/>
    <m/>
    <m/>
    <m/>
    <m/>
    <m/>
    <m/>
    <m/>
    <m/>
    <m/>
    <m/>
    <m/>
    <m/>
    <m/>
    <m/>
    <m/>
    <m/>
    <m/>
    <m/>
  </r>
  <r>
    <s v="Hammad Noor"/>
    <s v="Boule"/>
    <s v="Swelab Alfa Plus Standard"/>
    <n v="15001967"/>
    <s v="Hematology "/>
    <n v="3002000120"/>
    <m/>
    <n v="126055"/>
    <m/>
    <m/>
    <s v="17.07.2025"/>
    <m/>
    <s v="2 machines"/>
    <x v="0"/>
    <x v="1"/>
    <s v="Lahore"/>
    <n v="3020000206"/>
    <s v="Mughal Diagnostics &amp; Research Labs/Cancer Care Hospital"/>
    <m/>
    <s v="294, Block H-3, M.A Johar Town, Lahore"/>
    <s v="042-35313166, 0300-6458181"/>
    <s v="manager@mughallabs.com"/>
    <s v="1293625-1"/>
    <s v="1293625-1"/>
    <n v="1191010"/>
    <n v="29"/>
    <n v="92028.5"/>
    <m/>
    <m/>
    <m/>
    <m/>
    <m/>
    <m/>
    <m/>
    <m/>
    <m/>
    <m/>
    <m/>
    <m/>
    <m/>
    <m/>
    <m/>
    <m/>
    <m/>
    <m/>
    <m/>
    <m/>
    <m/>
    <m/>
    <m/>
    <m/>
    <m/>
    <m/>
    <s v="on Track"/>
    <n v="1"/>
    <s v="Placed"/>
    <m/>
    <m/>
    <m/>
    <m/>
    <m/>
    <m/>
    <m/>
    <m/>
    <m/>
    <m/>
    <m/>
    <m/>
    <n v="0"/>
    <m/>
    <m/>
    <m/>
    <m/>
    <m/>
    <m/>
    <m/>
    <n v="114000"/>
    <n v="190000"/>
    <m/>
    <m/>
    <n v="72000"/>
    <n v="376000"/>
    <n v="0"/>
    <n v="532000"/>
    <n v="114000"/>
    <n v="646000"/>
    <n v="181600"/>
  </r>
  <r>
    <s v="Hammad Noor"/>
    <s v="YHLO"/>
    <s v="IFLASH 3000R"/>
    <m/>
    <s v="Immunoassay"/>
    <m/>
    <m/>
    <m/>
    <m/>
    <m/>
    <s v="13.01.2026"/>
    <m/>
    <m/>
    <x v="0"/>
    <x v="0"/>
    <s v="Karachi"/>
    <n v="3020000664"/>
    <s v="NHS Sharah-e Qaideen"/>
    <m/>
    <m/>
    <m/>
    <m/>
    <m/>
    <m/>
    <n v="5490000"/>
    <n v="36"/>
    <n v="413290"/>
    <m/>
    <m/>
    <m/>
    <m/>
    <m/>
    <m/>
    <m/>
    <m/>
    <m/>
    <m/>
    <m/>
    <m/>
    <m/>
    <m/>
    <m/>
    <m/>
    <m/>
    <m/>
    <m/>
    <m/>
    <m/>
    <m/>
    <m/>
    <m/>
    <m/>
    <m/>
    <s v="behind track need followup"/>
    <m/>
    <s v="Placed"/>
    <m/>
    <m/>
    <m/>
    <m/>
    <m/>
    <m/>
    <m/>
    <m/>
    <m/>
    <m/>
    <m/>
    <m/>
    <n v="0"/>
    <m/>
    <m/>
    <m/>
    <m/>
    <m/>
    <m/>
    <m/>
    <m/>
    <m/>
    <m/>
    <m/>
    <m/>
    <n v="0"/>
    <n v="0"/>
    <n v="377100"/>
    <n v="0"/>
    <n v="377100"/>
    <n v="1885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iFlash 1800"/>
    <n v="15002462"/>
    <s v="Immunoassay"/>
    <n v="3002000010"/>
    <s v="N/A"/>
    <s v="IA00093222"/>
    <s v="26.09.2023"/>
    <s v="11.09.2023"/>
    <s v="11.09.2023"/>
    <s v="Available"/>
    <m/>
    <x v="0"/>
    <x v="0"/>
    <s v="Karachi"/>
    <n v="3020000013"/>
    <x v="0"/>
    <s v="N/A"/>
    <s v="St-19, KDA Scheme, Abul Asar Hafeez,"/>
    <s v="021-111-300-999, 0311-3060540"/>
    <s v=" rubina.sabir@lcmddsh.com.pk"/>
    <s v="2517101-1"/>
    <m/>
    <n v="2868545"/>
    <n v="29"/>
    <n v="586886"/>
    <m/>
    <m/>
    <m/>
    <m/>
    <m/>
    <m/>
    <m/>
    <m/>
    <m/>
    <m/>
    <s v="equipment installed &amp; Validation Done"/>
    <s v="We'll receive their first PO within this week"/>
    <m/>
    <m/>
    <m/>
    <m/>
    <m/>
    <m/>
    <s v="Sales are on track"/>
    <m/>
    <s v="Sales will be on track in next two months"/>
    <m/>
    <m/>
    <s v="No sales in june"/>
    <m/>
    <m/>
    <x v="0"/>
    <x v="0"/>
    <n v="1"/>
    <s v="Placed"/>
    <n v="261866"/>
    <n v="759548.4"/>
    <n v="450046.8"/>
    <n v="230685.51"/>
    <n v="1817060.11"/>
    <n v="0"/>
    <n v="2496748.33"/>
    <n v="314131.19"/>
    <n v="0"/>
    <n v="1208280"/>
    <n v="1281910"/>
    <n v="1289650"/>
    <n v="10109926.34"/>
    <n v="524840"/>
    <n v="0"/>
    <n v="712890"/>
    <n v="1228210"/>
    <n v="484650"/>
    <n v="784342"/>
    <n v="137760"/>
    <n v="1348290"/>
    <n v="896470"/>
    <n v="147358"/>
    <n v="1219060"/>
    <n v="964490"/>
    <n v="8448360"/>
    <n v="597810"/>
    <n v="442650"/>
    <m/>
    <n v="1040460"/>
    <n v="674273.6"/>
    <m/>
    <n v="19598746.34"/>
    <n v="23"/>
    <n v="852119.4060869565"/>
    <n v="-4970953.5360000003"/>
    <n v="265233.4060869565"/>
    <s v="Sales on track"/>
    <n v="11531.887221172021"/>
    <n v="0.4"/>
    <n v="7839498.5360000003"/>
    <n v="0.4"/>
  </r>
  <r>
    <x v="1"/>
    <s v="Selectra PRO M Lite"/>
    <n v="15002128"/>
    <s v="Clinical Chemistry"/>
    <n v="3002000003"/>
    <s v="N/A"/>
    <s v="21-4087"/>
    <s v="26.10.2021"/>
    <s v="22.04.2022"/>
    <s v="22.04.2022"/>
    <s v="Available"/>
    <m/>
    <x v="0"/>
    <x v="0"/>
    <s v="Karachi"/>
    <n v="3020000022"/>
    <x v="1"/>
    <s v="Farhan Essa"/>
    <s v="B-122, Block H North Nazimabad Town, Karachi, Karachi City, Sindh"/>
    <s v="0333-2220711"/>
    <s v="ltcdrasgharali@gmail.com"/>
    <s v="0982474-0"/>
    <s v="42501-8253375-1"/>
    <n v="2606483"/>
    <n v="18"/>
    <n v="250000"/>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s v="Work load decreased, it is advisable to revist the case"/>
    <s v="Customer promised to shift workload on our equipment from other branches to cover the gap."/>
    <s v="We've received order of 122,000 in August 2023 "/>
    <s v="We've got the order of 400,000 in September 2023 to cover the deficit of August 2023. Furthermore, we've covered 94% of ROI in this case."/>
    <s v="We've received order of 400,000 in Sep 2023 "/>
    <s v="Working with customer to get the desired orders as per comittment"/>
    <m/>
    <m/>
    <m/>
    <m/>
    <s v="Due to shifting of Lab, wordload is down."/>
    <s v="From on wards will receive commited value PO "/>
    <s v="Improvement in sales expected"/>
    <m/>
    <s v="Under discussion with Essa lab for price revision or replacement of machine with Mach 5"/>
    <s v="New Quoation has been submitted, under discussion with management of Essa Lab"/>
    <m/>
    <m/>
    <m/>
    <m/>
    <x v="1"/>
    <x v="1"/>
    <n v="1"/>
    <s v="Placed"/>
    <n v="293210.25"/>
    <n v="141695.46"/>
    <n v="114322.96"/>
    <n v="230296.74"/>
    <n v="253481.28"/>
    <n v="0"/>
    <n v="167380.73000000001"/>
    <n v="406400"/>
    <n v="84600"/>
    <n v="0"/>
    <n v="196100"/>
    <n v="236400"/>
    <n v="2123887.42"/>
    <n v="0"/>
    <n v="0"/>
    <n v="380500"/>
    <n v="97500"/>
    <n v="247800"/>
    <n v="17200"/>
    <n v="99800"/>
    <n v="53300"/>
    <n v="313800"/>
    <n v="271000"/>
    <n v="265200"/>
    <m/>
    <n v="1746100"/>
    <n v="24000"/>
    <n v="0"/>
    <n v="262200"/>
    <n v="286200"/>
    <n v="164480"/>
    <m/>
    <n v="4156187.42"/>
    <n v="45"/>
    <n v="92359.720444444436"/>
    <n v="736198.66100000008"/>
    <n v="-157640.27955555555"/>
    <s v="Sales behind track"/>
    <n v="-3503.11732345679"/>
    <n v="0.45"/>
    <n v="1870284.3389999999"/>
    <n v="0.35"/>
  </r>
  <r>
    <x v="2"/>
    <s v="Vitros ECiQ Immunodiagnostic System"/>
    <n v="15002760"/>
    <s v="Immunoassay"/>
    <n v="3002000034"/>
    <s v="N/A"/>
    <n v="30006181"/>
    <s v="20.07.2023"/>
    <s v="11.08.2023"/>
    <s v="11.08.2023"/>
    <s v="Available"/>
    <m/>
    <x v="1"/>
    <x v="1"/>
    <s v="Lahore"/>
    <n v="3020000072"/>
    <x v="2"/>
    <s v="N/A"/>
    <s v="561-A, Edhi Street, Faisal Town, Opposite Jinnah Hospital Emergency Gate, Lahore"/>
    <s v="0331-9699586"/>
    <s v=" kjabran87@gmail.com"/>
    <s v="0224883-2"/>
    <m/>
    <n v="7385000"/>
    <n v="39"/>
    <n v="755925"/>
    <m/>
    <m/>
    <m/>
    <m/>
    <m/>
    <m/>
    <e v="#N/A"/>
    <e v="#N/A"/>
    <s v="Waiting for Inventory &amp; then invoice execution "/>
    <m/>
    <s v="New PO has been Recieved Amount Subject to Invoice "/>
    <s v="Parameter Woking Planning to shift from Roche "/>
    <m/>
    <s v="Parameter Woking Planning to shift from Roche "/>
    <s v="One PO is proceeded and waiting for another PO"/>
    <s v="Follow up "/>
    <s v="Consumables and electricity cost issue."/>
    <m/>
    <s v="in process to terminate the contract. Instrument will be placed at Ghulab devi."/>
    <m/>
    <s v="Will be returned by end April"/>
    <m/>
    <m/>
    <s v="Machine pull back and place at ridhan ( machine will be on demo) "/>
    <m/>
    <m/>
    <x v="2"/>
    <x v="2"/>
    <m/>
    <s v="Closed"/>
    <n v="40943"/>
    <n v="141500"/>
    <n v="31500"/>
    <m/>
    <m/>
    <m/>
    <m/>
    <m/>
    <m/>
    <m/>
    <m/>
    <m/>
    <n v="213943"/>
    <m/>
    <m/>
    <m/>
    <m/>
    <m/>
    <m/>
    <m/>
    <m/>
    <m/>
    <m/>
    <m/>
    <m/>
    <n v="0"/>
    <n v="0"/>
    <n v="0"/>
    <m/>
    <n v="0"/>
    <n v="0"/>
    <s v="Machine move to Ridhan. It will pull back from ridhan as well because theres no business case."/>
    <n v="213943"/>
    <n v="15"/>
    <n v="14262.866666666667"/>
    <n v="7299422.7999999998"/>
    <n v="-741662.1333333333"/>
    <s v="Sales behind track"/>
    <n v="-49444.142222222217"/>
    <n v="0.4"/>
    <n v="85577.200000000012"/>
    <n v="0.35"/>
  </r>
  <r>
    <x v="0"/>
    <s v="iFlash 1800"/>
    <n v="15002462"/>
    <s v="Immunoassay"/>
    <n v="3002000097"/>
    <m/>
    <s v="IA00146846"/>
    <s v="28.04.2025"/>
    <m/>
    <s v="10.04.2025"/>
    <m/>
    <m/>
    <x v="0"/>
    <x v="0"/>
    <s v="Karachi"/>
    <n v="3020000084"/>
    <x v="3"/>
    <m/>
    <s v="Rafique (HJ), Shaheed road,Saddar Town,Karachi"/>
    <s v="0300-2607223"/>
    <s v="mursaleen.khan@nicvd.org"/>
    <s v="4867225-3"/>
    <m/>
    <n v="4171088"/>
    <n v="32"/>
    <n v="1012173"/>
    <m/>
    <m/>
    <m/>
    <m/>
    <m/>
    <m/>
    <m/>
    <m/>
    <m/>
    <m/>
    <m/>
    <m/>
    <m/>
    <m/>
    <m/>
    <m/>
    <m/>
    <m/>
    <m/>
    <m/>
    <m/>
    <m/>
    <m/>
    <m/>
    <m/>
    <m/>
    <x v="0"/>
    <x v="3"/>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on track"/>
    <n v="28431.137860082297"/>
    <n v="0.4"/>
    <n v="4564991.666666667"/>
    <n v="0.4"/>
  </r>
  <r>
    <x v="0"/>
    <s v="iFlash 3000"/>
    <n v="15003241"/>
    <s v="Immunoassay"/>
    <m/>
    <m/>
    <s v="FC10330839"/>
    <s v="06.05.2025"/>
    <m/>
    <s v="10.04.2025"/>
    <m/>
    <m/>
    <x v="0"/>
    <x v="0"/>
    <s v="Hyderabad"/>
    <n v="3020000084"/>
    <x v="4"/>
    <m/>
    <s v="Rafique (HJ), Shaheed road,Saddar Town,Karachi"/>
    <s v="0300-2607223"/>
    <s v="mursaleen.khan@nicvd.org"/>
    <s v="4867225-3"/>
    <m/>
    <n v="4171088"/>
    <n v="32"/>
    <n v="1012173"/>
    <m/>
    <m/>
    <m/>
    <m/>
    <m/>
    <m/>
    <m/>
    <m/>
    <m/>
    <m/>
    <m/>
    <m/>
    <m/>
    <m/>
    <m/>
    <m/>
    <m/>
    <m/>
    <m/>
    <m/>
    <m/>
    <m/>
    <m/>
    <m/>
    <m/>
    <m/>
    <x v="0"/>
    <x v="3"/>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behind track"/>
    <n v="28431.137860082297"/>
    <n v="0.4"/>
    <n v="4564991.666666667"/>
    <n v="0.4"/>
  </r>
  <r>
    <x v="0"/>
    <s v="iFlash 3000"/>
    <n v="15003241"/>
    <s v="Immunoassay"/>
    <m/>
    <m/>
    <s v="FC10330939"/>
    <s v="06.05.2025"/>
    <m/>
    <s v="10.04.2025"/>
    <m/>
    <m/>
    <x v="0"/>
    <x v="0"/>
    <s v="TMK (Tando Muhammad Khan)"/>
    <n v="3020000084"/>
    <x v="5"/>
    <m/>
    <s v="Rafique (HJ), Shaheed road,Saddar Town,Karachi"/>
    <s v="0300-2607223"/>
    <s v="mursaleen.khan@nicvd.org"/>
    <s v="4867225-3"/>
    <m/>
    <n v="4171088"/>
    <n v="32"/>
    <n v="1012173"/>
    <m/>
    <m/>
    <m/>
    <m/>
    <m/>
    <m/>
    <m/>
    <m/>
    <m/>
    <m/>
    <m/>
    <m/>
    <m/>
    <m/>
    <m/>
    <m/>
    <m/>
    <m/>
    <m/>
    <m/>
    <m/>
    <m/>
    <m/>
    <m/>
    <m/>
    <m/>
    <x v="0"/>
    <x v="3"/>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behind track"/>
    <n v="28431.137860082297"/>
    <n v="0.4"/>
    <n v="4564991.666666667"/>
    <n v="0.4"/>
  </r>
  <r>
    <x v="0"/>
    <s v="iflash1800"/>
    <n v="15003241"/>
    <s v="Immunoassay"/>
    <m/>
    <m/>
    <m/>
    <m/>
    <m/>
    <s v="10.11.2025"/>
    <m/>
    <m/>
    <x v="0"/>
    <x v="0"/>
    <s v="Sukkur"/>
    <n v="3020000084"/>
    <x v="5"/>
    <m/>
    <s v="Rafique (HJ), Shaheed road,Saddar Town,Karachi"/>
    <s v="0300-2607223"/>
    <s v="mursaleen.khan@nicvd.org"/>
    <s v="4867225-3"/>
    <m/>
    <n v="18188372"/>
    <n v="28"/>
    <n v="1484753"/>
    <m/>
    <m/>
    <m/>
    <m/>
    <m/>
    <m/>
    <m/>
    <m/>
    <m/>
    <m/>
    <m/>
    <m/>
    <m/>
    <m/>
    <m/>
    <m/>
    <m/>
    <m/>
    <m/>
    <m/>
    <m/>
    <m/>
    <m/>
    <m/>
    <m/>
    <m/>
    <x v="0"/>
    <x v="3"/>
    <n v="1"/>
    <s v="Placed"/>
    <m/>
    <m/>
    <m/>
    <m/>
    <n v="1710000"/>
    <m/>
    <m/>
    <m/>
    <m/>
    <m/>
    <m/>
    <m/>
    <n v="1710000"/>
    <m/>
    <m/>
    <m/>
    <m/>
    <m/>
    <m/>
    <m/>
    <m/>
    <m/>
    <m/>
    <n v="900000"/>
    <n v="2909812.5"/>
    <n v="3809812.5"/>
    <m/>
    <n v="1740000"/>
    <n v="635000"/>
    <n v="2375000"/>
    <n v="1546203.125"/>
    <m/>
    <n v="7894812.5"/>
    <n v="3"/>
    <n v="2631604.1666666665"/>
    <m/>
    <n v="1146851.1666666665"/>
    <m/>
    <n v="382283.72222222219"/>
    <m/>
    <n v="0"/>
    <n v="0"/>
  </r>
  <r>
    <x v="1"/>
    <s v="Selectra PRO M Lite"/>
    <n v="15002128"/>
    <s v="Clinical Chemistry"/>
    <n v="3002000081"/>
    <m/>
    <s v="24-4068"/>
    <m/>
    <m/>
    <s v="08.12.2024"/>
    <s v="Available"/>
    <m/>
    <x v="0"/>
    <x v="0"/>
    <s v="Karachi"/>
    <n v="3020000084"/>
    <x v="3"/>
    <m/>
    <s v="Rafique (HJ), Shaheed road,Saddar Town,Karachi"/>
    <s v="0300-2607223"/>
    <s v="mursaleen.khan@nicvd.org"/>
    <s v="4867225-3"/>
    <m/>
    <n v="4115000"/>
    <n v="24"/>
    <n v="283560"/>
    <m/>
    <m/>
    <m/>
    <m/>
    <m/>
    <m/>
    <m/>
    <m/>
    <m/>
    <m/>
    <m/>
    <m/>
    <m/>
    <m/>
    <m/>
    <m/>
    <m/>
    <m/>
    <e v="#N/A"/>
    <m/>
    <m/>
    <m/>
    <m/>
    <m/>
    <m/>
    <m/>
    <x v="0"/>
    <x v="3"/>
    <n v="1"/>
    <s v="Placed"/>
    <m/>
    <m/>
    <m/>
    <m/>
    <m/>
    <m/>
    <m/>
    <n v="1065505"/>
    <n v="0"/>
    <n v="78277"/>
    <n v="1540420"/>
    <n v="561386"/>
    <n v="3245588"/>
    <n v="1223011"/>
    <n v="1253286"/>
    <n v="113082.75"/>
    <n v="119298"/>
    <n v="1486333.75"/>
    <n v="264025"/>
    <n v="624061.5"/>
    <n v="491460.5"/>
    <n v="1210939.75"/>
    <n v="575090"/>
    <n v="1430316.75"/>
    <n v="959210"/>
    <n v="9750115"/>
    <n v="688263"/>
    <n v="237745"/>
    <n v="125317.5"/>
    <n v="1051325.5"/>
    <n v="669323.70833333337"/>
    <m/>
    <n v="14047028.5"/>
    <n v="19"/>
    <n v="739317.28947368416"/>
    <n v="-2206162.8250000002"/>
    <n v="455757.28947368416"/>
    <s v="Sales on track"/>
    <n v="23987.22576177285"/>
    <n v="0.45"/>
    <n v="6321162.8250000002"/>
    <m/>
  </r>
  <r>
    <x v="1"/>
    <s v="Selectra PRO M Lite"/>
    <n v="15002128"/>
    <s v="Clinical Chemistry"/>
    <n v="3002000076"/>
    <m/>
    <s v="24-4078"/>
    <s v="11.02.2025"/>
    <m/>
    <s v="20.12.2024"/>
    <s v="Available"/>
    <m/>
    <x v="0"/>
    <x v="0"/>
    <s v="Hyderabad"/>
    <n v="3020000084"/>
    <x v="4"/>
    <m/>
    <s v="Rafique (HJ), Shaheed road,Saddar Town,Karachi"/>
    <s v="0300-2607223"/>
    <s v="mursaleen.khan@nicvd.org"/>
    <s v="4867225-3"/>
    <m/>
    <n v="4115000"/>
    <n v="34"/>
    <n v="216625"/>
    <m/>
    <m/>
    <m/>
    <m/>
    <m/>
    <m/>
    <m/>
    <m/>
    <m/>
    <m/>
    <m/>
    <m/>
    <m/>
    <m/>
    <m/>
    <m/>
    <m/>
    <m/>
    <m/>
    <m/>
    <m/>
    <m/>
    <m/>
    <m/>
    <m/>
    <m/>
    <x v="0"/>
    <x v="3"/>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54906.51785714284"/>
    <s v="Sales on track"/>
    <n v="39636.179846938772"/>
    <n v="0.45"/>
    <n v="4860648.5625"/>
    <n v="0.45"/>
  </r>
  <r>
    <x v="1"/>
    <s v="Selectra PRO M Lite"/>
    <n v="15002128"/>
    <s v="Clinical Chemistry"/>
    <n v="3002000073"/>
    <m/>
    <s v="24-4069"/>
    <s v="25.03.2025"/>
    <m/>
    <s v="20.12.2024"/>
    <s v="Available"/>
    <m/>
    <x v="0"/>
    <x v="0"/>
    <s v="larkana"/>
    <n v="3020000084"/>
    <x v="6"/>
    <m/>
    <s v="Rafique (HJ), Shaheed road,Saddar Town,Karachi"/>
    <s v="0300-2607223"/>
    <s v="mursaleen.khan@nicvd.org"/>
    <s v="4867225-3"/>
    <m/>
    <n v="4115000"/>
    <n v="36"/>
    <n v="195417"/>
    <m/>
    <m/>
    <m/>
    <m/>
    <m/>
    <m/>
    <m/>
    <m/>
    <m/>
    <m/>
    <m/>
    <m/>
    <m/>
    <m/>
    <m/>
    <m/>
    <m/>
    <m/>
    <m/>
    <m/>
    <m/>
    <m/>
    <m/>
    <m/>
    <m/>
    <m/>
    <x v="0"/>
    <x v="3"/>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76114.51785714284"/>
    <s v="Sales on track"/>
    <n v="41151.036989795917"/>
    <n v="0.45"/>
    <n v="4860648.5625"/>
    <n v="0.45"/>
  </r>
  <r>
    <x v="1"/>
    <s v="Selectra PRO M Lite"/>
    <n v="15002128"/>
    <s v="Clinical Chemistry"/>
    <s v=" 3002000113"/>
    <m/>
    <s v="23-4166"/>
    <s v="11.02.2025"/>
    <m/>
    <s v="20.12.2024"/>
    <s v="Available"/>
    <m/>
    <x v="0"/>
    <x v="0"/>
    <s v="TMK (Tando Muhammad Khan)"/>
    <n v="3020000084"/>
    <x v="5"/>
    <m/>
    <s v="Rafique (HJ), Shaheed road,Saddar Town,Karachi"/>
    <s v="0300-2607223"/>
    <s v="mursaleen.khan@nicvd.org"/>
    <s v="4867225-3"/>
    <m/>
    <n v="4115000"/>
    <n v="34"/>
    <n v="220363"/>
    <m/>
    <m/>
    <m/>
    <m/>
    <m/>
    <m/>
    <m/>
    <m/>
    <m/>
    <m/>
    <m/>
    <m/>
    <m/>
    <m/>
    <m/>
    <m/>
    <m/>
    <m/>
    <m/>
    <m/>
    <m/>
    <m/>
    <m/>
    <m/>
    <m/>
    <m/>
    <x v="0"/>
    <x v="3"/>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51168.51785714284"/>
    <s v="Sales on track"/>
    <n v="39369.179846938772"/>
    <n v="0.45"/>
    <n v="4860648.5625"/>
    <n v="0.45"/>
  </r>
  <r>
    <x v="3"/>
    <s v="Swelab Alfa Plus Standard"/>
    <n v="15001967"/>
    <s v="Hematology "/>
    <n v="3002000097"/>
    <m/>
    <n v="123213"/>
    <m/>
    <m/>
    <m/>
    <m/>
    <m/>
    <x v="0"/>
    <x v="0"/>
    <s v="Karachi"/>
    <n v="3020000084"/>
    <x v="3"/>
    <m/>
    <s v="Rafique (HJ), Shaheed road,Saddar Town,Karachi"/>
    <s v="0300-2607223"/>
    <s v="mursaleen.khan@nicvd.org"/>
    <s v="4867225-3"/>
    <m/>
    <n v="1071000"/>
    <n v="25"/>
    <n v="98797"/>
    <m/>
    <m/>
    <m/>
    <m/>
    <m/>
    <m/>
    <m/>
    <m/>
    <m/>
    <m/>
    <m/>
    <m/>
    <m/>
    <m/>
    <m/>
    <m/>
    <m/>
    <m/>
    <e v="#N/A"/>
    <m/>
    <m/>
    <m/>
    <m/>
    <m/>
    <m/>
    <m/>
    <x v="0"/>
    <x v="3"/>
    <n v="1"/>
    <s v="Placed"/>
    <m/>
    <m/>
    <m/>
    <m/>
    <m/>
    <m/>
    <m/>
    <m/>
    <m/>
    <n v="99750"/>
    <n v="0"/>
    <n v="228000"/>
    <n v="327750"/>
    <n v="0"/>
    <n v="332500"/>
    <n v="0"/>
    <n v="0"/>
    <n v="95000"/>
    <n v="76000"/>
    <n v="61750"/>
    <n v="28500"/>
    <n v="95000"/>
    <n v="76000"/>
    <n v="133000"/>
    <n v="152000"/>
    <n v="1049750"/>
    <n v="0"/>
    <n v="270750"/>
    <n v="104500"/>
    <n v="375250"/>
    <n v="122708.33333333333"/>
    <m/>
    <n v="1752750"/>
    <n v="18"/>
    <n v="97375"/>
    <n v="369900"/>
    <n v="-1422"/>
    <s v="Sales behind track"/>
    <n v="-79"/>
    <n v="0.4"/>
    <n v="701100"/>
    <n v="0.4"/>
  </r>
  <r>
    <x v="3"/>
    <s v="Swelab Alfa Plus Standard"/>
    <n v="15001967"/>
    <s v="Hematology "/>
    <n v="3002000064"/>
    <m/>
    <n v="121497"/>
    <m/>
    <m/>
    <s v="27.12.2024"/>
    <m/>
    <m/>
    <x v="0"/>
    <x v="0"/>
    <s v="Hyderabad"/>
    <n v="3020000084"/>
    <x v="4"/>
    <m/>
    <s v="Rafique (HJ), Shaheed road,Saddar Town,Karachi"/>
    <s v="0300-2607223"/>
    <s v="mursaleen.khan@nicvd.org"/>
    <s v="4867225-3"/>
    <m/>
    <n v="1065000"/>
    <n v="36"/>
    <n v="88427"/>
    <m/>
    <m/>
    <m/>
    <m/>
    <m/>
    <m/>
    <m/>
    <m/>
    <m/>
    <m/>
    <m/>
    <m/>
    <m/>
    <m/>
    <m/>
    <m/>
    <m/>
    <m/>
    <e v="#N/A"/>
    <m/>
    <m/>
    <m/>
    <m/>
    <m/>
    <m/>
    <m/>
    <x v="0"/>
    <x v="3"/>
    <n v="1"/>
    <s v="Placed"/>
    <m/>
    <m/>
    <m/>
    <m/>
    <m/>
    <m/>
    <m/>
    <m/>
    <m/>
    <n v="99750"/>
    <n v="0"/>
    <n v="228000"/>
    <n v="327750"/>
    <n v="0"/>
    <n v="332500"/>
    <n v="0"/>
    <n v="0"/>
    <n v="95000"/>
    <n v="76000"/>
    <n v="61750"/>
    <n v="28500"/>
    <n v="95000"/>
    <n v="76000"/>
    <n v="133000"/>
    <n v="152000"/>
    <n v="1049750"/>
    <n v="0"/>
    <n v="270750"/>
    <n v="104500"/>
    <n v="375250"/>
    <n v="122708.33333333333"/>
    <m/>
    <n v="1752750"/>
    <n v="18"/>
    <n v="97375"/>
    <n v="363900"/>
    <n v="8948"/>
    <s v="Sales behind track"/>
    <n v="497.11111111111109"/>
    <n v="0.4"/>
    <n v="701100"/>
    <n v="0.4"/>
  </r>
  <r>
    <x v="3"/>
    <s v="Swelab Alfa Plus Standard"/>
    <n v="15001967"/>
    <s v="Hematology "/>
    <s v=" 3002000111"/>
    <m/>
    <n v="123120"/>
    <m/>
    <m/>
    <m/>
    <m/>
    <m/>
    <x v="0"/>
    <x v="0"/>
    <s v="Sukkur"/>
    <n v="3020000084"/>
    <x v="7"/>
    <m/>
    <s v="Rafique (HJ), Shaheed road,Saddar Town,Karachi"/>
    <s v="0300-2607223"/>
    <s v="mursaleen.khan@nicvd.org"/>
    <s v="4867225-3"/>
    <m/>
    <n v="1055000"/>
    <n v="36"/>
    <n v="88427"/>
    <m/>
    <m/>
    <m/>
    <m/>
    <m/>
    <m/>
    <m/>
    <m/>
    <m/>
    <m/>
    <m/>
    <m/>
    <m/>
    <m/>
    <m/>
    <m/>
    <m/>
    <m/>
    <e v="#N/A"/>
    <m/>
    <m/>
    <m/>
    <m/>
    <m/>
    <m/>
    <m/>
    <x v="0"/>
    <x v="3"/>
    <n v="1"/>
    <s v="Placed"/>
    <m/>
    <m/>
    <m/>
    <m/>
    <m/>
    <m/>
    <m/>
    <m/>
    <m/>
    <n v="99750"/>
    <n v="0"/>
    <n v="228000"/>
    <n v="327750"/>
    <n v="0"/>
    <n v="332500"/>
    <n v="0"/>
    <n v="0"/>
    <n v="95000"/>
    <n v="76000"/>
    <n v="61750"/>
    <n v="28500"/>
    <n v="95000"/>
    <n v="76000"/>
    <n v="133000"/>
    <n v="152000"/>
    <n v="1049750"/>
    <n v="0"/>
    <n v="270750"/>
    <n v="104500"/>
    <n v="375250"/>
    <n v="122708.33333333333"/>
    <m/>
    <n v="1752750"/>
    <n v="18"/>
    <n v="97375"/>
    <n v="353900"/>
    <n v="8948"/>
    <s v="Sales behind track"/>
    <n v="497.11111111111109"/>
    <n v="0.4"/>
    <n v="701100"/>
    <n v="0.4"/>
  </r>
  <r>
    <x v="3"/>
    <s v="Swelab Alfa Plus Standard"/>
    <n v="15001967"/>
    <s v="Hematology "/>
    <n v="3002000048"/>
    <m/>
    <n v="121496"/>
    <m/>
    <m/>
    <s v="27.12.2024"/>
    <m/>
    <m/>
    <x v="0"/>
    <x v="0"/>
    <s v="TMK (Tando Muhammad Khan)"/>
    <n v="3020000084"/>
    <x v="5"/>
    <m/>
    <s v="Rafique (HJ), Shaheed road,Saddar Town,Karachi"/>
    <s v="0300-2607223"/>
    <s v="mursaleen.khan@nicvd.org"/>
    <s v="4867225-3"/>
    <m/>
    <n v="1065000"/>
    <n v="36"/>
    <n v="87448"/>
    <m/>
    <m/>
    <m/>
    <m/>
    <m/>
    <m/>
    <m/>
    <m/>
    <m/>
    <m/>
    <m/>
    <m/>
    <m/>
    <m/>
    <m/>
    <m/>
    <m/>
    <m/>
    <e v="#N/A"/>
    <m/>
    <m/>
    <m/>
    <m/>
    <m/>
    <m/>
    <m/>
    <x v="0"/>
    <x v="3"/>
    <n v="1"/>
    <s v="Placed"/>
    <m/>
    <m/>
    <m/>
    <m/>
    <m/>
    <m/>
    <m/>
    <m/>
    <m/>
    <n v="99750"/>
    <n v="0"/>
    <n v="228000"/>
    <n v="327750"/>
    <n v="0"/>
    <n v="332500"/>
    <n v="0"/>
    <n v="0"/>
    <n v="95000"/>
    <n v="76000"/>
    <n v="61750"/>
    <n v="28500"/>
    <n v="95000"/>
    <n v="76000"/>
    <n v="133000"/>
    <n v="152000"/>
    <n v="1049750"/>
    <n v="0"/>
    <n v="270750"/>
    <n v="104500"/>
    <n v="375250"/>
    <n v="122708.33333333333"/>
    <m/>
    <n v="1752750"/>
    <n v="18"/>
    <n v="97375"/>
    <n v="363900"/>
    <n v="9927"/>
    <s v="Sales behind track"/>
    <n v="551.5"/>
    <n v="0.4"/>
    <n v="701100"/>
    <n v="0.4"/>
  </r>
  <r>
    <x v="3"/>
    <s v="Swelab Alfa Plus Standard"/>
    <n v="15001967"/>
    <s v="Hematology"/>
    <m/>
    <m/>
    <m/>
    <m/>
    <m/>
    <s v="15.12.2025"/>
    <m/>
    <m/>
    <x v="0"/>
    <x v="0"/>
    <s v="larkana"/>
    <n v="3020000084"/>
    <x v="8"/>
    <m/>
    <s v="Rafique (HJ), Shaheed road,Saddar Town,Karachi"/>
    <s v="0300-2607223"/>
    <s v="mursaleen.khan@nicvd.org"/>
    <s v="4867225-3"/>
    <m/>
    <n v="1194415"/>
    <n v="36"/>
    <n v="125415"/>
    <m/>
    <m/>
    <m/>
    <m/>
    <m/>
    <m/>
    <m/>
    <m/>
    <m/>
    <m/>
    <m/>
    <m/>
    <m/>
    <m/>
    <m/>
    <m/>
    <m/>
    <m/>
    <m/>
    <m/>
    <m/>
    <m/>
    <m/>
    <m/>
    <m/>
    <m/>
    <x v="3"/>
    <x v="4"/>
    <n v="1"/>
    <s v="Placed"/>
    <m/>
    <m/>
    <m/>
    <m/>
    <n v="1710000"/>
    <m/>
    <m/>
    <m/>
    <m/>
    <m/>
    <m/>
    <m/>
    <n v="1710000"/>
    <m/>
    <m/>
    <m/>
    <m/>
    <m/>
    <m/>
    <m/>
    <m/>
    <m/>
    <m/>
    <m/>
    <m/>
    <n v="0"/>
    <n v="0"/>
    <n v="0"/>
    <n v="0"/>
    <n v="0"/>
    <n v="0"/>
    <m/>
    <n v="1710000"/>
    <n v="2"/>
    <n v="855000"/>
    <m/>
    <n v="729585"/>
    <m/>
    <n v="364792.5"/>
    <m/>
    <n v="0"/>
    <n v="0"/>
  </r>
  <r>
    <x v="3"/>
    <s v="Swelab Alfa Plus Standard"/>
    <n v="15001967"/>
    <s v="Hematology"/>
    <m/>
    <m/>
    <m/>
    <m/>
    <m/>
    <s v="15.12.2025"/>
    <m/>
    <m/>
    <x v="0"/>
    <x v="0"/>
    <s v="Nawabshah"/>
    <n v="3020000084"/>
    <x v="9"/>
    <m/>
    <s v="Rafique (HJ), Shaheed road,Saddar Town,Karachi"/>
    <s v="0300-2607223"/>
    <s v="mursaleen.khan@nicvd.org"/>
    <s v="4867225-3"/>
    <m/>
    <n v="1194415"/>
    <n v="36"/>
    <n v="125415"/>
    <m/>
    <m/>
    <m/>
    <m/>
    <m/>
    <m/>
    <m/>
    <m/>
    <m/>
    <m/>
    <m/>
    <m/>
    <m/>
    <m/>
    <m/>
    <m/>
    <m/>
    <m/>
    <m/>
    <m/>
    <m/>
    <m/>
    <m/>
    <m/>
    <m/>
    <m/>
    <x v="3"/>
    <x v="4"/>
    <m/>
    <s v="Placed"/>
    <m/>
    <m/>
    <m/>
    <m/>
    <m/>
    <m/>
    <m/>
    <m/>
    <m/>
    <m/>
    <m/>
    <m/>
    <n v="0"/>
    <m/>
    <m/>
    <m/>
    <m/>
    <m/>
    <m/>
    <m/>
    <m/>
    <m/>
    <m/>
    <m/>
    <m/>
    <n v="0"/>
    <n v="0"/>
    <n v="0"/>
    <n v="0"/>
    <n v="0"/>
    <n v="0"/>
    <m/>
    <n v="0"/>
    <m/>
    <e v="#DIV/0!"/>
    <m/>
    <e v="#DIV/0!"/>
    <m/>
    <e v="#DIV/0!"/>
    <m/>
    <n v="0"/>
    <n v="0"/>
  </r>
  <r>
    <x v="4"/>
    <s v="STA SATELLITE MAX"/>
    <n v="15003000"/>
    <s v="Coagulation Analyzer"/>
    <n v="3002000091"/>
    <m/>
    <n v="1590"/>
    <m/>
    <m/>
    <s v="15.01.2024"/>
    <m/>
    <m/>
    <x v="1"/>
    <x v="0"/>
    <s v="Karachi"/>
    <n v="3020000088"/>
    <x v="10"/>
    <m/>
    <s v="ST 2/A, Block 17, KDA Scheme 24, Gulshan-e-Iqbal"/>
    <s v="0346-2819961/021-111-120-140"/>
    <s v="fawad_sad@hotmail.com"/>
    <s v="4572246-8"/>
    <m/>
    <n v="3592655"/>
    <n v="36"/>
    <n v="228801"/>
    <m/>
    <m/>
    <m/>
    <m/>
    <m/>
    <m/>
    <m/>
    <m/>
    <m/>
    <m/>
    <m/>
    <m/>
    <m/>
    <m/>
    <m/>
    <m/>
    <m/>
    <m/>
    <m/>
    <m/>
    <m/>
    <m/>
    <m/>
    <m/>
    <m/>
    <m/>
    <x v="4"/>
    <x v="2"/>
    <m/>
    <m/>
    <m/>
    <m/>
    <m/>
    <m/>
    <m/>
    <m/>
    <m/>
    <n v="597600"/>
    <m/>
    <m/>
    <m/>
    <m/>
    <n v="597600"/>
    <m/>
    <m/>
    <m/>
    <m/>
    <m/>
    <m/>
    <m/>
    <m/>
    <m/>
    <m/>
    <m/>
    <m/>
    <n v="0"/>
    <m/>
    <m/>
    <m/>
    <n v="0"/>
    <n v="0"/>
    <m/>
    <n v="597600"/>
    <m/>
    <e v="#DIV/0!"/>
    <m/>
    <e v="#DIV/0!"/>
    <m/>
    <e v="#DIV/0!"/>
    <m/>
    <n v="0"/>
    <n v="0"/>
  </r>
  <r>
    <x v="5"/>
    <s v="DYMIND DH-76"/>
    <n v="15003243"/>
    <s v="Hematology "/>
    <s v="AR # 300377"/>
    <m/>
    <s v="DM11052437004"/>
    <m/>
    <m/>
    <s v="12.20.2024"/>
    <m/>
    <m/>
    <x v="0"/>
    <x v="0"/>
    <s v="Nawabshah"/>
    <n v="3020000114"/>
    <x v="11"/>
    <m/>
    <s v="House no 11b- 1208, mohallah issarpura sindh Nawabshah"/>
    <s v="0333-7025190"/>
    <s v="hsmedicalsolution@gmail.com"/>
    <m/>
    <s v="45402-2509337-9"/>
    <n v="2076170"/>
    <n v="34"/>
    <n v="113459"/>
    <m/>
    <m/>
    <m/>
    <m/>
    <m/>
    <m/>
    <m/>
    <m/>
    <m/>
    <m/>
    <m/>
    <m/>
    <m/>
    <m/>
    <m/>
    <m/>
    <m/>
    <m/>
    <m/>
    <m/>
    <m/>
    <m/>
    <m/>
    <m/>
    <m/>
    <m/>
    <x v="5"/>
    <x v="5"/>
    <n v="1"/>
    <s v="Placed"/>
    <m/>
    <m/>
    <m/>
    <m/>
    <m/>
    <m/>
    <m/>
    <m/>
    <m/>
    <m/>
    <m/>
    <m/>
    <n v="0"/>
    <n v="0"/>
    <n v="0"/>
    <n v="386360.55"/>
    <n v="0"/>
    <n v="0"/>
    <n v="0"/>
    <n v="441381"/>
    <n v="204305"/>
    <n v="0"/>
    <m/>
    <m/>
    <n v="203075"/>
    <n v="1235121.55"/>
    <n v="0"/>
    <n v="0"/>
    <m/>
    <n v="0"/>
    <n v="67691.666666666672"/>
    <m/>
    <n v="1235121.55"/>
    <n v="8"/>
    <n v="154390.19375000001"/>
    <n v="1582121.38"/>
    <n v="40931.193750000006"/>
    <s v="Sales on track"/>
    <n v="5116.3992187500007"/>
    <n v="0.4"/>
    <n v="494048.62000000005"/>
    <n v="0.4"/>
  </r>
  <r>
    <x v="1"/>
    <s v="Selectra Mach 5"/>
    <n v="15002463"/>
    <s v="Clinical Chemistry"/>
    <m/>
    <m/>
    <m/>
    <m/>
    <m/>
    <s v="06.10.2025"/>
    <m/>
    <m/>
    <x v="1"/>
    <x v="1"/>
    <s v="Lahore"/>
    <n v="3020000125"/>
    <x v="12"/>
    <s v="wakeel ahmed"/>
    <s v="Basement shabnam center opposite shyalimar hospital, link road"/>
    <n v="3004102701"/>
    <m/>
    <m/>
    <s v="35201-4676413-5"/>
    <n v="7617629"/>
    <n v="33"/>
    <n v="441785"/>
    <m/>
    <m/>
    <m/>
    <m/>
    <m/>
    <m/>
    <m/>
    <m/>
    <m/>
    <m/>
    <m/>
    <m/>
    <m/>
    <m/>
    <m/>
    <m/>
    <m/>
    <m/>
    <m/>
    <m/>
    <m/>
    <m/>
    <m/>
    <m/>
    <m/>
    <m/>
    <x v="4"/>
    <x v="2"/>
    <m/>
    <s v="Not Placed"/>
    <m/>
    <m/>
    <m/>
    <m/>
    <m/>
    <m/>
    <m/>
    <m/>
    <m/>
    <m/>
    <m/>
    <m/>
    <n v="0"/>
    <m/>
    <m/>
    <m/>
    <m/>
    <m/>
    <m/>
    <m/>
    <m/>
    <m/>
    <m/>
    <m/>
    <m/>
    <n v="0"/>
    <m/>
    <m/>
    <m/>
    <n v="0"/>
    <n v="0"/>
    <m/>
    <n v="0"/>
    <m/>
    <e v="#DIV/0!"/>
    <m/>
    <e v="#DIV/0!"/>
    <m/>
    <e v="#DIV/0!"/>
    <m/>
    <n v="0"/>
    <n v="0"/>
  </r>
  <r>
    <x v="3"/>
    <s v="Swelab Alfa Plus Standard"/>
    <n v="15001967"/>
    <s v="Hematology"/>
    <n v="3002000052"/>
    <s v="N/A"/>
    <n v="123019"/>
    <m/>
    <s v="26.12.2023"/>
    <s v="15.01.2024"/>
    <s v="Not Available"/>
    <m/>
    <x v="0"/>
    <x v="1"/>
    <s v="Bahawalpur"/>
    <n v="3020000166"/>
    <x v="13"/>
    <s v="Government Institution"/>
    <s v="Circular Road, Bahswalpur Cantt"/>
    <s v="062-9250411-21"/>
    <s v="info.establishment@gamc.edu.pk"/>
    <s v="9020100-7"/>
    <m/>
    <n v="1724486"/>
    <n v="21"/>
    <n v="203678.4"/>
    <m/>
    <m/>
    <m/>
    <m/>
    <m/>
    <m/>
    <m/>
    <m/>
    <m/>
    <m/>
    <m/>
    <m/>
    <m/>
    <m/>
    <m/>
    <m/>
    <m/>
    <m/>
    <m/>
    <m/>
    <m/>
    <m/>
    <m/>
    <m/>
    <m/>
    <m/>
    <x v="0"/>
    <x v="6"/>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x v="3"/>
    <s v="Swelab Alfa Plus Standard"/>
    <n v="15001967"/>
    <s v="Hematology"/>
    <n v="3002000053"/>
    <m/>
    <n v="123108"/>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x v="0"/>
    <x v="6"/>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x v="3"/>
    <s v="Swelab Alfa Plus Standard"/>
    <n v="15001967"/>
    <s v="Hematology"/>
    <n v="3002000054"/>
    <m/>
    <n v="123109"/>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x v="0"/>
    <x v="6"/>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x v="3"/>
    <s v="Swelab Alfa Plus Standard"/>
    <n v="15001967"/>
    <s v="Hematology"/>
    <n v="3002000055"/>
    <m/>
    <n v="123200"/>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x v="0"/>
    <x v="6"/>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x v="3"/>
    <s v="Swelab Alfa Plus Standard"/>
    <n v="15001967"/>
    <s v="Hematology"/>
    <n v="3002000056"/>
    <m/>
    <n v="123217"/>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x v="0"/>
    <x v="6"/>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x v="3"/>
    <s v="Swelab Alfa Plus AutoSampler"/>
    <n v="15001968"/>
    <s v="Hematology"/>
    <s v="AR # 300409"/>
    <m/>
    <n v="127709"/>
    <m/>
    <m/>
    <s v="14.05.2025"/>
    <m/>
    <m/>
    <x v="2"/>
    <x v="1"/>
    <s v="Bahawalpur"/>
    <n v="3020000166"/>
    <x v="14"/>
    <s v="Government Institution"/>
    <s v="Circular Road, Bahswalpur Cantt"/>
    <s v="062-9250411-21"/>
    <s v="info.establishment@gamc.edu.pk"/>
    <s v="9020100-7"/>
    <m/>
    <n v="1500000"/>
    <n v="37"/>
    <n v="100771"/>
    <m/>
    <m/>
    <m/>
    <m/>
    <m/>
    <m/>
    <m/>
    <m/>
    <m/>
    <m/>
    <m/>
    <m/>
    <m/>
    <m/>
    <m/>
    <m/>
    <m/>
    <m/>
    <m/>
    <m/>
    <m/>
    <m/>
    <m/>
    <m/>
    <m/>
    <m/>
    <x v="3"/>
    <x v="7"/>
    <n v="1"/>
    <s v="Placed"/>
    <m/>
    <m/>
    <m/>
    <m/>
    <m/>
    <m/>
    <m/>
    <m/>
    <m/>
    <m/>
    <m/>
    <m/>
    <n v="0"/>
    <m/>
    <m/>
    <m/>
    <m/>
    <n v="0"/>
    <m/>
    <m/>
    <m/>
    <m/>
    <m/>
    <m/>
    <m/>
    <n v="0"/>
    <n v="0"/>
    <n v="0"/>
    <n v="0"/>
    <n v="0"/>
    <n v="0"/>
    <m/>
    <n v="0"/>
    <m/>
    <e v="#DIV/0!"/>
    <n v="1500000"/>
    <e v="#DIV/0!"/>
    <m/>
    <e v="#DIV/0!"/>
    <n v="0.4"/>
    <n v="0"/>
    <n v="0.4"/>
  </r>
  <r>
    <x v="4"/>
    <s v="STA SATELLITE MAX"/>
    <n v="15003000"/>
    <s v="Coagulation Analyzer"/>
    <n v="3002000112"/>
    <m/>
    <n v="1746"/>
    <m/>
    <m/>
    <m/>
    <s v="Available"/>
    <m/>
    <x v="0"/>
    <x v="2"/>
    <s v="Islamabad"/>
    <n v="3020001814"/>
    <x v="15"/>
    <m/>
    <s v="9 B-1 Satellite town, Chandni Chowk, Punjab"/>
    <s v="051-4906401"/>
    <s v="raazihospital@gmail.com"/>
    <s v="2569250-0"/>
    <m/>
    <n v="3592655"/>
    <n v="29"/>
    <n v="356735"/>
    <m/>
    <m/>
    <m/>
    <m/>
    <m/>
    <m/>
    <m/>
    <m/>
    <m/>
    <m/>
    <m/>
    <m/>
    <m/>
    <m/>
    <m/>
    <m/>
    <m/>
    <m/>
    <e v="#N/A"/>
    <m/>
    <m/>
    <m/>
    <m/>
    <m/>
    <m/>
    <m/>
    <x v="0"/>
    <x v="3"/>
    <n v="1"/>
    <s v="Placed"/>
    <m/>
    <m/>
    <m/>
    <m/>
    <m/>
    <m/>
    <m/>
    <m/>
    <m/>
    <m/>
    <m/>
    <m/>
    <n v="0"/>
    <m/>
    <m/>
    <m/>
    <m/>
    <m/>
    <m/>
    <n v="692600"/>
    <n v="366000"/>
    <n v="318400"/>
    <n v="247800"/>
    <n v="69000"/>
    <n v="578400"/>
    <n v="2272200"/>
    <n v="390600"/>
    <n v="499100"/>
    <n v="0"/>
    <n v="889700"/>
    <n v="297483.33333333331"/>
    <s v="Shipment will be delievered this month."/>
    <n v="3161900"/>
    <n v="9"/>
    <n v="351322.22222222225"/>
    <n v="2327895"/>
    <n v="-5412.7777777777519"/>
    <s v="Sales behind track"/>
    <n v="-601.4197530864169"/>
    <n v="0.4"/>
    <n v="1264760"/>
    <n v="0.4"/>
  </r>
  <r>
    <x v="6"/>
    <s v="Nova Prime Plus"/>
    <n v="15002711"/>
    <s v="Arterial Blood Gas Analyzer"/>
    <n v="3002000031"/>
    <s v="N/A"/>
    <s v="PP13230140C"/>
    <s v="26.05.2023"/>
    <s v="15.05.2022"/>
    <s v="19.05.2023"/>
    <s v="Available"/>
    <m/>
    <x v="3"/>
    <x v="2"/>
    <s v="Islamabad"/>
    <n v="3020000190"/>
    <x v="16"/>
    <s v="Dr. Badar Alam"/>
    <s v="Al-Khair Plaza, Fazal-e-Haq Road, Blue Area, Islamabad"/>
    <s v="0333-8555611, 0301-5086177 &amp; 0321-5181280"/>
    <s v="info@citi-lab.com                   "/>
    <s v="4814745-2"/>
    <m/>
    <n v="3005386"/>
    <n v="39"/>
    <n v="228413"/>
    <m/>
    <m/>
    <m/>
    <m/>
    <s v="invoice under process"/>
    <m/>
    <s v="LC awaited "/>
    <s v="LC awaited "/>
    <s v="Due to the delay in supply customer is not willing to work on our machine "/>
    <s v="Meeting is planned with Dr. Jameel Nasir CEO of Citi Lab "/>
    <s v="meeting is pending with CEO"/>
    <s v="meeting is pending with CEO"/>
    <m/>
    <s v="meeting is pending with CEO"/>
    <s v="Machine is planned to be pulledback from customer site, approved by Nawaz Abid"/>
    <s v="Machine is planned to be pulledback from customer site, approved by Nawaz Abid"/>
    <m/>
    <m/>
    <s v="Returned back in stock"/>
    <m/>
    <m/>
    <m/>
    <m/>
    <m/>
    <m/>
    <m/>
    <x v="2"/>
    <x v="2"/>
    <m/>
    <m/>
    <m/>
    <m/>
    <m/>
    <m/>
    <n v="0"/>
    <m/>
    <m/>
    <m/>
    <m/>
    <m/>
    <m/>
    <m/>
    <n v="0"/>
    <m/>
    <m/>
    <m/>
    <m/>
    <m/>
    <m/>
    <m/>
    <m/>
    <m/>
    <m/>
    <m/>
    <m/>
    <n v="0"/>
    <m/>
    <m/>
    <m/>
    <n v="0"/>
    <n v="0"/>
    <s v="No Sales after Aug 23"/>
    <n v="0"/>
    <n v="14"/>
    <n v="0"/>
    <n v="3005386"/>
    <n v="-228413"/>
    <s v="Sales behind track (No sales after Aug)"/>
    <n v="-16315.214285714286"/>
    <n v="0.25"/>
    <n v="0"/>
    <n v="0.25"/>
  </r>
  <r>
    <x v="3"/>
    <s v="Swelab Alfa Plus Standard"/>
    <n v="15001967"/>
    <s v="Hematology "/>
    <n v="3002000119"/>
    <m/>
    <n v="126054"/>
    <m/>
    <m/>
    <s v="17.07.2025"/>
    <m/>
    <s v="2 machines"/>
    <x v="0"/>
    <x v="1"/>
    <s v="Lahore"/>
    <n v="3020000206"/>
    <x v="17"/>
    <m/>
    <s v="294, Block H-3, M.A Johar Town, Lahore"/>
    <s v="042-35313166, 0300-6458181"/>
    <s v="manager@mughallabs.com"/>
    <s v="1293625-1"/>
    <s v="1293625-1"/>
    <n v="1191010"/>
    <n v="29"/>
    <n v="92028.5"/>
    <m/>
    <m/>
    <m/>
    <m/>
    <m/>
    <m/>
    <m/>
    <m/>
    <m/>
    <m/>
    <m/>
    <m/>
    <m/>
    <m/>
    <m/>
    <m/>
    <m/>
    <m/>
    <m/>
    <m/>
    <m/>
    <m/>
    <m/>
    <m/>
    <m/>
    <m/>
    <x v="0"/>
    <x v="8"/>
    <n v="1"/>
    <s v="Placed"/>
    <m/>
    <m/>
    <m/>
    <m/>
    <m/>
    <m/>
    <m/>
    <m/>
    <m/>
    <m/>
    <m/>
    <m/>
    <n v="0"/>
    <m/>
    <m/>
    <m/>
    <m/>
    <m/>
    <m/>
    <m/>
    <n v="114000"/>
    <n v="190000"/>
    <m/>
    <m/>
    <n v="72000"/>
    <n v="376000"/>
    <n v="0"/>
    <n v="532000"/>
    <n v="234000"/>
    <n v="766000"/>
    <n v="209500"/>
    <m/>
    <n v="1142000"/>
    <n v="8"/>
    <n v="142750"/>
    <m/>
    <n v="50721.5"/>
    <m/>
    <n v="6340.1875"/>
    <m/>
    <n v="0"/>
    <n v="0"/>
  </r>
  <r>
    <x v="2"/>
    <s v="Vitros ECiQ Immunodiagnostic System (Refurb)"/>
    <n v="15002760"/>
    <s v="Immunoassay"/>
    <s v="AR # 300396"/>
    <m/>
    <n v="30006183"/>
    <m/>
    <s v="15.12,2023"/>
    <s v="15.12.2023"/>
    <s v="Available"/>
    <m/>
    <x v="0"/>
    <x v="1"/>
    <s v="lahore "/>
    <n v="3020000206"/>
    <x v="17"/>
    <m/>
    <s v="294, Block H-3, M.A Johar Town, Lahore"/>
    <s v="042-35313166, 0300-6458181"/>
    <s v="manager@mughallabs.com"/>
    <s v="1293625-1"/>
    <s v="1293625-1"/>
    <n v="7420000"/>
    <n v="61"/>
    <n v="824400"/>
    <m/>
    <m/>
    <m/>
    <m/>
    <m/>
    <m/>
    <m/>
    <m/>
    <m/>
    <m/>
    <m/>
    <m/>
    <m/>
    <m/>
    <m/>
    <m/>
    <m/>
    <m/>
    <e v="#N/A"/>
    <m/>
    <m/>
    <m/>
    <m/>
    <m/>
    <s v="Machine is Shifted to Cancer Hospital"/>
    <m/>
    <x v="6"/>
    <x v="9"/>
    <n v="1"/>
    <s v="Not funtional - At customer site"/>
    <n v="187600"/>
    <n v="217900"/>
    <n v="342225"/>
    <n v="126700"/>
    <n v="671000"/>
    <n v="304800"/>
    <n v="160200"/>
    <n v="1138700"/>
    <n v="655600"/>
    <n v="0"/>
    <n v="360200"/>
    <n v="675400"/>
    <n v="4840325"/>
    <n v="519200"/>
    <n v="412100"/>
    <n v="-84500"/>
    <n v="282424"/>
    <n v="1689052.55"/>
    <n v="0"/>
    <n v="0"/>
    <n v="716366"/>
    <n v="424300"/>
    <m/>
    <m/>
    <m/>
    <n v="3958942.55"/>
    <n v="0"/>
    <n v="0"/>
    <n v="0"/>
    <n v="0"/>
    <n v="0"/>
    <m/>
    <n v="8799267.5500000007"/>
    <n v="23"/>
    <n v="382576.85000000003"/>
    <n v="3900292.9799999995"/>
    <n v="-441823.14999999997"/>
    <s v="Sales behind track"/>
    <n v="-19209.702173913043"/>
    <n v="0.4"/>
    <n v="3519707.0200000005"/>
    <n v="0.4"/>
  </r>
  <r>
    <x v="5"/>
    <s v="DYMIND DH-76"/>
    <n v="15003243"/>
    <s v="Hematology "/>
    <m/>
    <m/>
    <m/>
    <m/>
    <m/>
    <s v="17.07.2025"/>
    <m/>
    <m/>
    <x v="2"/>
    <x v="1"/>
    <s v="Lahore"/>
    <n v="3020000206"/>
    <x v="17"/>
    <s v="Irfan akram"/>
    <s v="294, Block H-3, M.A Johar Town, punjab Lahore"/>
    <s v="042-35313166, 0300-6458181"/>
    <s v="manager@mughallabs.com"/>
    <s v="1293625-1"/>
    <s v="1293625-1"/>
    <n v="2324427"/>
    <n v="22"/>
    <n v="149427"/>
    <m/>
    <m/>
    <m/>
    <m/>
    <m/>
    <m/>
    <m/>
    <m/>
    <m/>
    <m/>
    <m/>
    <m/>
    <m/>
    <m/>
    <m/>
    <m/>
    <m/>
    <m/>
    <m/>
    <m/>
    <m/>
    <m/>
    <m/>
    <m/>
    <m/>
    <m/>
    <x v="7"/>
    <x v="5"/>
    <n v="1"/>
    <s v="Placed"/>
    <m/>
    <m/>
    <m/>
    <m/>
    <m/>
    <m/>
    <m/>
    <m/>
    <m/>
    <m/>
    <m/>
    <m/>
    <n v="0"/>
    <m/>
    <m/>
    <m/>
    <m/>
    <m/>
    <m/>
    <m/>
    <m/>
    <m/>
    <m/>
    <m/>
    <m/>
    <n v="0"/>
    <n v="0"/>
    <n v="0"/>
    <n v="0"/>
    <n v="0"/>
    <n v="0"/>
    <m/>
    <n v="0"/>
    <m/>
    <e v="#DIV/0!"/>
    <m/>
    <e v="#DIV/0!"/>
    <m/>
    <e v="#DIV/0!"/>
    <m/>
    <n v="0"/>
    <n v="0"/>
  </r>
  <r>
    <x v="0"/>
    <s v="iFlash 1200"/>
    <n v="15002553"/>
    <s v="Immunoassay"/>
    <m/>
    <m/>
    <m/>
    <m/>
    <m/>
    <s v="25.11.2025"/>
    <m/>
    <m/>
    <x v="4"/>
    <x v="1"/>
    <s v="Lahore"/>
    <n v="3020000206"/>
    <x v="18"/>
    <m/>
    <s v="294, Block H-3, M.A Johar Town, Lahore"/>
    <s v="042-35313166, 0300-6458181"/>
    <s v="manager@mughallabs.com"/>
    <s v="1293625-1"/>
    <s v="1293625-1"/>
    <n v="3460830"/>
    <n v="36"/>
    <n v="259561"/>
    <m/>
    <m/>
    <m/>
    <m/>
    <m/>
    <m/>
    <m/>
    <m/>
    <m/>
    <m/>
    <m/>
    <m/>
    <m/>
    <m/>
    <m/>
    <m/>
    <m/>
    <m/>
    <m/>
    <m/>
    <m/>
    <m/>
    <m/>
    <m/>
    <m/>
    <m/>
    <x v="8"/>
    <x v="10"/>
    <m/>
    <s v="Not Placed"/>
    <m/>
    <m/>
    <m/>
    <m/>
    <m/>
    <m/>
    <m/>
    <m/>
    <m/>
    <m/>
    <m/>
    <m/>
    <n v="0"/>
    <m/>
    <m/>
    <m/>
    <m/>
    <m/>
    <m/>
    <m/>
    <m/>
    <m/>
    <m/>
    <m/>
    <m/>
    <n v="0"/>
    <m/>
    <n v="746733"/>
    <n v="914320"/>
    <n v="1661053"/>
    <n v="830526.5"/>
    <m/>
    <n v="1661053"/>
    <m/>
    <e v="#DIV/0!"/>
    <m/>
    <e v="#DIV/0!"/>
    <m/>
    <e v="#DIV/0!"/>
    <m/>
    <n v="0"/>
    <n v="0"/>
  </r>
  <r>
    <x v="2"/>
    <s v="Vitros ECiQ"/>
    <n v="15002760"/>
    <s v="Immunoassay"/>
    <s v="demo"/>
    <m/>
    <m/>
    <m/>
    <m/>
    <s v="31.07.2025"/>
    <m/>
    <m/>
    <x v="1"/>
    <x v="1"/>
    <s v="Lahore"/>
    <n v="3020000206"/>
    <x v="19"/>
    <m/>
    <m/>
    <m/>
    <m/>
    <m/>
    <m/>
    <n v="9115000"/>
    <n v="37"/>
    <n v="716388"/>
    <m/>
    <m/>
    <m/>
    <m/>
    <m/>
    <m/>
    <m/>
    <m/>
    <m/>
    <m/>
    <m/>
    <m/>
    <m/>
    <m/>
    <m/>
    <m/>
    <m/>
    <m/>
    <m/>
    <m/>
    <m/>
    <m/>
    <m/>
    <m/>
    <m/>
    <m/>
    <x v="9"/>
    <x v="2"/>
    <n v="1"/>
    <s v="Replaced from the existing instrument"/>
    <m/>
    <m/>
    <m/>
    <m/>
    <m/>
    <m/>
    <m/>
    <m/>
    <m/>
    <m/>
    <m/>
    <m/>
    <n v="0"/>
    <m/>
    <m/>
    <m/>
    <m/>
    <m/>
    <m/>
    <m/>
    <m/>
    <m/>
    <m/>
    <m/>
    <m/>
    <n v="0"/>
    <m/>
    <m/>
    <m/>
    <n v="0"/>
    <n v="0"/>
    <m/>
    <n v="0"/>
    <m/>
    <e v="#DIV/0!"/>
    <m/>
    <e v="#DIV/0!"/>
    <m/>
    <e v="#DIV/0!"/>
    <m/>
    <n v="0"/>
    <n v="0"/>
  </r>
  <r>
    <x v="3"/>
    <s v="Swelab Lumi"/>
    <n v="15002248"/>
    <s v="Hematology "/>
    <n v="3002000093"/>
    <m/>
    <s v="TE11042147003"/>
    <m/>
    <m/>
    <s v="25.04.2025"/>
    <s v="Not Available"/>
    <m/>
    <x v="0"/>
    <x v="1"/>
    <s v="Lahore"/>
    <n v="3020000209"/>
    <x v="20"/>
    <s v="N/A"/>
    <s v="1-km defense road, Lahore"/>
    <s v="042-32300865"/>
    <s v="waseem.abbas@admin.uol.edu.pk"/>
    <s v="2237629-1"/>
    <m/>
    <n v="2100000"/>
    <n v="18"/>
    <n v="125042"/>
    <m/>
    <m/>
    <m/>
    <m/>
    <m/>
    <m/>
    <m/>
    <m/>
    <m/>
    <m/>
    <m/>
    <m/>
    <m/>
    <m/>
    <m/>
    <m/>
    <m/>
    <m/>
    <m/>
    <m/>
    <m/>
    <m/>
    <m/>
    <m/>
    <m/>
    <m/>
    <x v="10"/>
    <x v="11"/>
    <n v="1"/>
    <s v="Placed"/>
    <m/>
    <m/>
    <m/>
    <m/>
    <m/>
    <m/>
    <m/>
    <m/>
    <m/>
    <m/>
    <n v="616750"/>
    <n v="29000"/>
    <n v="645750"/>
    <n v="0"/>
    <n v="0"/>
    <n v="0"/>
    <n v="616750"/>
    <n v="0"/>
    <n v="0"/>
    <n v="0"/>
    <n v="0"/>
    <m/>
    <m/>
    <m/>
    <m/>
    <n v="616750"/>
    <n v="0"/>
    <n v="0"/>
    <n v="0"/>
    <n v="0"/>
    <n v="0"/>
    <m/>
    <n v="1262500"/>
    <n v="11"/>
    <n v="114772.72727272728"/>
    <n v="1595000"/>
    <n v="-10269.272727272721"/>
    <s v="Sales on track"/>
    <n v="-933.57024793388371"/>
    <n v="0.4"/>
    <n v="505000"/>
    <n v="0.4"/>
  </r>
  <r>
    <x v="0"/>
    <s v="iFlash 1200"/>
    <n v="15002553"/>
    <s v="Immunoassay"/>
    <m/>
    <m/>
    <m/>
    <m/>
    <m/>
    <s v="21.10.2024"/>
    <m/>
    <m/>
    <x v="1"/>
    <x v="0"/>
    <s v="Karachi"/>
    <n v="3020000314"/>
    <x v="21"/>
    <m/>
    <s v="Km-75, Jackob line, M.A Jinnah road "/>
    <s v="0331-2245708 &amp; 021-38140600"/>
    <s v="ahashmani@cyber.net.pk"/>
    <s v="4009579-7"/>
    <m/>
    <n v="3058162"/>
    <n v="36"/>
    <n v="520349"/>
    <m/>
    <m/>
    <m/>
    <m/>
    <m/>
    <m/>
    <m/>
    <m/>
    <m/>
    <m/>
    <m/>
    <m/>
    <m/>
    <m/>
    <m/>
    <m/>
    <m/>
    <m/>
    <e v="#N/A"/>
    <m/>
    <m/>
    <m/>
    <m/>
    <m/>
    <m/>
    <m/>
    <x v="2"/>
    <x v="2"/>
    <m/>
    <m/>
    <m/>
    <m/>
    <m/>
    <m/>
    <m/>
    <m/>
    <m/>
    <m/>
    <m/>
    <m/>
    <m/>
    <m/>
    <n v="0"/>
    <m/>
    <m/>
    <m/>
    <m/>
    <m/>
    <m/>
    <m/>
    <m/>
    <m/>
    <m/>
    <m/>
    <m/>
    <n v="0"/>
    <m/>
    <m/>
    <m/>
    <n v="0"/>
    <n v="0"/>
    <m/>
    <n v="0"/>
    <m/>
    <e v="#DIV/0!"/>
    <n v="3058162"/>
    <e v="#DIV/0!"/>
    <s v="No sales yet"/>
    <e v="#DIV/0!"/>
    <n v="0.4"/>
    <n v="0"/>
    <n v="0.4"/>
  </r>
  <r>
    <x v="0"/>
    <s v="iFlash 1800"/>
    <n v="15002462"/>
    <s v="Immunoassay"/>
    <m/>
    <m/>
    <s v="IA00146946"/>
    <m/>
    <m/>
    <s v="20.12.2024"/>
    <m/>
    <m/>
    <x v="0"/>
    <x v="0"/>
    <s v="Karachi"/>
    <n v="3020000386"/>
    <x v="22"/>
    <m/>
    <s v="St 02, block T, Qalandaria Chowk, opposite Talib Charman park, Sindh"/>
    <s v="0336-2062268"/>
    <s v="faraz786.hbb@gmail.com"/>
    <s v="1294267-7"/>
    <m/>
    <n v="3650000"/>
    <n v="10"/>
    <n v="1194783"/>
    <m/>
    <m/>
    <m/>
    <m/>
    <m/>
    <m/>
    <m/>
    <m/>
    <m/>
    <m/>
    <m/>
    <m/>
    <m/>
    <m/>
    <m/>
    <m/>
    <m/>
    <m/>
    <e v="#N/A"/>
    <m/>
    <m/>
    <m/>
    <m/>
    <m/>
    <m/>
    <m/>
    <x v="11"/>
    <x v="12"/>
    <n v="1"/>
    <s v="Placed"/>
    <m/>
    <m/>
    <m/>
    <m/>
    <m/>
    <m/>
    <m/>
    <m/>
    <m/>
    <m/>
    <m/>
    <m/>
    <n v="0"/>
    <m/>
    <m/>
    <m/>
    <m/>
    <m/>
    <n v="146400"/>
    <m/>
    <n v="210560"/>
    <n v="278280"/>
    <n v="431600"/>
    <n v="107800"/>
    <n v="80800"/>
    <n v="1255440"/>
    <n v="191400"/>
    <n v="62000"/>
    <n v="67800"/>
    <n v="321200"/>
    <n v="156900"/>
    <m/>
    <n v="1576640"/>
    <n v="8"/>
    <n v="197080"/>
    <n v="3019344"/>
    <n v="-997703"/>
    <s v="Sales behind track"/>
    <n v="-124712.875"/>
    <n v="0.4"/>
    <n v="630656"/>
    <n v="0.4"/>
  </r>
  <r>
    <x v="1"/>
    <s v="Selectra Mach 5"/>
    <n v="15002463"/>
    <s v="Clinical Chemistry"/>
    <m/>
    <m/>
    <m/>
    <m/>
    <m/>
    <s v="20.12.2024"/>
    <m/>
    <m/>
    <x v="0"/>
    <x v="0"/>
    <s v="Karachi"/>
    <n v="3020000386"/>
    <x v="22"/>
    <m/>
    <s v="St 02, block T, Qalandaria Chowk, opposite Talib Charman park, Sindh"/>
    <s v="0336-2062268"/>
    <s v="faraz786.hbb@gmail.com"/>
    <s v="1294267-7"/>
    <m/>
    <n v="6941887"/>
    <n v="73"/>
    <n v="882971"/>
    <m/>
    <m/>
    <m/>
    <m/>
    <m/>
    <m/>
    <m/>
    <m/>
    <m/>
    <m/>
    <m/>
    <m/>
    <m/>
    <m/>
    <m/>
    <m/>
    <m/>
    <m/>
    <e v="#N/A"/>
    <m/>
    <m/>
    <m/>
    <m/>
    <m/>
    <m/>
    <m/>
    <x v="11"/>
    <x v="12"/>
    <n v="1"/>
    <s v="Placed"/>
    <m/>
    <m/>
    <m/>
    <m/>
    <m/>
    <m/>
    <m/>
    <m/>
    <m/>
    <m/>
    <m/>
    <m/>
    <n v="0"/>
    <m/>
    <m/>
    <m/>
    <m/>
    <m/>
    <m/>
    <m/>
    <m/>
    <m/>
    <n v="246700"/>
    <m/>
    <n v="2800"/>
    <n v="249500"/>
    <n v="142222"/>
    <n v="417191.4"/>
    <n v="134582"/>
    <n v="693995.4"/>
    <n v="188699.08000000002"/>
    <m/>
    <n v="943495.4"/>
    <n v="4"/>
    <n v="235873.85"/>
    <n v="6517314.0700000003"/>
    <n v="-647097.15"/>
    <s v="No sales yet"/>
    <n v="-161774.28750000001"/>
    <n v="0.45"/>
    <n v="424572.93"/>
    <n v="0.45"/>
  </r>
  <r>
    <x v="7"/>
    <s v="Laura XL"/>
    <n v="15002673"/>
    <s v="Urine Analyzer"/>
    <m/>
    <m/>
    <m/>
    <m/>
    <m/>
    <s v="04.06.2025"/>
    <m/>
    <m/>
    <x v="0"/>
    <x v="1"/>
    <s v="Chiniot"/>
    <n v="3020000394"/>
    <x v="23"/>
    <m/>
    <m/>
    <m/>
    <m/>
    <m/>
    <m/>
    <n v="5662000"/>
    <n v="33"/>
    <n v="319800"/>
    <m/>
    <m/>
    <m/>
    <m/>
    <m/>
    <m/>
    <m/>
    <m/>
    <m/>
    <m/>
    <m/>
    <m/>
    <m/>
    <m/>
    <m/>
    <m/>
    <m/>
    <m/>
    <m/>
    <m/>
    <m/>
    <m/>
    <m/>
    <m/>
    <m/>
    <m/>
    <x v="0"/>
    <x v="13"/>
    <n v="1"/>
    <s v="Placed"/>
    <m/>
    <m/>
    <m/>
    <m/>
    <m/>
    <m/>
    <m/>
    <m/>
    <m/>
    <m/>
    <m/>
    <m/>
    <n v="0"/>
    <m/>
    <m/>
    <m/>
    <m/>
    <m/>
    <m/>
    <n v="430327.8"/>
    <n v="330000"/>
    <n v="215000"/>
    <m/>
    <m/>
    <n v="350000"/>
    <n v="1325327.8"/>
    <n v="0"/>
    <n v="315000"/>
    <n v="0"/>
    <n v="315000"/>
    <n v="166250"/>
    <m/>
    <n v="1640327.8"/>
    <n v="5"/>
    <n v="328065.56"/>
    <n v="5005868.88"/>
    <n v="-75245.67200000002"/>
    <s v="Sales behind track"/>
    <n v="-15049.134400000004"/>
    <n v="0.4"/>
    <n v="656131.12000000011"/>
    <n v="0.4"/>
  </r>
  <r>
    <x v="2"/>
    <s v="Vitros ECiQ Immunodiagnostic System"/>
    <n v="15002760"/>
    <s v="Immunoassay"/>
    <n v="3002000023"/>
    <s v="N/A"/>
    <n v="30004829"/>
    <s v="29.10.2022"/>
    <s v="10.09.2022"/>
    <s v="09.10.2022"/>
    <s v="Available"/>
    <m/>
    <x v="1"/>
    <x v="0"/>
    <s v="Karachi"/>
    <n v="3020000439"/>
    <x v="24"/>
    <s v="N/A"/>
    <s v="plot # GRE/550, Gul meher street, off Jahangir road garden east , Karachi"/>
    <s v="0321-9232142"/>
    <s v="hanif.baig@amdtrust.org "/>
    <s v="4665344-1"/>
    <m/>
    <n v="5847387"/>
    <n v="28"/>
    <n v="545522"/>
    <m/>
    <m/>
    <s v="Reagents Not available"/>
    <s v="Partial items received, already processed the orders"/>
    <s v="working with customer to put workload on our equipment "/>
    <m/>
    <s v="workload decreased"/>
    <s v="Patient flow has been increasing gradullay in the hospital, which will improve our business."/>
    <m/>
    <m/>
    <s v="Revised business case has been sent to Mr, Irfan for further approvals"/>
    <s v="Order for Sep &amp; Oct 2023 has been received"/>
    <m/>
    <m/>
    <m/>
    <m/>
    <m/>
    <m/>
    <s v="Price/workload revision - till 15 April 2024"/>
    <m/>
    <s v="2nd letter is submitted for prices revision."/>
    <m/>
    <m/>
    <m/>
    <m/>
    <m/>
    <x v="12"/>
    <x v="2"/>
    <m/>
    <m/>
    <n v="262916.82"/>
    <n v="284489.45999999996"/>
    <n v="163926.91"/>
    <n v="36327"/>
    <n v="468860.14"/>
    <n v="654734.74"/>
    <n v="167552"/>
    <n v="565713.64"/>
    <n v="111563"/>
    <n v="140865"/>
    <n v="206958"/>
    <n v="0"/>
    <n v="3063906.71"/>
    <n v="0"/>
    <n v="215169"/>
    <n v="0"/>
    <n v="319587"/>
    <m/>
    <m/>
    <m/>
    <m/>
    <m/>
    <m/>
    <m/>
    <m/>
    <n v="534756"/>
    <m/>
    <m/>
    <m/>
    <n v="0"/>
    <n v="0"/>
    <m/>
    <n v="3598662.71"/>
    <n v="31"/>
    <n v="116085.89387096775"/>
    <n v="4407921.9160000002"/>
    <n v="-429436.10612903227"/>
    <s v="Sales behind track"/>
    <n v="-13852.777617065558"/>
    <n v="0.4"/>
    <n v="1439465.084"/>
    <n v="0.35"/>
  </r>
  <r>
    <x v="2"/>
    <s v="Vitros ECiQ Immunodiagnostic System"/>
    <n v="15002760"/>
    <s v="Immunoassay"/>
    <n v="3002000023"/>
    <s v="N/A"/>
    <n v="30004829"/>
    <m/>
    <m/>
    <s v="25.04.2025"/>
    <s v="Available"/>
    <m/>
    <x v="5"/>
    <x v="0"/>
    <s v="Karachi"/>
    <n v="3020000439"/>
    <x v="24"/>
    <s v="N/A"/>
    <s v="plot # GRE/550, Gul meher street, off Jahangir road garden east , Karachi"/>
    <s v="0321-9232142"/>
    <s v="hanif.baig@amdtrust.org "/>
    <s v="4665344-1"/>
    <m/>
    <n v="5962387"/>
    <n v="60"/>
    <n v="469966"/>
    <m/>
    <m/>
    <m/>
    <m/>
    <m/>
    <m/>
    <m/>
    <m/>
    <m/>
    <m/>
    <m/>
    <m/>
    <m/>
    <m/>
    <m/>
    <m/>
    <m/>
    <m/>
    <m/>
    <m/>
    <m/>
    <m/>
    <m/>
    <m/>
    <m/>
    <m/>
    <x v="13"/>
    <x v="14"/>
    <m/>
    <m/>
    <n v="0"/>
    <n v="0"/>
    <n v="0"/>
    <n v="0"/>
    <n v="0"/>
    <n v="0"/>
    <n v="0"/>
    <n v="0"/>
    <n v="0"/>
    <n v="0"/>
    <n v="0"/>
    <n v="0"/>
    <n v="0"/>
    <n v="0"/>
    <n v="0"/>
    <n v="0"/>
    <n v="0"/>
    <n v="915691.58000000007"/>
    <n v="293100.48"/>
    <n v="0"/>
    <n v="639964.52"/>
    <n v="0"/>
    <n v="375282.49"/>
    <n v="0"/>
    <n v="0"/>
    <n v="2224039.0700000003"/>
    <n v="24249.5"/>
    <n v="48499"/>
    <n v="0"/>
    <n v="72748.5"/>
    <n v="74671.831666666665"/>
    <m/>
    <n v="2296787.5700000003"/>
    <n v="34"/>
    <n v="67552.575588235297"/>
    <n v="5043671.9720000001"/>
    <n v="-402413.42441176472"/>
    <s v="Sales behind track"/>
    <n v="-11835.688953287197"/>
    <n v="0.4"/>
    <n v="918715.02800000017"/>
    <n v="0.4"/>
  </r>
  <r>
    <x v="0"/>
    <s v="iFlash 1800"/>
    <n v="15002462"/>
    <s v="Immunoassay"/>
    <n v="3002000009"/>
    <s v="Moved from Jilani Hospital to Burhani Hospital"/>
    <s v="IA00092922"/>
    <s v="14.12.2023"/>
    <s v="21.11.2023"/>
    <s v="18.12.2023"/>
    <s v="Available"/>
    <m/>
    <x v="0"/>
    <x v="0"/>
    <s v="Karachi"/>
    <n v="3020000447"/>
    <x v="25"/>
    <s v="Asad Ullah"/>
    <s v="Shop # 5, Yet Road, Near M.A. Jinnah Road,"/>
    <s v="0307-3800575 , 081-2826500"/>
    <s v="noor.lab.surgical@gmail.com"/>
    <m/>
    <s v="54400-0524139-1"/>
    <n v="2668545"/>
    <n v="27"/>
    <n v="499567"/>
    <m/>
    <m/>
    <m/>
    <m/>
    <s v="YHLO stock was N/A"/>
    <s v="we will recieve new order from customer as stock is available now "/>
    <s v="Machine was moved from different location without informing HO"/>
    <s v="We've decided to pull back our equipment and it'll be placed to another customer (Jillani Hospital - Quetta). Business Case will be submitted to get approval."/>
    <m/>
    <m/>
    <m/>
    <m/>
    <m/>
    <m/>
    <m/>
    <m/>
    <s v="Move to Khi Burhani Hospital"/>
    <m/>
    <s v="Recently installed "/>
    <m/>
    <s v="Sales on track"/>
    <m/>
    <m/>
    <m/>
    <m/>
    <m/>
    <x v="14"/>
    <x v="3"/>
    <n v="1"/>
    <s v="Placed"/>
    <n v="146900"/>
    <n v="740800"/>
    <n v="939900"/>
    <n v="93000"/>
    <n v="764600"/>
    <n v="1053900"/>
    <n v="999900"/>
    <n v="142000"/>
    <n v="0"/>
    <n v="770500"/>
    <n v="425600"/>
    <n v="959600"/>
    <n v="7036700"/>
    <n v="1245700"/>
    <n v="0"/>
    <n v="116000"/>
    <n v="0"/>
    <n v="702500"/>
    <n v="119800"/>
    <n v="635960"/>
    <n v="613250"/>
    <n v="336820"/>
    <n v="519620"/>
    <n v="486400"/>
    <n v="523620"/>
    <n v="5299670"/>
    <n v="269500"/>
    <n v="559660"/>
    <n v="768330"/>
    <n v="1597490"/>
    <n v="521188.33333333331"/>
    <m/>
    <n v="13933860"/>
    <n v="23"/>
    <n v="605820"/>
    <n v="-2904999"/>
    <n v="106253"/>
    <s v="Sales on track"/>
    <n v="4619.695652173913"/>
    <n v="0.4"/>
    <n v="5573544"/>
    <n v="0.4"/>
  </r>
  <r>
    <x v="2"/>
    <s v="Vitros ECiQ Immunodiagnostic System"/>
    <n v="15002760"/>
    <s v="Immunoassay"/>
    <n v="3002000033"/>
    <s v="N/A"/>
    <n v="30006238"/>
    <s v=" 01.03.2023"/>
    <m/>
    <m/>
    <s v="Not Available"/>
    <m/>
    <x v="1"/>
    <x v="0"/>
    <s v="Karachi"/>
    <n v="3020000477"/>
    <x v="26"/>
    <s v="Approved"/>
    <s v="Stadium Road, Karachi"/>
    <s v="021-34930051, 0313-3691916"/>
    <s v=" zain.mansoor@aku.edu"/>
    <s v="0709421-3"/>
    <m/>
    <m/>
    <m/>
    <m/>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s v="Agreemanet pending, in year 2023 many order was holded by Mr Irfan Akram, supplies didnt deliver on time "/>
    <m/>
    <s v="Revised business case submitted, sales will be on track from next month"/>
    <m/>
    <m/>
    <m/>
    <m/>
    <m/>
    <x v="2"/>
    <x v="2"/>
    <m/>
    <m/>
    <n v="2795137.5"/>
    <n v="149625"/>
    <n v="3848212.5"/>
    <n v="1329613.5"/>
    <n v="0"/>
    <n v="0"/>
    <n v="0"/>
    <n v="0"/>
    <n v="0"/>
    <n v="0"/>
    <n v="0"/>
    <n v="0"/>
    <n v="8122588.5"/>
    <n v="0"/>
    <n v="0"/>
    <m/>
    <m/>
    <m/>
    <m/>
    <m/>
    <m/>
    <m/>
    <m/>
    <m/>
    <m/>
    <n v="0"/>
    <m/>
    <m/>
    <m/>
    <n v="0"/>
    <n v="0"/>
    <m/>
    <n v="8122588.5"/>
    <n v="16"/>
    <n v="507661.78125"/>
    <n v="-3249035.4000000004"/>
    <n v="507661.78125"/>
    <s v="Sales on track"/>
    <n v="31728.861328125"/>
    <n v="0.4"/>
    <n v="3249035.4000000004"/>
    <n v="0.35"/>
  </r>
  <r>
    <x v="2"/>
    <s v="Vitros ECiQ Immunodiagnostic System"/>
    <n v="15002760"/>
    <s v="Immunoassay"/>
    <n v="3002000037"/>
    <s v="N/A"/>
    <n v="30006243"/>
    <s v=" 01.03.2023"/>
    <m/>
    <m/>
    <s v="Not Available"/>
    <m/>
    <x v="1"/>
    <x v="0"/>
    <s v="Karachi"/>
    <n v="3020000477"/>
    <x v="26"/>
    <s v="Available"/>
    <s v="Stadium Road, Karachi"/>
    <s v="021-34930051, 0313-3691916"/>
    <s v=" zain.mansoor@aku.edu"/>
    <s v="0709421-3"/>
    <m/>
    <m/>
    <m/>
    <m/>
    <m/>
    <m/>
    <m/>
    <m/>
    <m/>
    <m/>
    <m/>
    <m/>
    <m/>
    <m/>
    <s v="We've received order of 5.7 million in Sep 2023 "/>
    <s v="Order received as per commitment"/>
    <m/>
    <m/>
    <m/>
    <m/>
    <m/>
    <m/>
    <s v="Agreemanet pending, in year 2023 many order was holded by Mr Irfan Akram, supplies didnt deliver on time "/>
    <m/>
    <s v="Revised business case submitted, sales will be on track from next month"/>
    <m/>
    <m/>
    <m/>
    <m/>
    <m/>
    <x v="2"/>
    <x v="2"/>
    <m/>
    <m/>
    <n v="2795137.5"/>
    <n v="149625"/>
    <n v="3848212.5"/>
    <n v="1329613.5"/>
    <n v="0"/>
    <n v="0"/>
    <n v="0"/>
    <n v="0"/>
    <n v="0"/>
    <n v="0"/>
    <n v="0"/>
    <n v="0"/>
    <n v="8122588.5"/>
    <n v="0"/>
    <m/>
    <m/>
    <m/>
    <m/>
    <m/>
    <m/>
    <m/>
    <m/>
    <m/>
    <m/>
    <m/>
    <n v="0"/>
    <m/>
    <m/>
    <m/>
    <n v="0"/>
    <n v="0"/>
    <m/>
    <n v="8122588.5"/>
    <n v="16"/>
    <n v="507661.78125"/>
    <n v="-3249035.4000000004"/>
    <n v="507661.78125"/>
    <s v="Sales on track"/>
    <n v="31728.861328125"/>
    <n v="0.4"/>
    <n v="3249035.4000000004"/>
    <n v="0.35"/>
  </r>
  <r>
    <x v="2"/>
    <s v="Vitros ECiQ Immunodiagnostic System"/>
    <n v="15002760"/>
    <s v="Immunoassay"/>
    <n v="3002000033"/>
    <s v="N/A"/>
    <n v="30006238"/>
    <m/>
    <s v="04.05.2024"/>
    <s v="02.04.2024"/>
    <s v="Available"/>
    <m/>
    <x v="5"/>
    <x v="0"/>
    <s v="Karachi"/>
    <n v="3020000477"/>
    <x v="26"/>
    <s v="Approved"/>
    <s v="Stadium Road, Karachi"/>
    <s v="021-34930051, 0313-3691916"/>
    <s v=" zain.mansoor@aku.edu"/>
    <s v="0709421-3"/>
    <m/>
    <n v="9415840"/>
    <n v="36"/>
    <n v="1229963"/>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m/>
    <m/>
    <m/>
    <m/>
    <m/>
    <s v="no sales in july"/>
    <m/>
    <m/>
    <x v="0"/>
    <x v="3"/>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n v="18"/>
    <n v="2604352.1694444441"/>
    <n v="-9335495.620000001"/>
    <n v="1374389.1694444441"/>
    <s v="Sales from April, Sales on track"/>
    <n v="76354.953858024674"/>
    <n v="0.4"/>
    <n v="18751335.620000001"/>
    <n v="0.35"/>
  </r>
  <r>
    <x v="2"/>
    <s v="Vitros ECiQ Immunodiagnostic System"/>
    <n v="15002760"/>
    <s v="Immunoassay"/>
    <n v="3002000037"/>
    <s v="N/A"/>
    <n v="30006243"/>
    <m/>
    <s v="04.05.2024"/>
    <s v="02.04.2024"/>
    <s v="Available"/>
    <m/>
    <x v="5"/>
    <x v="0"/>
    <s v="Karachi"/>
    <n v="3020000477"/>
    <x v="26"/>
    <s v="Available"/>
    <s v="Stadium Road, Karachi"/>
    <s v="021-34930051, 0313-3691916"/>
    <s v=" zain.mansoor@aku.edu"/>
    <s v="0709421-3"/>
    <m/>
    <n v="9415840"/>
    <n v="36"/>
    <n v="1229963"/>
    <m/>
    <m/>
    <m/>
    <m/>
    <m/>
    <m/>
    <m/>
    <m/>
    <m/>
    <m/>
    <s v="We've received order of 5.7 million in Sep 2023 "/>
    <s v="Order received as per commitment"/>
    <m/>
    <m/>
    <m/>
    <m/>
    <m/>
    <m/>
    <m/>
    <m/>
    <m/>
    <m/>
    <m/>
    <s v="no sales in july"/>
    <m/>
    <m/>
    <x v="0"/>
    <x v="3"/>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n v="18"/>
    <n v="2604352.1694444441"/>
    <n v="-9335495.620000001"/>
    <n v="1374389.1694444441"/>
    <s v="Sales from April, Sales on track"/>
    <n v="76354.953858024674"/>
    <n v="0.4"/>
    <n v="18751335.620000001"/>
    <n v="0.35"/>
  </r>
  <r>
    <x v="0"/>
    <s v="iFlash 1800"/>
    <n v="15002462"/>
    <s v="Immunoassay"/>
    <n v="3002000075"/>
    <s v="N/A"/>
    <s v="IA00093322"/>
    <m/>
    <m/>
    <s v="19.03.2024"/>
    <s v="Not Available"/>
    <m/>
    <x v="0"/>
    <x v="1"/>
    <s v="Faisalabad"/>
    <n v="3020000491"/>
    <x v="27"/>
    <m/>
    <s v="Akbarabad, Near Allied Hospital, Faisalabad"/>
    <s v="041-2646707"/>
    <s v="info@alkhidmat.org"/>
    <s v="7600330-1"/>
    <m/>
    <n v="3535471"/>
    <n v="36"/>
    <n v="536481"/>
    <m/>
    <m/>
    <m/>
    <m/>
    <m/>
    <m/>
    <m/>
    <m/>
    <m/>
    <m/>
    <m/>
    <m/>
    <m/>
    <m/>
    <m/>
    <m/>
    <m/>
    <m/>
    <m/>
    <m/>
    <m/>
    <m/>
    <m/>
    <m/>
    <m/>
    <m/>
    <x v="13"/>
    <x v="14"/>
    <m/>
    <s v="Placed"/>
    <n v="235502.5"/>
    <n v="15660"/>
    <n v="165984"/>
    <n v="125262"/>
    <n v="37908.5"/>
    <n v="55880"/>
    <n v="0"/>
    <n v="239596"/>
    <n v="65535"/>
    <n v="64800"/>
    <n v="0"/>
    <n v="154960"/>
    <n v="1161088"/>
    <n v="49960"/>
    <n v="0"/>
    <n v="155411"/>
    <n v="0"/>
    <n v="0"/>
    <n v="0"/>
    <n v="0"/>
    <n v="0"/>
    <n v="0"/>
    <n v="0"/>
    <n v="0"/>
    <m/>
    <n v="205371"/>
    <n v="0"/>
    <n v="0"/>
    <n v="0"/>
    <n v="0"/>
    <n v="0"/>
    <m/>
    <n v="1366459"/>
    <n v="25"/>
    <n v="54658.36"/>
    <n v="2988887.4"/>
    <n v="-481822.64"/>
    <s v="Sales behind track"/>
    <n v="-19272.905600000002"/>
    <n v="0.4"/>
    <n v="546583.6"/>
    <n v="0.4"/>
  </r>
  <r>
    <x v="0"/>
    <s v="iFlash 1800"/>
    <n v="15002462"/>
    <s v="Immunoassay"/>
    <s v="AR # 300293"/>
    <s v="Transferred from demo"/>
    <s v="IA00093322"/>
    <m/>
    <m/>
    <s v="14.05.2025"/>
    <m/>
    <m/>
    <x v="0"/>
    <x v="1"/>
    <s v="Faisalabad"/>
    <n v="3020000491"/>
    <x v="27"/>
    <m/>
    <s v="Ismail Road, Akbarabad Chowk, Opposite Allied Hospital, Punjab"/>
    <s v="041-2642728 &amp; 0333-6544102"/>
    <s v="info@alkhidmat.org"/>
    <s v="7600330-1"/>
    <m/>
    <n v="3650471"/>
    <n v="35"/>
    <n v="424199"/>
    <m/>
    <m/>
    <m/>
    <m/>
    <m/>
    <m/>
    <m/>
    <m/>
    <m/>
    <m/>
    <m/>
    <m/>
    <m/>
    <m/>
    <m/>
    <m/>
    <m/>
    <m/>
    <m/>
    <m/>
    <m/>
    <m/>
    <m/>
    <m/>
    <m/>
    <m/>
    <x v="13"/>
    <x v="14"/>
    <m/>
    <s v="Placed"/>
    <n v="235502.5"/>
    <n v="15660"/>
    <n v="165984"/>
    <n v="125262"/>
    <n v="37908.5"/>
    <n v="55880"/>
    <n v="0"/>
    <n v="239596"/>
    <n v="65535"/>
    <n v="64800"/>
    <n v="0"/>
    <n v="154960"/>
    <n v="1161088"/>
    <n v="49960"/>
    <n v="0"/>
    <n v="155411"/>
    <n v="0"/>
    <n v="0"/>
    <n v="0"/>
    <n v="0"/>
    <n v="0"/>
    <n v="0"/>
    <n v="0"/>
    <n v="0"/>
    <m/>
    <n v="205371"/>
    <n v="0"/>
    <n v="0"/>
    <n v="0"/>
    <n v="0"/>
    <n v="0"/>
    <m/>
    <n v="1366459"/>
    <n v="25"/>
    <n v="54658.36"/>
    <n v="3103887.4"/>
    <n v="-66585.846153846156"/>
    <s v="Sales behind track"/>
    <n v="-2663.4338461538464"/>
    <n v="0.4"/>
    <n v="546583.6"/>
    <n v="0.4"/>
  </r>
  <r>
    <x v="3"/>
    <s v="Swelab Alfa Plus Standard"/>
    <n v="15001967"/>
    <s v="Hematology"/>
    <n v="3002000004"/>
    <s v="N/A"/>
    <n v="104282"/>
    <s v="27.11.2021"/>
    <s v="06.01.2021"/>
    <s v="06.01.2021"/>
    <s v="Available"/>
    <m/>
    <x v="0"/>
    <x v="1"/>
    <s v="Faisalabad"/>
    <n v="3020000515"/>
    <x v="28"/>
    <s v="Govt. Hospital"/>
    <s v="Near Pinum Hospital, Faisalabad"/>
    <s v="041-9210082"/>
    <s v="not available"/>
    <s v="9020100-7"/>
    <m/>
    <n v="1262290"/>
    <n v="13"/>
    <n v="450000"/>
    <s v="tender based ,Tender completed "/>
    <s v="instruments will be return after depletion of stocks "/>
    <s v="Sales on track"/>
    <s v="Sales on track"/>
    <s v="sales on track "/>
    <s v="new contract in process"/>
    <m/>
    <s v="Instrument cost covered we are executing new contract for the same analyzer in same institute expected business in Q3 Is Rs. 2.0 Million "/>
    <s v="Contract renewed for three months "/>
    <s v="Initial order of amount Rs 1.8 Million invoiced "/>
    <m/>
    <m/>
    <m/>
    <m/>
    <m/>
    <m/>
    <m/>
    <m/>
    <s v="Cost Covered and will be return back as tender period is ended."/>
    <m/>
    <m/>
    <m/>
    <m/>
    <s v="Need to confirm its status"/>
    <m/>
    <m/>
    <x v="13"/>
    <x v="14"/>
    <n v="1"/>
    <s v="Placed"/>
    <m/>
    <m/>
    <m/>
    <m/>
    <m/>
    <m/>
    <m/>
    <m/>
    <m/>
    <m/>
    <m/>
    <m/>
    <n v="0"/>
    <n v="0"/>
    <n v="0"/>
    <n v="0"/>
    <n v="0"/>
    <n v="1362711.9"/>
    <n v="613000"/>
    <n v="2271186"/>
    <n v="0"/>
    <n v="0"/>
    <m/>
    <n v="3202372.3333333335"/>
    <n v="-204333.33333333334"/>
    <n v="7244936.9000000013"/>
    <n v="0"/>
    <n v="0"/>
    <n v="0"/>
    <n v="0"/>
    <n v="599607.80000000005"/>
    <s v="ASK ABOUT IT"/>
    <n v="7244936.9000000013"/>
    <n v="34"/>
    <n v="213086.37941176473"/>
    <n v="-1635684.7600000007"/>
    <n v="-236913.62058823527"/>
    <s v="Sales are going on, Cost covered"/>
    <n v="-6968.0476643598604"/>
    <n v="0.4"/>
    <n v="2897974.7600000007"/>
    <n v="0.4"/>
  </r>
  <r>
    <x v="3"/>
    <s v="Swelab Alfa Plus Standard"/>
    <n v="15001967"/>
    <s v="Hematology"/>
    <n v="3002000004"/>
    <m/>
    <n v="116957"/>
    <m/>
    <m/>
    <s v="24.11.2025"/>
    <m/>
    <m/>
    <x v="4"/>
    <x v="1"/>
    <s v="Faisalabad"/>
    <n v="3020000515"/>
    <x v="29"/>
    <m/>
    <s v="Near Pinum Hospital, Faisalabad"/>
    <s v="041-9210082"/>
    <s v="not available"/>
    <s v="9020100-7"/>
    <m/>
    <n v="1186483.5"/>
    <n v="26"/>
    <n v="112945"/>
    <m/>
    <m/>
    <m/>
    <m/>
    <m/>
    <m/>
    <m/>
    <m/>
    <m/>
    <m/>
    <m/>
    <m/>
    <m/>
    <m/>
    <m/>
    <m/>
    <m/>
    <m/>
    <m/>
    <m/>
    <m/>
    <m/>
    <m/>
    <m/>
    <m/>
    <m/>
    <x v="0"/>
    <x v="3"/>
    <m/>
    <s v="Placed"/>
    <m/>
    <m/>
    <m/>
    <m/>
    <n v="1710000"/>
    <m/>
    <m/>
    <m/>
    <m/>
    <m/>
    <m/>
    <m/>
    <n v="1710000"/>
    <m/>
    <m/>
    <m/>
    <m/>
    <m/>
    <m/>
    <m/>
    <m/>
    <m/>
    <m/>
    <n v="3202372.3333333335"/>
    <n v="-204333.33333333334"/>
    <n v="2998039"/>
    <n v="0"/>
    <n v="0"/>
    <n v="0"/>
    <n v="0"/>
    <n v="599607.80000000005"/>
    <m/>
    <n v="4708039"/>
    <n v="4"/>
    <n v="1177009.75"/>
    <m/>
    <n v="1064064.75"/>
    <m/>
    <n v="266016.1875"/>
    <m/>
    <n v="0"/>
    <n v="0"/>
  </r>
  <r>
    <x v="3"/>
    <s v="Swelab Alfa Plus Standard"/>
    <n v="15001967"/>
    <s v="Hematology"/>
    <s v="AR # 300321"/>
    <m/>
    <n v="117576"/>
    <s v="24.11.2025"/>
    <m/>
    <m/>
    <m/>
    <m/>
    <x v="4"/>
    <x v="1"/>
    <s v="Faisalabad"/>
    <n v="3020000515"/>
    <x v="29"/>
    <m/>
    <m/>
    <m/>
    <m/>
    <m/>
    <m/>
    <n v="1186483.5"/>
    <n v="26"/>
    <n v="112945"/>
    <m/>
    <m/>
    <m/>
    <m/>
    <m/>
    <m/>
    <m/>
    <m/>
    <m/>
    <m/>
    <m/>
    <m/>
    <m/>
    <m/>
    <m/>
    <m/>
    <m/>
    <m/>
    <m/>
    <m/>
    <m/>
    <m/>
    <m/>
    <m/>
    <m/>
    <m/>
    <x v="0"/>
    <x v="3"/>
    <m/>
    <s v="Placed"/>
    <m/>
    <m/>
    <m/>
    <m/>
    <m/>
    <m/>
    <m/>
    <m/>
    <m/>
    <m/>
    <m/>
    <m/>
    <n v="0"/>
    <m/>
    <m/>
    <m/>
    <m/>
    <m/>
    <m/>
    <m/>
    <m/>
    <m/>
    <m/>
    <n v="3202372.3333333335"/>
    <n v="-204333.33333333334"/>
    <n v="2998039"/>
    <n v="0"/>
    <n v="0"/>
    <n v="0"/>
    <n v="0"/>
    <n v="599607.80000000005"/>
    <m/>
    <n v="2998039"/>
    <m/>
    <e v="#DIV/0!"/>
    <m/>
    <e v="#DIV/0!"/>
    <m/>
    <e v="#DIV/0!"/>
    <m/>
    <n v="0"/>
    <n v="0"/>
  </r>
  <r>
    <x v="1"/>
    <s v="Selectra PRO M Lite"/>
    <n v="15002128"/>
    <s v="Clinical Chemistry"/>
    <m/>
    <m/>
    <m/>
    <m/>
    <m/>
    <s v="24.11.2025"/>
    <m/>
    <m/>
    <x v="4"/>
    <x v="1"/>
    <s v="Faisalabad"/>
    <n v="3020000515"/>
    <x v="29"/>
    <m/>
    <s v="Near Pinum Hospital, Faisalabad"/>
    <s v="041-9210082"/>
    <s v="not available"/>
    <s v="9020100-7"/>
    <m/>
    <n v="4620000"/>
    <n v="36"/>
    <n v="1411927"/>
    <m/>
    <m/>
    <m/>
    <m/>
    <m/>
    <m/>
    <m/>
    <m/>
    <m/>
    <m/>
    <m/>
    <m/>
    <m/>
    <m/>
    <m/>
    <m/>
    <m/>
    <m/>
    <m/>
    <m/>
    <m/>
    <m/>
    <m/>
    <m/>
    <m/>
    <m/>
    <x v="0"/>
    <x v="3"/>
    <m/>
    <s v="Placed"/>
    <m/>
    <m/>
    <m/>
    <m/>
    <n v="1710000"/>
    <m/>
    <m/>
    <m/>
    <m/>
    <m/>
    <m/>
    <m/>
    <n v="1710000"/>
    <m/>
    <m/>
    <m/>
    <m/>
    <m/>
    <m/>
    <m/>
    <m/>
    <m/>
    <m/>
    <n v="3484134.2"/>
    <n v="5106783.6700000027"/>
    <n v="8590917.8700000029"/>
    <n v="1516016"/>
    <m/>
    <m/>
    <n v="1516016"/>
    <n v="3368977.9566666675"/>
    <m/>
    <n v="11816933.870000003"/>
    <n v="3"/>
    <n v="3938977.9566666675"/>
    <m/>
    <n v="2527050.9566666675"/>
    <m/>
    <n v="842350.31888888916"/>
    <m/>
    <n v="0"/>
    <n v="0"/>
  </r>
  <r>
    <x v="3"/>
    <s v="Swelab Alfa Plus Standard"/>
    <n v="15001967"/>
    <s v="Hematology"/>
    <m/>
    <m/>
    <m/>
    <m/>
    <m/>
    <s v="24.11.2025"/>
    <m/>
    <m/>
    <x v="4"/>
    <x v="1"/>
    <s v="Faisalabad"/>
    <n v="3020000393"/>
    <x v="30"/>
    <m/>
    <s v="Near Pinum Hospital, Faisalabad"/>
    <s v="041-9210082"/>
    <s v="not available"/>
    <s v="9020100-7"/>
    <m/>
    <n v="1186483.33333333"/>
    <n v="26"/>
    <n v="108475"/>
    <m/>
    <m/>
    <m/>
    <m/>
    <m/>
    <m/>
    <m/>
    <m/>
    <m/>
    <m/>
    <m/>
    <m/>
    <m/>
    <m/>
    <m/>
    <m/>
    <m/>
    <m/>
    <m/>
    <m/>
    <m/>
    <m/>
    <m/>
    <m/>
    <m/>
    <m/>
    <x v="0"/>
    <x v="3"/>
    <m/>
    <s v="Placed"/>
    <m/>
    <m/>
    <m/>
    <m/>
    <m/>
    <m/>
    <m/>
    <m/>
    <m/>
    <m/>
    <m/>
    <m/>
    <n v="0"/>
    <m/>
    <m/>
    <m/>
    <m/>
    <m/>
    <m/>
    <m/>
    <m/>
    <m/>
    <m/>
    <m/>
    <m/>
    <n v="0"/>
    <n v="0"/>
    <n v="700022.02"/>
    <n v="208452.33333333334"/>
    <n v="908474.35333333339"/>
    <n v="302824.78444444446"/>
    <m/>
    <n v="908474.33333333337"/>
    <n v="2"/>
    <n v="454237.16666666669"/>
    <m/>
    <n v="345762.16666666669"/>
    <m/>
    <n v="172881.08333333334"/>
    <m/>
    <n v="0"/>
    <n v="0"/>
  </r>
  <r>
    <x v="0"/>
    <s v="iFlash 1800"/>
    <n v="15002462"/>
    <s v="Immunoassay"/>
    <n v="3002000014"/>
    <s v="N/A"/>
    <s v="IA00093122"/>
    <s v="03.08.2022"/>
    <s v="06.29.2022"/>
    <s v="20.07.2022"/>
    <s v="Available"/>
    <m/>
    <x v="1"/>
    <x v="0"/>
    <s v="Karachi"/>
    <n v="3020000539"/>
    <x v="31"/>
    <s v="Dr. Burjor"/>
    <s v=" V28F+QFR, Garden Rd, near Makki Masjid، Preedy Quarters Karachi, Karachi"/>
    <s v="0300-8259525"/>
    <s v="gbanklesaria.nursing.home@gmail.com"/>
    <s v="1539892-7"/>
    <m/>
    <n v="2675000"/>
    <n v="16"/>
    <n v="493226.5"/>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s v="Work load decreased, it is advisable to revist the case"/>
    <s v="Complete workload is on our equipment as they don’t have any back up equipment in their lab. Supplies issue has been resolved now, and business will be improved."/>
    <s v="We've received order of 286,000 in August 2023 "/>
    <s v="Need to revise the business case as per Average Reagent Sales"/>
    <s v="Revised business case has been sent to Mr, Ebad for further approvals"/>
    <s v="Order received for Oct 2023 and its on hold."/>
    <m/>
    <m/>
    <m/>
    <m/>
    <s v="Prices will revies"/>
    <s v="Under discussion on prices, order will receive soon "/>
    <s v="We have submitt prices revision letter, patient volume decressed."/>
    <m/>
    <s v="2nd letter of price revision submitted, with in next 2 weeks will share update on prices revision customer is agreed to increase 10% but we ask for atleast 25% price revision"/>
    <s v="15 % prices has been revised "/>
    <m/>
    <m/>
    <m/>
    <m/>
    <x v="15"/>
    <x v="2"/>
    <n v="1"/>
    <m/>
    <n v="222763.96"/>
    <n v="270400"/>
    <n v="0"/>
    <n v="0"/>
    <n v="629406.82000000007"/>
    <n v="0"/>
    <n v="0"/>
    <n v="0"/>
    <n v="0"/>
    <n v="268415"/>
    <n v="19210"/>
    <n v="90851.82"/>
    <n v="1501047.6"/>
    <n v="0"/>
    <n v="0"/>
    <n v="0"/>
    <n v="0"/>
    <n v="0"/>
    <n v="0"/>
    <n v="0"/>
    <n v="0"/>
    <n v="0"/>
    <n v="0"/>
    <n v="0"/>
    <m/>
    <n v="0"/>
    <m/>
    <m/>
    <m/>
    <n v="0"/>
    <n v="0"/>
    <m/>
    <n v="1501047.6"/>
    <n v="35"/>
    <n v="42887.07428571429"/>
    <n v="2074580.96"/>
    <n v="-450339.42571428569"/>
    <s v="Sales behind track, sales every month"/>
    <n v="-12866.840734693877"/>
    <n v="0.4"/>
    <n v="600419.04"/>
    <n v="0.4"/>
  </r>
  <r>
    <x v="2"/>
    <s v="Vitros ECiQ Immunodiagnostic System"/>
    <n v="15002760"/>
    <s v="Immunoassay"/>
    <n v="3002000036"/>
    <s v="N/A"/>
    <n v="30006300"/>
    <s v="31.07.2023"/>
    <s v="20.10.2022"/>
    <s v="20.10.2022"/>
    <s v="Available"/>
    <m/>
    <x v="0"/>
    <x v="0"/>
    <s v="Karachi"/>
    <n v="3020000547"/>
    <x v="32"/>
    <s v="Dr. Syed Durrani"/>
    <s v="R3P2+Q37, Main Korangi Rd, near Kala Pul، Clifton, Karachi"/>
    <s v="021-35392001-2 / 0300-8255140"/>
    <s v="vmedintertrade@yahoo.com"/>
    <m/>
    <s v="42201-8906429-9"/>
    <n v="9297200"/>
    <n v="35"/>
    <n v="829374"/>
    <m/>
    <m/>
    <s v="Equipment not placed yet, due to unavailability"/>
    <s v="Equipment not placed yet, due to unavailability"/>
    <s v="machine under installation phase "/>
    <m/>
    <s v="machine under installation phase "/>
    <s v="First Reagents order will be issued within September as they are in finalizing stage of tender process"/>
    <s v="Equipment installed, validation done"/>
    <s v="Waiting to receive the PO from Customer end."/>
    <s v="First Order received through Distributor V-MED Inter. (amount: 1,100,000)"/>
    <s v="We'll be receiving continuous order of committed amount"/>
    <m/>
    <m/>
    <m/>
    <m/>
    <s v="last tender was scraped, new tender is awarded First PO is received,"/>
    <m/>
    <s v="Machine installed in Jan 24, first tor run in Jan 2024,  last tender was scraped "/>
    <m/>
    <e v="#REF!"/>
    <m/>
    <m/>
    <s v="no sales in july"/>
    <m/>
    <m/>
    <x v="16"/>
    <x v="15"/>
    <n v="1"/>
    <s v="Placed"/>
    <n v="867000"/>
    <n v="1552000"/>
    <n v="1838173.12"/>
    <n v="0"/>
    <n v="3924900"/>
    <n v="850200"/>
    <n v="0"/>
    <n v="0"/>
    <n v="4129498"/>
    <n v="1860000"/>
    <n v="0"/>
    <n v="3382500"/>
    <n v="18404271.120000001"/>
    <n v="0"/>
    <n v="610087.5"/>
    <n v="0"/>
    <n v="547499.5"/>
    <n v="0"/>
    <n v="22500"/>
    <n v="0"/>
    <n v="0"/>
    <n v="0"/>
    <m/>
    <m/>
    <m/>
    <n v="1180087"/>
    <n v="0"/>
    <n v="0"/>
    <n v="0"/>
    <n v="0"/>
    <n v="0"/>
    <m/>
    <n v="19584358.120000001"/>
    <n v="19"/>
    <n v="1030755.6905263158"/>
    <n v="1463456.7519999994"/>
    <n v="201381.69052631583"/>
    <s v="Sales on track"/>
    <n v="10599.036343490307"/>
    <n v="0.4"/>
    <n v="7833743.2480000006"/>
    <n v="0.35"/>
  </r>
  <r>
    <x v="2"/>
    <s v="Vitros ECiQ Immunodiagnostic System"/>
    <n v="15002760"/>
    <s v="Immunoassay"/>
    <n v="3002000024"/>
    <s v="N/A"/>
    <n v="30006173"/>
    <m/>
    <m/>
    <s v="09.02.2024"/>
    <m/>
    <m/>
    <x v="1"/>
    <x v="0"/>
    <s v="Karachi"/>
    <n v="3020000547"/>
    <x v="33"/>
    <m/>
    <s v="115-C, Commercial Area &quot;B&quot; Near Tooba Masjid, DHA Phase-I Karachi"/>
    <s v="0300-8255140"/>
    <s v="vmedintertrade@yahoo.com"/>
    <s v="1365220-6"/>
    <s v="42201-8906429-9"/>
    <n v="10513266"/>
    <n v="36"/>
    <n v="868556"/>
    <m/>
    <m/>
    <m/>
    <m/>
    <m/>
    <m/>
    <m/>
    <m/>
    <m/>
    <m/>
    <m/>
    <m/>
    <m/>
    <m/>
    <m/>
    <m/>
    <m/>
    <m/>
    <e v="#REF!"/>
    <m/>
    <m/>
    <m/>
    <m/>
    <m/>
    <m/>
    <m/>
    <x v="2"/>
    <x v="2"/>
    <m/>
    <m/>
    <m/>
    <m/>
    <m/>
    <m/>
    <m/>
    <m/>
    <m/>
    <m/>
    <m/>
    <m/>
    <m/>
    <n v="1501170"/>
    <n v="1501170"/>
    <n v="0"/>
    <n v="610087.5"/>
    <n v="0"/>
    <n v="547499.5"/>
    <n v="0"/>
    <n v="22500"/>
    <n v="0"/>
    <m/>
    <m/>
    <m/>
    <m/>
    <m/>
    <n v="1180087"/>
    <m/>
    <m/>
    <m/>
    <n v="0"/>
    <n v="0"/>
    <m/>
    <n v="2681257"/>
    <n v="8"/>
    <n v="335157.125"/>
    <n v="9440763.1999999993"/>
    <n v="-533398.875"/>
    <s v="Sales behind track"/>
    <n v="-66674.859375"/>
    <n v="0.4"/>
    <n v="1072502.8"/>
    <n v="0.4"/>
  </r>
  <r>
    <x v="4"/>
    <s v="STA SATELLITE MAX"/>
    <n v="15003000"/>
    <s v="Coagulation Analyzer"/>
    <n v="3002000102"/>
    <m/>
    <n v="1614"/>
    <m/>
    <m/>
    <s v="14.05.2025"/>
    <m/>
    <m/>
    <x v="0"/>
    <x v="2"/>
    <s v="Islamabad"/>
    <n v="3020000580"/>
    <x v="34"/>
    <m/>
    <m/>
    <m/>
    <m/>
    <m/>
    <m/>
    <n v="3432757"/>
    <n v="36"/>
    <n v="251530"/>
    <m/>
    <m/>
    <m/>
    <m/>
    <m/>
    <m/>
    <m/>
    <m/>
    <m/>
    <m/>
    <m/>
    <m/>
    <m/>
    <m/>
    <m/>
    <m/>
    <m/>
    <m/>
    <m/>
    <m/>
    <m/>
    <m/>
    <m/>
    <m/>
    <m/>
    <m/>
    <x v="14"/>
    <x v="16"/>
    <n v="1"/>
    <s v="Placed"/>
    <m/>
    <m/>
    <m/>
    <m/>
    <m/>
    <m/>
    <m/>
    <m/>
    <m/>
    <m/>
    <m/>
    <m/>
    <n v="0"/>
    <n v="0"/>
    <n v="450910"/>
    <n v="417700"/>
    <n v="0"/>
    <n v="76000"/>
    <n v="289400"/>
    <n v="282000"/>
    <n v="332000"/>
    <n v="0"/>
    <n v="478700"/>
    <n v="105000"/>
    <n v="118700"/>
    <n v="2550410"/>
    <n v="274000"/>
    <n v="160000"/>
    <n v="105000"/>
    <n v="539000"/>
    <n v="206900"/>
    <m/>
    <n v="3089410"/>
    <n v="12"/>
    <n v="257450.83333333334"/>
    <n v="2196993"/>
    <n v="5920.833333333343"/>
    <s v="Sales behind track"/>
    <n v="493.40277777777857"/>
    <n v="0.4"/>
    <n v="1235764"/>
    <n v="0.4"/>
  </r>
  <r>
    <x v="0"/>
    <s v="iFlash 1200"/>
    <n v="15002553"/>
    <s v="Immunoassay"/>
    <m/>
    <m/>
    <s v="ID00176648"/>
    <m/>
    <m/>
    <s v="25.04.2025"/>
    <s v="Available"/>
    <m/>
    <x v="0"/>
    <x v="1"/>
    <s v="Muredke"/>
    <n v="3020000605"/>
    <x v="35"/>
    <s v="N/A"/>
    <s v="EHQ Hospital Road, opposite to baldia office main GT road, kamoki, punjab, Gujranwala"/>
    <s v="0307-7781900"/>
    <s v="aliaslam2420@gmail.com"/>
    <m/>
    <s v="34102-5074342-3"/>
    <n v="2565000"/>
    <n v="29"/>
    <n v="154595"/>
    <m/>
    <m/>
    <m/>
    <m/>
    <m/>
    <m/>
    <m/>
    <m/>
    <m/>
    <m/>
    <m/>
    <m/>
    <m/>
    <m/>
    <m/>
    <m/>
    <m/>
    <m/>
    <m/>
    <m/>
    <m/>
    <m/>
    <m/>
    <m/>
    <m/>
    <m/>
    <x v="17"/>
    <x v="14"/>
    <n v="1"/>
    <s v="Placed"/>
    <m/>
    <m/>
    <m/>
    <m/>
    <m/>
    <m/>
    <m/>
    <m/>
    <m/>
    <m/>
    <m/>
    <m/>
    <n v="0"/>
    <m/>
    <m/>
    <m/>
    <n v="505400"/>
    <n v="0"/>
    <n v="98900"/>
    <n v="48800"/>
    <n v="0"/>
    <n v="-91200"/>
    <m/>
    <m/>
    <n v="97600"/>
    <n v="659500"/>
    <n v="0"/>
    <n v="0"/>
    <n v="212900"/>
    <n v="212900"/>
    <n v="77625"/>
    <m/>
    <n v="872400"/>
    <n v="8"/>
    <n v="109050"/>
    <n v="2216040"/>
    <n v="-45545"/>
    <s v="Sales on track"/>
    <n v="-5693.125"/>
    <n v="0.4"/>
    <n v="348960"/>
    <n v="0.4"/>
  </r>
  <r>
    <x v="7"/>
    <s v="EC90"/>
    <n v="15002674"/>
    <s v="Electrolyte Analyzer"/>
    <n v="3002000103"/>
    <m/>
    <s v="3279-2-202108"/>
    <m/>
    <m/>
    <s v="14.05.2025"/>
    <m/>
    <m/>
    <x v="0"/>
    <x v="1"/>
    <s v="Multan"/>
    <n v="3020000633"/>
    <x v="36"/>
    <s v="Govt. Hospital"/>
    <s v="Farwa Chowk, Abdali road "/>
    <s v="061-9200919"/>
    <s v="N/A"/>
    <s v="9020100-7"/>
    <m/>
    <n v="1170000"/>
    <n v="7"/>
    <n v="358020"/>
    <m/>
    <m/>
    <m/>
    <m/>
    <m/>
    <m/>
    <m/>
    <m/>
    <m/>
    <m/>
    <m/>
    <m/>
    <m/>
    <m/>
    <m/>
    <m/>
    <m/>
    <m/>
    <m/>
    <m/>
    <m/>
    <m/>
    <m/>
    <m/>
    <m/>
    <m/>
    <x v="0"/>
    <x v="17"/>
    <n v="1"/>
    <s v="Placed"/>
    <m/>
    <n v="2164333.5"/>
    <m/>
    <m/>
    <m/>
    <m/>
    <n v="88378.040000000008"/>
    <m/>
    <m/>
    <n v="1874000"/>
    <m/>
    <m/>
    <n v="4126711.54"/>
    <m/>
    <m/>
    <n v="1382075"/>
    <m/>
    <n v="0"/>
    <n v="0"/>
    <n v="1382075"/>
    <n v="0"/>
    <n v="1966982.8"/>
    <m/>
    <m/>
    <m/>
    <n v="4731132.8"/>
    <n v="0"/>
    <n v="1229364.25"/>
    <n v="0"/>
    <n v="1229364.25"/>
    <n v="409788.08333333331"/>
    <s v="Will discuss with Humayun"/>
    <n v="10087208.59"/>
    <n v="37"/>
    <n v="272627.25918918918"/>
    <n v="-2864883.4360000002"/>
    <n v="-85392.740810810821"/>
    <m/>
    <n v="-2307.9119138056981"/>
    <n v="0.4"/>
    <n v="4034883.4360000002"/>
    <n v="0.4"/>
  </r>
  <r>
    <x v="1"/>
    <s v="Selectra Mach 5"/>
    <n v="15002463"/>
    <s v="Clinical Chemistry"/>
    <n v="3002000018"/>
    <s v="N/A"/>
    <s v="22-5026"/>
    <s v="05.09.2022"/>
    <s v="08.26.2022"/>
    <s v="30.08.2022"/>
    <s v="Available"/>
    <m/>
    <x v="0"/>
    <x v="1"/>
    <s v="Multan"/>
    <n v="3020000633"/>
    <x v="36"/>
    <s v="Govt. Hospital"/>
    <s v="Farwa Chowk, Abdali road "/>
    <s v="061-9200919"/>
    <s v="N/A"/>
    <s v="9020100-7"/>
    <m/>
    <n v="4500000"/>
    <n v="11"/>
    <n v="1237668"/>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s v="wil invoice in Q3 &amp; Q4, 4 Mio each"/>
    <s v=" we have receieved an order of 10 million will be invoice in Q3 ,Q4 we will cover our deficit in Q3. Govt institute ."/>
    <s v="Order Recevied "/>
    <s v="4 Million order will be invoice this month "/>
    <m/>
    <m/>
    <m/>
    <m/>
    <m/>
    <m/>
    <s v="Payment issue - Order in hand"/>
    <m/>
    <s v="Sales are on track. 3.8mio order in hand, it will be invoiced."/>
    <m/>
    <s v="Revised case"/>
    <m/>
    <m/>
    <m/>
    <m/>
    <m/>
    <x v="14"/>
    <x v="18"/>
    <n v="1"/>
    <s v="Placed"/>
    <n v="0"/>
    <n v="5613694.8999999994"/>
    <n v="0"/>
    <n v="0"/>
    <n v="0"/>
    <n v="0"/>
    <n v="25423.73"/>
    <n v="0"/>
    <n v="0"/>
    <n v="269359.42"/>
    <n v="1626042.64"/>
    <n v="865180.92999999993"/>
    <n v="8399701.6199999992"/>
    <n v="0"/>
    <n v="0"/>
    <n v="-135593"/>
    <n v="2032892"/>
    <n v="0"/>
    <m/>
    <n v="42553"/>
    <n v="0"/>
    <n v="343605.15"/>
    <m/>
    <n v="3825383"/>
    <m/>
    <n v="6108840.1500000004"/>
    <n v="2118492.66"/>
    <n v="0"/>
    <n v="0"/>
    <n v="2118492.66"/>
    <n v="1485968.915"/>
    <m/>
    <n v="16627034.43"/>
    <n v="36"/>
    <n v="461862.0675"/>
    <n v="-2982165.4934999999"/>
    <n v="-775805.9325"/>
    <s v="Sales behind track"/>
    <n v="-21550.164791666666"/>
    <n v="0.45"/>
    <n v="7482165.4934999999"/>
    <n v="0.45"/>
  </r>
  <r>
    <x v="1"/>
    <s v="Selectra Mach 5"/>
    <n v="15002463"/>
    <s v="Clinical Chemistry"/>
    <m/>
    <m/>
    <m/>
    <m/>
    <m/>
    <s v="27.10.2025"/>
    <m/>
    <m/>
    <x v="2"/>
    <x v="1"/>
    <s v="Multan"/>
    <n v="3020000633"/>
    <x v="37"/>
    <s v="Govt. Hospital"/>
    <s v="Farwa Chowk, Abdali road "/>
    <s v="061-9200919"/>
    <s v="N/A"/>
    <s v="9020100-7"/>
    <m/>
    <n v="7633423"/>
    <n v="38"/>
    <n v="2084692"/>
    <m/>
    <m/>
    <m/>
    <m/>
    <m/>
    <m/>
    <m/>
    <m/>
    <m/>
    <m/>
    <m/>
    <m/>
    <m/>
    <m/>
    <m/>
    <m/>
    <m/>
    <m/>
    <m/>
    <m/>
    <m/>
    <m/>
    <m/>
    <m/>
    <m/>
    <m/>
    <x v="3"/>
    <x v="18"/>
    <m/>
    <s v="Placed"/>
    <m/>
    <m/>
    <m/>
    <m/>
    <m/>
    <m/>
    <m/>
    <m/>
    <m/>
    <m/>
    <m/>
    <m/>
    <n v="0"/>
    <m/>
    <m/>
    <m/>
    <m/>
    <m/>
    <m/>
    <m/>
    <m/>
    <m/>
    <m/>
    <m/>
    <m/>
    <n v="0"/>
    <n v="0"/>
    <n v="0"/>
    <n v="0"/>
    <n v="0"/>
    <n v="0"/>
    <m/>
    <n v="0"/>
    <m/>
    <e v="#DIV/0!"/>
    <m/>
    <e v="#DIV/0!"/>
    <m/>
    <e v="#DIV/0!"/>
    <m/>
    <n v="0"/>
    <n v="0"/>
  </r>
  <r>
    <x v="2"/>
    <s v="Vitros ECiQ Immunodiagnostic System (Refurb)"/>
    <n v="15002760"/>
    <s v="Immunoassay"/>
    <s v="AR # 300401"/>
    <m/>
    <n v="30006408"/>
    <m/>
    <m/>
    <s v="04.06.2025"/>
    <m/>
    <s v="Appropriation request pending issued against B.C"/>
    <x v="0"/>
    <x v="1"/>
    <s v="Mandi Bahauddin"/>
    <n v="3020000645"/>
    <x v="38"/>
    <m/>
    <s v="Ali Imran Waseer Plaza, Phalia Road, Near Safe Way CNG, Punjab"/>
    <s v="0301-3187007"/>
    <s v="mian.muhsaeed@gmail.com"/>
    <s v="4466935-6"/>
    <m/>
    <n v="14396400"/>
    <n v="36"/>
    <n v="984486"/>
    <m/>
    <m/>
    <m/>
    <m/>
    <m/>
    <m/>
    <m/>
    <m/>
    <m/>
    <m/>
    <m/>
    <m/>
    <m/>
    <m/>
    <m/>
    <m/>
    <m/>
    <m/>
    <m/>
    <m/>
    <m/>
    <m/>
    <m/>
    <m/>
    <m/>
    <m/>
    <x v="18"/>
    <x v="19"/>
    <n v="1"/>
    <s v="Not funtional - At customer site"/>
    <m/>
    <m/>
    <m/>
    <m/>
    <m/>
    <m/>
    <m/>
    <m/>
    <m/>
    <m/>
    <m/>
    <m/>
    <n v="0"/>
    <m/>
    <m/>
    <m/>
    <m/>
    <m/>
    <n v="868405"/>
    <n v="817823"/>
    <n v="0"/>
    <n v="0"/>
    <n v="0"/>
    <m/>
    <m/>
    <n v="1686228"/>
    <n v="0"/>
    <n v="0"/>
    <n v="0"/>
    <n v="0"/>
    <n v="0"/>
    <m/>
    <n v="1686228"/>
    <n v="5"/>
    <n v="337245.6"/>
    <n v="13721908.800000001"/>
    <n v="-302952"/>
    <s v="Sales behind track"/>
    <n v="-60590.400000000001"/>
    <n v="0.4"/>
    <n v="674491.20000000007"/>
    <n v="0.4"/>
  </r>
  <r>
    <x v="8"/>
    <s v="Zybio U3600"/>
    <n v="15003367"/>
    <s v="Urine Analyzer"/>
    <m/>
    <m/>
    <n v="324100000639"/>
    <m/>
    <m/>
    <s v="27.05.2025"/>
    <m/>
    <s v="Appropriation request pending issued against B.C"/>
    <x v="0"/>
    <x v="0"/>
    <s v="Karachi"/>
    <n v="3020000647"/>
    <x v="39"/>
    <m/>
    <s v="Plot No Z-482 - 483,  Block 3, Kokan Society, Alamgir Road, Gulshan Town, Sindh"/>
    <s v="0336-2346111"/>
    <s v="amir@alamgirwelfaretrust.com.pk"/>
    <s v="1545651-0"/>
    <m/>
    <n v="3727984"/>
    <n v="36"/>
    <n v="275624"/>
    <m/>
    <m/>
    <m/>
    <m/>
    <m/>
    <m/>
    <m/>
    <m/>
    <m/>
    <m/>
    <m/>
    <m/>
    <m/>
    <m/>
    <m/>
    <m/>
    <m/>
    <m/>
    <m/>
    <m/>
    <m/>
    <m/>
    <m/>
    <m/>
    <m/>
    <m/>
    <x v="14"/>
    <x v="5"/>
    <n v="1"/>
    <s v="Placed"/>
    <m/>
    <m/>
    <m/>
    <m/>
    <m/>
    <m/>
    <m/>
    <m/>
    <m/>
    <m/>
    <m/>
    <m/>
    <n v="0"/>
    <m/>
    <m/>
    <m/>
    <m/>
    <m/>
    <n v="211900"/>
    <n v="166500"/>
    <n v="216000"/>
    <n v="16200"/>
    <n v="77500"/>
    <n v="16400"/>
    <n v="140000"/>
    <n v="844500"/>
    <n v="0"/>
    <n v="0"/>
    <n v="0"/>
    <n v="0"/>
    <n v="38983.333333333336"/>
    <m/>
    <n v="844500"/>
    <n v="8"/>
    <n v="105562.5"/>
    <n v="3390184"/>
    <n v="-170061.5"/>
    <s v="Sales behind track"/>
    <n v="-21257.6875"/>
    <n v="0.4"/>
    <n v="337800"/>
    <n v="0.4"/>
  </r>
  <r>
    <x v="1"/>
    <s v="Selectra Mach 5"/>
    <n v="15002463"/>
    <s v="Clinical Chemistry"/>
    <s v="AR # 300402"/>
    <m/>
    <s v="25-5206"/>
    <m/>
    <m/>
    <s v="12.06.2025"/>
    <m/>
    <m/>
    <x v="0"/>
    <x v="0"/>
    <s v="Karachi"/>
    <n v="3020000664"/>
    <x v="40"/>
    <m/>
    <s v="Quaideen Castle 241, Shah-e-Qaideen PECHS, BLOCK-2, New Allah Wali Chorangi"/>
    <s v="021-34541112/03002266780"/>
    <s v="ceo@nhsdiagnostics.com"/>
    <s v="B134403-6"/>
    <m/>
    <n v="8800000"/>
    <n v="35"/>
    <n v="513512"/>
    <m/>
    <m/>
    <m/>
    <m/>
    <m/>
    <m/>
    <m/>
    <m/>
    <m/>
    <m/>
    <m/>
    <m/>
    <m/>
    <m/>
    <m/>
    <m/>
    <m/>
    <m/>
    <m/>
    <m/>
    <m/>
    <m/>
    <m/>
    <m/>
    <m/>
    <m/>
    <x v="10"/>
    <x v="1"/>
    <n v="1"/>
    <s v="Placed"/>
    <m/>
    <m/>
    <m/>
    <m/>
    <n v="1710000"/>
    <m/>
    <m/>
    <m/>
    <m/>
    <m/>
    <m/>
    <m/>
    <n v="1710000"/>
    <m/>
    <m/>
    <m/>
    <m/>
    <m/>
    <n v="1174394"/>
    <n v="263980"/>
    <n v="0"/>
    <n v="492790"/>
    <m/>
    <m/>
    <n v="191590"/>
    <n v="2122754"/>
    <n v="0"/>
    <n v="180500"/>
    <n v="363600"/>
    <n v="544100"/>
    <n v="183922.5"/>
    <m/>
    <n v="4376854"/>
    <n v="5"/>
    <n v="875370.8"/>
    <n v="6830415.7000000002"/>
    <n v="-1550725"/>
    <s v="Sales behind track"/>
    <n v="-310145"/>
    <n v="0.45"/>
    <n v="1969584.3"/>
    <n v="0.45"/>
  </r>
  <r>
    <x v="2"/>
    <s v="Vitros ECiQ Analyzer"/>
    <n v="15002760"/>
    <s v="Immunoassay"/>
    <s v="AR # 300412"/>
    <m/>
    <n v="30005087"/>
    <m/>
    <m/>
    <s v="19.06.2025"/>
    <m/>
    <m/>
    <x v="0"/>
    <x v="0"/>
    <s v="Karachi"/>
    <n v="3020000664"/>
    <x v="40"/>
    <m/>
    <m/>
    <m/>
    <m/>
    <m/>
    <m/>
    <n v="6938187"/>
    <n v="24"/>
    <n v="618263"/>
    <m/>
    <m/>
    <m/>
    <m/>
    <m/>
    <m/>
    <m/>
    <m/>
    <m/>
    <m/>
    <m/>
    <m/>
    <m/>
    <m/>
    <m/>
    <m/>
    <m/>
    <m/>
    <m/>
    <m/>
    <m/>
    <m/>
    <m/>
    <m/>
    <m/>
    <m/>
    <x v="13"/>
    <x v="20"/>
    <n v="1"/>
    <s v="Placed"/>
    <m/>
    <m/>
    <m/>
    <m/>
    <m/>
    <m/>
    <m/>
    <m/>
    <m/>
    <m/>
    <m/>
    <m/>
    <n v="0"/>
    <m/>
    <m/>
    <m/>
    <m/>
    <m/>
    <m/>
    <n v="951500"/>
    <n v="72600"/>
    <n v="417200"/>
    <n v="109500"/>
    <n v="149200"/>
    <m/>
    <n v="1700000"/>
    <n v="0"/>
    <n v="0"/>
    <n v="0"/>
    <n v="0"/>
    <n v="51740"/>
    <m/>
    <n v="1700000"/>
    <n v="5"/>
    <n v="340000"/>
    <n v="6938187"/>
    <n v="-278263"/>
    <m/>
    <n v="-55652.6"/>
    <m/>
    <n v="0"/>
    <n v="0"/>
  </r>
  <r>
    <x v="8"/>
    <s v="Zybio U3600"/>
    <n v="15003367"/>
    <s v="Urine Analyzer"/>
    <m/>
    <m/>
    <m/>
    <m/>
    <m/>
    <s v="30.09.2025"/>
    <m/>
    <m/>
    <x v="4"/>
    <x v="0"/>
    <s v="Karachi"/>
    <n v="3020000678"/>
    <x v="41"/>
    <m/>
    <m/>
    <m/>
    <m/>
    <m/>
    <m/>
    <n v="4528470"/>
    <n v="36"/>
    <n v="306830"/>
    <m/>
    <m/>
    <m/>
    <m/>
    <m/>
    <m/>
    <m/>
    <m/>
    <m/>
    <m/>
    <m/>
    <m/>
    <m/>
    <m/>
    <m/>
    <m/>
    <m/>
    <m/>
    <m/>
    <m/>
    <m/>
    <m/>
    <m/>
    <m/>
    <m/>
    <m/>
    <x v="14"/>
    <x v="5"/>
    <m/>
    <s v="Placed"/>
    <m/>
    <m/>
    <m/>
    <m/>
    <m/>
    <m/>
    <m/>
    <m/>
    <m/>
    <m/>
    <m/>
    <m/>
    <n v="0"/>
    <m/>
    <m/>
    <m/>
    <m/>
    <m/>
    <m/>
    <m/>
    <m/>
    <n v="299000"/>
    <m/>
    <n v="64500"/>
    <n v="180000"/>
    <n v="543500"/>
    <m/>
    <m/>
    <m/>
    <n v="0"/>
    <n v="122250"/>
    <m/>
    <n v="543500"/>
    <m/>
    <e v="#DIV/0!"/>
    <m/>
    <e v="#DIV/0!"/>
    <m/>
    <e v="#DIV/0!"/>
    <m/>
    <n v="0"/>
    <n v="0"/>
  </r>
  <r>
    <x v="7"/>
    <s v="ECL760 Refurb"/>
    <n v="15002667"/>
    <s v="Coagulation Analyzer"/>
    <n v="3002000040"/>
    <s v="N/A"/>
    <s v="56-71-160517"/>
    <s v="10.02.2023"/>
    <s v="31.10.2023"/>
    <s v="31.10.2023"/>
    <s v="Available"/>
    <m/>
    <x v="1"/>
    <x v="0"/>
    <s v="Karachi"/>
    <n v="3020000692"/>
    <x v="42"/>
    <s v="N/A"/>
    <s v="Sector 48-H, Creek Road, Korangi Creek, Karachi"/>
    <s v="0302-8586998"/>
    <s v="psghospital123@gmail.com"/>
    <s v="7497628-7"/>
    <m/>
    <n v="1375572"/>
    <n v="38"/>
    <n v="134307"/>
    <m/>
    <m/>
    <m/>
    <m/>
    <m/>
    <m/>
    <m/>
    <m/>
    <m/>
    <m/>
    <m/>
    <m/>
    <m/>
    <m/>
    <m/>
    <m/>
    <m/>
    <m/>
    <s v="Price/workload revision - till 15 April 2024"/>
    <m/>
    <s v="New tender prices submitted, technical evaluation of tender is in process. "/>
    <s v="New tender in technical Evalualtion"/>
    <m/>
    <m/>
    <m/>
    <m/>
    <x v="2"/>
    <x v="2"/>
    <m/>
    <m/>
    <n v="0"/>
    <n v="118680"/>
    <n v="0"/>
    <n v="0"/>
    <n v="118390"/>
    <n v="325150"/>
    <n v="0"/>
    <n v="0"/>
    <n v="0"/>
    <n v="0"/>
    <n v="212120"/>
    <n v="0"/>
    <n v="774340"/>
    <n v="0"/>
    <n v="185720"/>
    <n v="0"/>
    <n v="73240"/>
    <n v="0"/>
    <n v="0"/>
    <n v="0"/>
    <n v="0"/>
    <n v="0"/>
    <m/>
    <m/>
    <m/>
    <n v="258960"/>
    <n v="0"/>
    <n v="0"/>
    <m/>
    <n v="0"/>
    <n v="0"/>
    <m/>
    <n v="1033300"/>
    <n v="32"/>
    <n v="32290.625"/>
    <n v="962252"/>
    <n v="-102016.375"/>
    <s v="Sales behind track"/>
    <n v="-3188.01171875"/>
    <n v="0.4"/>
    <n v="413320"/>
    <n v="0.4"/>
  </r>
  <r>
    <x v="1"/>
    <s v="Selectra Mach 5"/>
    <n v="15002463"/>
    <s v="Clinical Chemistry"/>
    <n v="3002000012"/>
    <s v="N/A"/>
    <s v="22-5015"/>
    <s v="28.07.2022"/>
    <s v="06.29.2022"/>
    <s v="07.07.2022"/>
    <s v="Available"/>
    <m/>
    <x v="1"/>
    <x v="0"/>
    <s v="Karachi"/>
    <n v="3020000692"/>
    <x v="42"/>
    <s v="_x000a_Dr. Danish Muhammad Khan"/>
    <s v="Civil Hospital, New Labour Colony Nanakwara, Karachi, Karachi City, Sindh"/>
    <s v="0321-8784310"/>
    <s v="psghospital123@gamil.com"/>
    <s v="7497628-7"/>
    <m/>
    <m/>
    <m/>
    <m/>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ve received order of 233,000 in August 2023 due to workload has been divided between us and ROCHE"/>
    <s v="We've received required spare parts and consumables which will help us to improve our business."/>
    <s v="Machine was under observation from customer "/>
    <s v="Working with customer to get the desired orders as per comittment"/>
    <m/>
    <m/>
    <m/>
    <m/>
    <s v="machine wasnt in Working condition"/>
    <s v="since last month machine is working properply "/>
    <m/>
    <m/>
    <s v="New tender prices submitted, technical evaluation of tender is in process. "/>
    <s v="New tender in technical Evalualtion"/>
    <m/>
    <m/>
    <m/>
    <m/>
    <x v="2"/>
    <x v="2"/>
    <m/>
    <m/>
    <n v="351000"/>
    <n v="309320"/>
    <n v="0"/>
    <n v="0"/>
    <n v="0"/>
    <n v="0"/>
    <n v="0"/>
    <n v="0"/>
    <n v="0"/>
    <n v="0"/>
    <n v="0"/>
    <n v="0"/>
    <n v="660320"/>
    <n v="0"/>
    <n v="398580"/>
    <m/>
    <n v="254800"/>
    <n v="180000"/>
    <n v="555900"/>
    <m/>
    <m/>
    <m/>
    <m/>
    <m/>
    <m/>
    <n v="1389280"/>
    <m/>
    <m/>
    <m/>
    <n v="0"/>
    <n v="0"/>
    <m/>
    <n v="2049600"/>
    <n v="8"/>
    <n v="256200"/>
    <n v="-922320"/>
    <n v="256200"/>
    <s v="Sales on track"/>
    <n v="32025"/>
    <n v="0.45"/>
    <n v="922320"/>
    <n v="0.45"/>
  </r>
  <r>
    <x v="1"/>
    <s v="Selectra Mach 5"/>
    <n v="15002463"/>
    <s v="Clinical Chemistry"/>
    <n v="3002000012"/>
    <s v="N/A"/>
    <s v="22-5015"/>
    <s v="28.07.2022"/>
    <s v="06.29.2022"/>
    <s v="04.04,2024"/>
    <s v="Not Available"/>
    <m/>
    <x v="5"/>
    <x v="0"/>
    <s v="Karachi"/>
    <n v="3020000692"/>
    <x v="42"/>
    <s v="_x000a_Dr. Danish Muhammad Khan"/>
    <s v="Civil Hospital, New Labour Colony Nanakwara, Karachi, Karachi City, Sindh"/>
    <s v="0321-8784310"/>
    <s v="psghospital123@gamil.com"/>
    <s v="7497628-7"/>
    <m/>
    <n v="4500000"/>
    <n v="37"/>
    <n v="385623"/>
    <m/>
    <m/>
    <m/>
    <m/>
    <m/>
    <m/>
    <m/>
    <m/>
    <m/>
    <m/>
    <m/>
    <m/>
    <m/>
    <m/>
    <m/>
    <m/>
    <m/>
    <m/>
    <m/>
    <m/>
    <m/>
    <s v="New tender in technical Evalualtion"/>
    <m/>
    <s v="No sales in June and July"/>
    <m/>
    <m/>
    <x v="10"/>
    <x v="21"/>
    <n v="1"/>
    <s v="Placed"/>
    <n v="351000"/>
    <n v="309320"/>
    <n v="0"/>
    <n v="0"/>
    <n v="561500"/>
    <n v="0"/>
    <n v="0"/>
    <n v="433030"/>
    <n v="0"/>
    <n v="47600"/>
    <n v="0"/>
    <n v="291590"/>
    <n v="1994040"/>
    <n v="0"/>
    <n v="398580"/>
    <n v="0"/>
    <n v="254800"/>
    <n v="180000"/>
    <n v="555900"/>
    <n v="0"/>
    <n v="444470"/>
    <n v="114800"/>
    <n v="440940"/>
    <m/>
    <n v="372653"/>
    <n v="2762143"/>
    <n v="165400"/>
    <n v="0"/>
    <n v="0"/>
    <n v="165400"/>
    <n v="195798.6"/>
    <m/>
    <n v="4921583"/>
    <n v="21"/>
    <n v="234361.09523809524"/>
    <n v="2285287.65"/>
    <n v="-151261.90476190476"/>
    <s v="Sales on track"/>
    <n v="-7202.9478458049889"/>
    <n v="0.45"/>
    <n v="2214712.35"/>
    <n v="0.45"/>
  </r>
  <r>
    <x v="1"/>
    <s v="Selectra Mach 5"/>
    <n v="15002463"/>
    <s v="Clinical Chemistry"/>
    <n v="3002000011"/>
    <m/>
    <s v="22-5016"/>
    <s v="14.06.2022"/>
    <s v="04.01.2022"/>
    <s v="15.06.2022"/>
    <s v="Available"/>
    <m/>
    <x v="1"/>
    <x v="0"/>
    <s v="Karachi"/>
    <n v="3020000701"/>
    <x v="43"/>
    <s v="Government"/>
    <s v="M. T. Building, Head Office Karachi"/>
    <s v="0334-1047293"/>
    <s v="sanzsoomro34@gmail.com"/>
    <s v="0803450-8"/>
    <s v="-"/>
    <n v="4500000"/>
    <n v="12"/>
    <n v="761989"/>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s v="Machine is out of order"/>
    <s v="Now machine is fixed after the visit of Elitech Team and business will be improved."/>
    <s v="Machine was out of order and now has been installed and validation has been performed."/>
    <s v="Working with customer to get the PO."/>
    <s v="We've received order of 365,000 in Sep 2023 "/>
    <s v="Order value will increase gradually based on equipment proper functioning"/>
    <m/>
    <m/>
    <m/>
    <m/>
    <s v="machine wasnt in Working condition"/>
    <s v="since last month machine is working properply "/>
    <s v="Problem with machines. Now new business case will be prepared"/>
    <m/>
    <s v="New business case submitted for approval, due to machine problem."/>
    <s v="new tender with new prices has been submitted, under technical evaluation"/>
    <m/>
    <s v="The machine is still there and one of its part is required.that part is in import will bw delievered soon"/>
    <m/>
    <m/>
    <x v="2"/>
    <x v="2"/>
    <m/>
    <m/>
    <m/>
    <m/>
    <m/>
    <m/>
    <m/>
    <m/>
    <m/>
    <m/>
    <m/>
    <m/>
    <m/>
    <m/>
    <n v="0"/>
    <m/>
    <m/>
    <m/>
    <m/>
    <m/>
    <m/>
    <m/>
    <m/>
    <m/>
    <m/>
    <m/>
    <m/>
    <n v="0"/>
    <m/>
    <m/>
    <m/>
    <n v="0"/>
    <n v="0"/>
    <s v="Machine will be pulled back, Not returned yet"/>
    <n v="0"/>
    <n v="26"/>
    <n v="0"/>
    <n v="4500000"/>
    <n v="-761989"/>
    <s v="No sales after Oct-23"/>
    <n v="-29307.26923076923"/>
    <n v="0.45"/>
    <n v="0"/>
    <n v="0.45"/>
  </r>
  <r>
    <x v="7"/>
    <s v="Laura XL"/>
    <n v="15002673"/>
    <s v="Urine Analyzer"/>
    <n v="3002000061"/>
    <s v="N/A"/>
    <s v="27-x2-130818"/>
    <m/>
    <s v="21.11.2023"/>
    <s v="29.02.2024"/>
    <s v="Available"/>
    <m/>
    <x v="1"/>
    <x v="1"/>
    <s v="Faisalabad"/>
    <n v="3020000719"/>
    <x v="44"/>
    <s v="Government Institution"/>
    <s v="Sargodha Road, Faisalabad"/>
    <s v="041-9201517"/>
    <s v="ms.ic.fsd@punjab.gov.pk"/>
    <s v="9020773-1"/>
    <m/>
    <n v="3409283"/>
    <n v="13"/>
    <n v="393750"/>
    <m/>
    <m/>
    <m/>
    <m/>
    <m/>
    <m/>
    <m/>
    <m/>
    <m/>
    <m/>
    <m/>
    <m/>
    <m/>
    <m/>
    <m/>
    <m/>
    <m/>
    <m/>
    <m/>
    <m/>
    <m/>
    <m/>
    <m/>
    <m/>
    <m/>
    <m/>
    <x v="19"/>
    <x v="2"/>
    <m/>
    <s v="Placed"/>
    <m/>
    <n v="787500"/>
    <n v="787500"/>
    <n v="0"/>
    <n v="0"/>
    <n v="0"/>
    <n v="0"/>
    <n v="0"/>
    <n v="0"/>
    <n v="0"/>
    <n v="0"/>
    <n v="0"/>
    <n v="1575000"/>
    <n v="0"/>
    <n v="0"/>
    <n v="0"/>
    <n v="0"/>
    <n v="0"/>
    <n v="0"/>
    <n v="0"/>
    <n v="0"/>
    <m/>
    <m/>
    <m/>
    <m/>
    <n v="0"/>
    <m/>
    <m/>
    <m/>
    <n v="0"/>
    <n v="0"/>
    <s v="this machine will be replaced by demo 8800050621 serial no 0031-x2-230818/in working condition"/>
    <n v="1575000"/>
    <n v="17"/>
    <n v="92647.058823529413"/>
    <n v="2779283"/>
    <n v="-301102.9411764706"/>
    <s v="Sales behind track"/>
    <n v="-17711.937716262975"/>
    <n v="0.4"/>
    <n v="630000"/>
    <n v="0.4"/>
  </r>
  <r>
    <x v="7"/>
    <s v="Laura XL"/>
    <n v="15002673"/>
    <s v="Urine Analyzer"/>
    <n v="3002000077"/>
    <s v="N/A"/>
    <s v="39-X2-100918"/>
    <s v="29.09.2023"/>
    <s v="24.10.2023"/>
    <s v="24.10.2023"/>
    <s v="In process"/>
    <m/>
    <x v="0"/>
    <x v="0"/>
    <s v="Karachi"/>
    <n v="3020000734"/>
    <x v="45"/>
    <s v="N/A"/>
    <s v="Hyder Buksh Gabol Road,Safora Chowrangi,Karachi"/>
    <s v="0345-2411026, 081-2664461"/>
    <s v="saifur.rehman@mhef.edu.pk"/>
    <s v="1414406-9"/>
    <m/>
    <n v="3393744"/>
    <n v="37"/>
    <n v="469938"/>
    <m/>
    <m/>
    <m/>
    <m/>
    <m/>
    <m/>
    <m/>
    <m/>
    <m/>
    <m/>
    <m/>
    <m/>
    <m/>
    <m/>
    <m/>
    <m/>
    <s v="supplies isnt avaiable "/>
    <s v="PO pending is in hand  0.2 M order in Hand "/>
    <s v="Six month machine was not operational. Now it is operational and sales will increase in two months time"/>
    <m/>
    <m/>
    <m/>
    <m/>
    <m/>
    <m/>
    <m/>
    <x v="10"/>
    <x v="1"/>
    <m/>
    <s v="Placed"/>
    <n v="411080"/>
    <n v="347580"/>
    <n v="436720"/>
    <n v="0"/>
    <n v="347580"/>
    <n v="0"/>
    <n v="264220"/>
    <n v="146220"/>
    <n v="0"/>
    <n v="156500"/>
    <n v="183000"/>
    <n v="335000.8"/>
    <n v="2627900.7999999998"/>
    <n v="83360"/>
    <n v="298656"/>
    <n v="282609"/>
    <n v="0"/>
    <n v="189351.6"/>
    <n v="496284"/>
    <n v="365316"/>
    <n v="328566"/>
    <n v="432881"/>
    <m/>
    <n v="335396"/>
    <m/>
    <n v="2812419.6"/>
    <n v="165306"/>
    <n v="243590"/>
    <n v="158203.20000000001"/>
    <n v="567099.19999999995"/>
    <n v="225623.8"/>
    <m/>
    <n v="6007419.6000000006"/>
    <n v="35"/>
    <n v="171640.56000000003"/>
    <n v="990776.15999999968"/>
    <n v="-298297.43999999994"/>
    <s v="Sales behind track"/>
    <n v="-8522.7839999999978"/>
    <n v="0.4"/>
    <n v="2402967.8400000003"/>
    <n v="0.4"/>
  </r>
  <r>
    <x v="1"/>
    <s v="Selectra Mach 5"/>
    <n v="15002463"/>
    <s v="Clinical Chemistry"/>
    <s v="AR # 300236"/>
    <m/>
    <s v="24-5006"/>
    <m/>
    <m/>
    <s v="2.10.2025"/>
    <m/>
    <m/>
    <x v="0"/>
    <x v="1"/>
    <s v="Lahore"/>
    <n v="3020000736"/>
    <x v="46"/>
    <m/>
    <s v="opp eye ward, Mayo Hospital Rd, data ganj buksh town lahore"/>
    <s v="0345-0439404"/>
    <s v="info@kemu.edu.pk"/>
    <s v="9021032-8"/>
    <m/>
    <n v="7091000"/>
    <n v="37"/>
    <n v="510888"/>
    <m/>
    <m/>
    <m/>
    <m/>
    <m/>
    <m/>
    <m/>
    <m/>
    <m/>
    <m/>
    <m/>
    <m/>
    <m/>
    <m/>
    <m/>
    <m/>
    <m/>
    <m/>
    <m/>
    <m/>
    <m/>
    <m/>
    <m/>
    <m/>
    <m/>
    <m/>
    <x v="0"/>
    <x v="22"/>
    <n v="1"/>
    <s v="Placed"/>
    <m/>
    <m/>
    <m/>
    <m/>
    <m/>
    <m/>
    <m/>
    <m/>
    <m/>
    <m/>
    <m/>
    <m/>
    <n v="0"/>
    <n v="3051906"/>
    <n v="0"/>
    <n v="8509108"/>
    <n v="0"/>
    <n v="0"/>
    <n v="0"/>
    <n v="0"/>
    <n v="0"/>
    <n v="0"/>
    <n v="0"/>
    <n v="0"/>
    <m/>
    <n v="11561014"/>
    <n v="0"/>
    <n v="0"/>
    <n v="0"/>
    <n v="0"/>
    <n v="0"/>
    <m/>
    <n v="11561014"/>
    <n v="9"/>
    <n v="1284557.111111111"/>
    <n v="1888543.7000000002"/>
    <n v="773669.11111111101"/>
    <s v="Sales on track "/>
    <n v="85963.234567901221"/>
    <n v="0.45"/>
    <n v="5202456.3"/>
    <n v="0.45"/>
  </r>
  <r>
    <x v="3"/>
    <s v="Swelab Alfa Plus Standard"/>
    <n v="15001967"/>
    <s v="Hematology"/>
    <s v="AR # 300235"/>
    <m/>
    <n v="123216"/>
    <m/>
    <m/>
    <s v="10.02.2025"/>
    <m/>
    <m/>
    <x v="0"/>
    <x v="1"/>
    <s v="Lahore"/>
    <n v="3020000736"/>
    <x v="46"/>
    <m/>
    <s v="opp eye ward, Mayo Hospital Rd, data ganj buksh town lahore"/>
    <s v="0345-0439404"/>
    <s v="info@kemu.edu.pk"/>
    <s v="9021032-8"/>
    <m/>
    <n v="1197250"/>
    <n v="29"/>
    <n v="247788"/>
    <m/>
    <m/>
    <m/>
    <m/>
    <m/>
    <m/>
    <m/>
    <m/>
    <m/>
    <m/>
    <m/>
    <m/>
    <m/>
    <m/>
    <m/>
    <m/>
    <m/>
    <m/>
    <m/>
    <m/>
    <m/>
    <m/>
    <m/>
    <m/>
    <m/>
    <m/>
    <x v="14"/>
    <x v="22"/>
    <n v="1"/>
    <s v="Placed"/>
    <m/>
    <m/>
    <m/>
    <m/>
    <m/>
    <m/>
    <m/>
    <m/>
    <m/>
    <m/>
    <m/>
    <m/>
    <n v="0"/>
    <n v="2973746"/>
    <n v="0"/>
    <n v="0"/>
    <n v="0"/>
    <n v="0"/>
    <n v="0"/>
    <n v="0"/>
    <n v="0"/>
    <n v="0"/>
    <n v="0"/>
    <n v="0"/>
    <n v="0"/>
    <n v="2973746"/>
    <n v="0"/>
    <n v="0"/>
    <n v="0"/>
    <n v="0"/>
    <n v="0"/>
    <m/>
    <n v="2973746"/>
    <n v="9"/>
    <n v="330416.22222222225"/>
    <n v="7751.5999999998603"/>
    <n v="82628.222222222248"/>
    <s v="Sales on track "/>
    <n v="9180.9135802469173"/>
    <n v="0.4"/>
    <n v="1189498.4000000001"/>
    <n v="0.4"/>
  </r>
  <r>
    <x v="3"/>
    <s v="Swelab Alfa Plus Standard"/>
    <n v="15001967"/>
    <s v="Hematology "/>
    <s v="AR # 300406"/>
    <m/>
    <n v="125199"/>
    <m/>
    <m/>
    <s v="19.08.2025"/>
    <m/>
    <s v="backup"/>
    <x v="2"/>
    <x v="1"/>
    <s v="Lahore"/>
    <n v="3020000736"/>
    <x v="46"/>
    <m/>
    <m/>
    <m/>
    <m/>
    <m/>
    <m/>
    <n v="1197250"/>
    <n v="37"/>
    <n v="217071"/>
    <m/>
    <m/>
    <m/>
    <m/>
    <m/>
    <m/>
    <m/>
    <m/>
    <m/>
    <m/>
    <m/>
    <m/>
    <m/>
    <m/>
    <m/>
    <m/>
    <m/>
    <m/>
    <m/>
    <m/>
    <m/>
    <m/>
    <m/>
    <m/>
    <m/>
    <m/>
    <x v="3"/>
    <x v="22"/>
    <n v="1"/>
    <s v="Placed"/>
    <m/>
    <m/>
    <m/>
    <m/>
    <m/>
    <m/>
    <m/>
    <m/>
    <m/>
    <m/>
    <m/>
    <m/>
    <n v="0"/>
    <m/>
    <m/>
    <m/>
    <m/>
    <m/>
    <m/>
    <m/>
    <m/>
    <m/>
    <m/>
    <m/>
    <m/>
    <n v="0"/>
    <n v="0"/>
    <n v="0"/>
    <n v="0"/>
    <n v="0"/>
    <n v="0"/>
    <m/>
    <n v="0"/>
    <m/>
    <e v="#DIV/0!"/>
    <m/>
    <e v="#DIV/0!"/>
    <m/>
    <e v="#DIV/0!"/>
    <m/>
    <n v="0"/>
    <n v="0"/>
  </r>
  <r>
    <x v="3"/>
    <s v="Swelab Alfa Plus Standard"/>
    <n v="15001967"/>
    <s v="Hematology"/>
    <n v="3002000095"/>
    <m/>
    <n v="123220"/>
    <m/>
    <m/>
    <s v="25.04.2025"/>
    <s v="Not Available"/>
    <m/>
    <x v="0"/>
    <x v="1"/>
    <s v="Faisalabad"/>
    <n v="3020000753"/>
    <x v="47"/>
    <s v="N/A"/>
    <s v="GC university jhung road, new campus punjab, Faisalabad"/>
    <s v="041-9203055"/>
    <s v="chfsdpk@gmail.com"/>
    <s v="9020784-3"/>
    <m/>
    <n v="1000000"/>
    <n v="27"/>
    <n v="60135"/>
    <m/>
    <m/>
    <m/>
    <m/>
    <m/>
    <m/>
    <m/>
    <m/>
    <m/>
    <m/>
    <m/>
    <m/>
    <m/>
    <m/>
    <m/>
    <m/>
    <m/>
    <m/>
    <m/>
    <m/>
    <m/>
    <m/>
    <m/>
    <m/>
    <m/>
    <m/>
    <x v="13"/>
    <x v="14"/>
    <n v="1"/>
    <s v="Placed"/>
    <m/>
    <m/>
    <m/>
    <m/>
    <m/>
    <m/>
    <m/>
    <m/>
    <m/>
    <m/>
    <n v="343814"/>
    <m/>
    <n v="343814"/>
    <n v="687627"/>
    <n v="0"/>
    <n v="0"/>
    <n v="311017"/>
    <n v="0"/>
    <n v="0"/>
    <n v="212627.11"/>
    <n v="0"/>
    <n v="0"/>
    <m/>
    <m/>
    <m/>
    <n v="1211271.1099999999"/>
    <n v="0"/>
    <n v="0"/>
    <n v="0"/>
    <n v="0"/>
    <n v="0"/>
    <m/>
    <n v="1555085.1099999999"/>
    <n v="11"/>
    <n v="141371.37363636363"/>
    <n v="377965.95600000001"/>
    <n v="81236.373636363627"/>
    <s v="Sales on track"/>
    <n v="7385.1248760330573"/>
    <n v="0.4"/>
    <n v="622034.04399999999"/>
    <n v="0.4"/>
  </r>
  <r>
    <x v="0"/>
    <s v="iFlash 1200"/>
    <n v="15002553"/>
    <s v="Immunoassay"/>
    <s v="AR # 300294"/>
    <s v="Transferred from demo"/>
    <s v="ID00152044"/>
    <m/>
    <m/>
    <s v="26.03.2025"/>
    <m/>
    <m/>
    <x v="0"/>
    <x v="2"/>
    <s v="Rawalpindi"/>
    <n v="3020000764"/>
    <x v="48"/>
    <m/>
    <s v="Kashmir Gate Plaza Opp, Benazir Bhutto Hospital Murree Road, Punjab"/>
    <s v="0321-5330543 &amp; 051-4455204"/>
    <s v="dmadeemikram@gmail.com"/>
    <m/>
    <s v="37405-8526258-7"/>
    <n v="2915000"/>
    <n v="32"/>
    <n v="305347"/>
    <m/>
    <m/>
    <m/>
    <m/>
    <m/>
    <m/>
    <m/>
    <m/>
    <m/>
    <m/>
    <m/>
    <m/>
    <m/>
    <m/>
    <m/>
    <m/>
    <m/>
    <m/>
    <m/>
    <m/>
    <m/>
    <m/>
    <m/>
    <m/>
    <m/>
    <m/>
    <x v="20"/>
    <x v="23"/>
    <n v="1"/>
    <s v="Placed"/>
    <m/>
    <m/>
    <m/>
    <m/>
    <m/>
    <m/>
    <m/>
    <m/>
    <m/>
    <m/>
    <m/>
    <m/>
    <n v="0"/>
    <n v="248200"/>
    <n v="76800"/>
    <n v="332400"/>
    <n v="0"/>
    <n v="0"/>
    <n v="184400"/>
    <n v="129400"/>
    <n v="0"/>
    <n v="179500"/>
    <n v="17500"/>
    <n v="75800"/>
    <n v="348380"/>
    <n v="1592380"/>
    <n v="0"/>
    <n v="0"/>
    <n v="0"/>
    <n v="0"/>
    <n v="73613.333333333328"/>
    <m/>
    <n v="1592380"/>
    <n v="15"/>
    <n v="106158.66666666667"/>
    <n v="2278048"/>
    <n v="-1222032.6666666667"/>
    <s v="Sales behind track"/>
    <n v="-81468.844444444447"/>
    <n v="0.4"/>
    <n v="636952"/>
    <n v="0.4"/>
  </r>
  <r>
    <x v="2"/>
    <s v="Vitros 3600"/>
    <n v="15002758"/>
    <s v="Immunoassay"/>
    <n v="3002000026"/>
    <s v="N/A"/>
    <n v="36001150"/>
    <s v="17.05.2023"/>
    <s v="13.04.2023"/>
    <s v="13.04.2023"/>
    <s v="Available"/>
    <m/>
    <x v="6"/>
    <x v="1"/>
    <s v="Lahore"/>
    <n v="3020000771"/>
    <x v="49"/>
    <s v="Govt. Hospital_x0009_"/>
    <s v="Ferozepur Road, Lahore"/>
    <s v="042-99230312"/>
    <s v="gulabdevi@hotmail.com"/>
    <s v="4022666-2"/>
    <m/>
    <n v="16350883"/>
    <n v="28"/>
    <n v="1316953"/>
    <m/>
    <m/>
    <m/>
    <m/>
    <s v="stock unavailable"/>
    <m/>
    <s v="stock unavailable"/>
    <s v="Due to stocks issue instrument is working at low volume . Customer will shift the maximum workload once shipment arrived . In Q4 we will cover the deficit "/>
    <s v="Waiting for Inventory &amp; then invoice execution "/>
    <m/>
    <s v="New PO has been generated ,waiting for shipment "/>
    <s v="Waiting for Invoice "/>
    <m/>
    <s v="Waiting for Invoice "/>
    <s v="One po is in proceeded and waiting for another new order"/>
    <m/>
    <m/>
    <m/>
    <s v="we are re-negotiating the contract - going to place vitros ECIQ due to multiple issues with vitros 3600 "/>
    <m/>
    <s v="Revised case"/>
    <m/>
    <m/>
    <m/>
    <m/>
    <m/>
    <x v="21"/>
    <x v="2"/>
    <m/>
    <s v="Closed"/>
    <n v="173231"/>
    <n v="154319"/>
    <n v="0"/>
    <n v="474372"/>
    <n v="0"/>
    <n v="0"/>
    <n v="83518"/>
    <n v="207188"/>
    <n v="329913"/>
    <n v="0"/>
    <n v="223703"/>
    <n v="267777"/>
    <n v="1914021"/>
    <n v="0"/>
    <n v="-114525"/>
    <n v="-376955"/>
    <n v="0"/>
    <n v="0"/>
    <n v="0"/>
    <n v="0"/>
    <n v="0"/>
    <n v="0"/>
    <n v="0"/>
    <m/>
    <m/>
    <n v="-491480"/>
    <m/>
    <m/>
    <m/>
    <n v="0"/>
    <n v="0"/>
    <m/>
    <n v="1422541"/>
    <n v="26"/>
    <n v="54713.115384615383"/>
    <n v="15781866.6"/>
    <n v="-1262239.8846153845"/>
    <s v="Sales behind track"/>
    <n v="-48547.687869822483"/>
    <n v="0.4"/>
    <n v="569016.4"/>
    <n v="0.35"/>
  </r>
  <r>
    <x v="0"/>
    <s v="iFlash 1200"/>
    <n v="15002553"/>
    <s v="Immunoassay"/>
    <n v="3002000106"/>
    <s v="Transferred from demo"/>
    <s v="ID00175547"/>
    <m/>
    <m/>
    <s v="13.05.2025"/>
    <m/>
    <m/>
    <x v="0"/>
    <x v="1"/>
    <s v="Lahore"/>
    <n v="3020000771"/>
    <x v="50"/>
    <m/>
    <s v="Near Children Hospital Ferozepur Road, Punjab"/>
    <s v="0345-4281596 &amp; 042-99230247"/>
    <s v="gulabdevi@hotmail.com"/>
    <s v="4022666-2"/>
    <m/>
    <n v="2615000"/>
    <n v="36"/>
    <n v="124814"/>
    <m/>
    <m/>
    <m/>
    <m/>
    <m/>
    <m/>
    <m/>
    <m/>
    <m/>
    <m/>
    <m/>
    <m/>
    <m/>
    <m/>
    <m/>
    <m/>
    <m/>
    <m/>
    <m/>
    <m/>
    <m/>
    <m/>
    <m/>
    <m/>
    <m/>
    <m/>
    <x v="0"/>
    <x v="3"/>
    <n v="1"/>
    <s v="Placed"/>
    <m/>
    <m/>
    <m/>
    <m/>
    <m/>
    <m/>
    <m/>
    <m/>
    <m/>
    <m/>
    <m/>
    <m/>
    <n v="0"/>
    <m/>
    <m/>
    <m/>
    <m/>
    <n v="527997"/>
    <n v="0"/>
    <n v="0"/>
    <n v="411462"/>
    <n v="0"/>
    <m/>
    <n v="328080"/>
    <m/>
    <n v="1267539"/>
    <n v="337476"/>
    <n v="0"/>
    <n v="0"/>
    <n v="337476"/>
    <n v="166389"/>
    <m/>
    <n v="1605015"/>
    <n v="8"/>
    <n v="200626.875"/>
    <n v="1972994"/>
    <n v="-404240"/>
    <s v="Sales behind track"/>
    <n v="-50530"/>
    <n v="0.4"/>
    <n v="642006"/>
    <n v="0.4"/>
  </r>
  <r>
    <x v="7"/>
    <s v="Laura XL"/>
    <n v="15002673"/>
    <s v="Urine Analyzer"/>
    <n v="3002000030"/>
    <s v="N/A"/>
    <s v="0034-X2-230818"/>
    <s v="29.05.2023"/>
    <s v="30.03.2023"/>
    <s v="19.05.2023"/>
    <s v="Available"/>
    <m/>
    <x v="1"/>
    <x v="1"/>
    <s v="Lahore"/>
    <n v="3020000776"/>
    <x v="51"/>
    <s v="Dr. Zeenat Hussain"/>
    <s v="34-Lawrence Road, Lahore"/>
    <s v="042-35912882"/>
    <s v="zeenatlaboratory@gmail.com_x0009_"/>
    <s v="2302878-5"/>
    <m/>
    <n v="2500000"/>
    <n v="13"/>
    <n v="643570"/>
    <m/>
    <m/>
    <m/>
    <m/>
    <s v="stock unavailable"/>
    <m/>
    <s v="stock unavailable"/>
    <s v="Due to stocks issue instrument is working at low volume . Customer will shift the maximum workload once shipment arrived . In Q4 we will cover the deficit "/>
    <s v="Business is not as per comitment "/>
    <s v="Going to return the equipment in this month "/>
    <m/>
    <m/>
    <m/>
    <m/>
    <m/>
    <m/>
    <m/>
    <m/>
    <s v="Lab has been closed due to poor health of Dr. Zeenat. Machine will be pulled back within April"/>
    <m/>
    <s v="Returned to Warehouse "/>
    <m/>
    <m/>
    <s v="No sales after may 23"/>
    <m/>
    <m/>
    <x v="2"/>
    <x v="2"/>
    <m/>
    <m/>
    <m/>
    <m/>
    <m/>
    <m/>
    <n v="0"/>
    <m/>
    <m/>
    <m/>
    <m/>
    <m/>
    <m/>
    <m/>
    <n v="0"/>
    <m/>
    <m/>
    <m/>
    <m/>
    <m/>
    <m/>
    <m/>
    <m/>
    <m/>
    <m/>
    <m/>
    <m/>
    <n v="0"/>
    <m/>
    <m/>
    <m/>
    <n v="0"/>
    <n v="0"/>
    <s v="pulled back due to a fault. Placed at lahore warehouse"/>
    <n v="0"/>
    <n v="12"/>
    <n v="0"/>
    <n v="2500000"/>
    <n v="-643570"/>
    <s v="Sales behind track ( No sales after May 2023)"/>
    <n v="-53630.833333333336"/>
    <n v="0.4"/>
    <n v="0"/>
    <n v="0.4"/>
  </r>
  <r>
    <x v="7"/>
    <s v="EC90"/>
    <n v="15002674"/>
    <s v="Electrolyte Analyzer"/>
    <m/>
    <m/>
    <m/>
    <m/>
    <m/>
    <s v="12.09.2025"/>
    <m/>
    <m/>
    <x v="0"/>
    <x v="0"/>
    <s v="Karachi"/>
    <n v="3020000811"/>
    <x v="52"/>
    <m/>
    <m/>
    <m/>
    <m/>
    <m/>
    <m/>
    <n v="593821"/>
    <n v="18"/>
    <n v="80770"/>
    <m/>
    <m/>
    <m/>
    <m/>
    <m/>
    <m/>
    <m/>
    <m/>
    <m/>
    <m/>
    <m/>
    <m/>
    <m/>
    <m/>
    <m/>
    <m/>
    <m/>
    <m/>
    <m/>
    <m/>
    <m/>
    <m/>
    <m/>
    <m/>
    <m/>
    <m/>
    <x v="22"/>
    <x v="24"/>
    <n v="1"/>
    <m/>
    <m/>
    <m/>
    <m/>
    <m/>
    <m/>
    <m/>
    <m/>
    <m/>
    <m/>
    <m/>
    <m/>
    <m/>
    <n v="0"/>
    <m/>
    <m/>
    <m/>
    <m/>
    <m/>
    <m/>
    <m/>
    <m/>
    <n v="112700"/>
    <m/>
    <m/>
    <m/>
    <n v="112700"/>
    <n v="0"/>
    <n v="0"/>
    <n v="0"/>
    <n v="0"/>
    <n v="0"/>
    <m/>
    <n v="112700"/>
    <n v="4"/>
    <n v="28175"/>
    <m/>
    <n v="-52595"/>
    <m/>
    <n v="-13148.75"/>
    <m/>
    <n v="0"/>
    <n v="0"/>
  </r>
  <r>
    <x v="7"/>
    <s v="Laura Semi Automatic"/>
    <n v="15002671"/>
    <s v="Urine Analyzer"/>
    <m/>
    <m/>
    <m/>
    <m/>
    <m/>
    <s v="12.09.2025"/>
    <m/>
    <m/>
    <x v="0"/>
    <x v="0"/>
    <s v="Karachi"/>
    <n v="3020000811"/>
    <x v="52"/>
    <m/>
    <m/>
    <m/>
    <m/>
    <m/>
    <m/>
    <n v="401644"/>
    <n v="18"/>
    <n v="42750"/>
    <m/>
    <m/>
    <m/>
    <m/>
    <m/>
    <m/>
    <m/>
    <m/>
    <m/>
    <m/>
    <m/>
    <m/>
    <m/>
    <m/>
    <m/>
    <m/>
    <m/>
    <m/>
    <m/>
    <m/>
    <m/>
    <m/>
    <m/>
    <m/>
    <m/>
    <m/>
    <x v="10"/>
    <x v="25"/>
    <n v="1"/>
    <s v="Placed"/>
    <m/>
    <m/>
    <m/>
    <m/>
    <m/>
    <m/>
    <m/>
    <m/>
    <m/>
    <m/>
    <m/>
    <m/>
    <n v="0"/>
    <m/>
    <m/>
    <m/>
    <m/>
    <m/>
    <m/>
    <m/>
    <m/>
    <n v="29500"/>
    <m/>
    <n v="20000"/>
    <m/>
    <n v="49500"/>
    <n v="0"/>
    <n v="0"/>
    <n v="0"/>
    <n v="0"/>
    <n v="5000"/>
    <m/>
    <n v="49500"/>
    <n v="5"/>
    <n v="9900"/>
    <m/>
    <n v="-32850"/>
    <m/>
    <n v="-6570"/>
    <m/>
    <n v="0"/>
    <n v="0"/>
  </r>
  <r>
    <x v="4"/>
    <s v="START MAX"/>
    <n v="15003000"/>
    <s v="coagulation"/>
    <m/>
    <m/>
    <m/>
    <m/>
    <m/>
    <s v="12.09.2025"/>
    <m/>
    <m/>
    <x v="1"/>
    <x v="0"/>
    <s v="Karachi"/>
    <n v="3020000811"/>
    <x v="52"/>
    <m/>
    <m/>
    <m/>
    <m/>
    <m/>
    <m/>
    <n v="823735"/>
    <n v="17"/>
    <n v="114156"/>
    <m/>
    <m/>
    <m/>
    <m/>
    <m/>
    <m/>
    <m/>
    <m/>
    <m/>
    <m/>
    <m/>
    <m/>
    <m/>
    <m/>
    <m/>
    <m/>
    <m/>
    <m/>
    <m/>
    <m/>
    <m/>
    <m/>
    <m/>
    <m/>
    <m/>
    <m/>
    <x v="23"/>
    <x v="2"/>
    <m/>
    <m/>
    <m/>
    <m/>
    <m/>
    <m/>
    <m/>
    <m/>
    <m/>
    <m/>
    <m/>
    <m/>
    <m/>
    <m/>
    <n v="0"/>
    <m/>
    <m/>
    <m/>
    <m/>
    <m/>
    <m/>
    <m/>
    <m/>
    <n v="187800"/>
    <n v="28500"/>
    <m/>
    <m/>
    <n v="216300"/>
    <m/>
    <m/>
    <m/>
    <n v="0"/>
    <n v="28500"/>
    <m/>
    <n v="216300"/>
    <n v="4"/>
    <n v="54075"/>
    <m/>
    <n v="-60081"/>
    <m/>
    <n v="-15020.25"/>
    <m/>
    <n v="0"/>
    <n v="0"/>
  </r>
  <r>
    <x v="0"/>
    <s v="iFlash 1200"/>
    <n v="15002553"/>
    <s v="Immunoassay"/>
    <n v="3002000029"/>
    <s v="N/A"/>
    <s v="ID00030225"/>
    <s v="27.01.2023"/>
    <s v="01.11.2023"/>
    <s v="27.02.2023"/>
    <s v="Available"/>
    <m/>
    <x v="0"/>
    <x v="1"/>
    <s v="Lahore"/>
    <n v="3020000816"/>
    <x v="53"/>
    <s v="Dr. Anwar Masood"/>
    <s v="99-Garden Block, Garden Town, Lahore"/>
    <s v="042-111627663"/>
    <s v="info@masoodhospital.com"/>
    <s v="1520150-3"/>
    <m/>
    <n v="1962000"/>
    <n v="10"/>
    <n v="458397"/>
    <m/>
    <m/>
    <s v="Sales on track"/>
    <s v="Stock unavailable, although invoiced "/>
    <s v="stock unavailable"/>
    <s v="0.5 Mio invioce has been recieved in july "/>
    <s v="LC delay, Order invoiced in August worth 0.8 Mio"/>
    <s v=" They have Started Infectious panel on Iflash .It will significanly impact our Sales in Q4 we will not only cover the gap but surpass the comitment ."/>
    <s v="600,000 order Received "/>
    <s v="Started new parameters businesss gap will be mitigate in next three months "/>
    <m/>
    <m/>
    <m/>
    <m/>
    <m/>
    <m/>
    <m/>
    <m/>
    <s v="Sales are on track"/>
    <m/>
    <m/>
    <m/>
    <m/>
    <m/>
    <m/>
    <m/>
    <x v="24"/>
    <x v="26"/>
    <n v="1"/>
    <s v="Placed"/>
    <n v="138967.22"/>
    <n v="548950.83000000007"/>
    <n v="135622.95000000001"/>
    <n v="473500"/>
    <n v="99000"/>
    <n v="513500"/>
    <n v="290983.63"/>
    <n v="76229.52"/>
    <n v="696041.02"/>
    <n v="485140"/>
    <n v="0"/>
    <n v="428696.75"/>
    <n v="3886631.92"/>
    <n v="403811.49999999994"/>
    <n v="0"/>
    <n v="449950.73"/>
    <n v="567279"/>
    <n v="0"/>
    <n v="49500"/>
    <n v="0"/>
    <n v="258483.59"/>
    <n v="0"/>
    <n v="87516"/>
    <n v="57000"/>
    <m/>
    <n v="1873540.82"/>
    <n v="21000"/>
    <n v="79754"/>
    <m/>
    <n v="100754"/>
    <n v="61317.5"/>
    <m/>
    <n v="5860926.7400000002"/>
    <n v="34"/>
    <n v="172380.19823529411"/>
    <n v="-382370.696"/>
    <n v="-286016.80176470592"/>
    <s v="Sales behind track"/>
    <n v="-8412.2588754325261"/>
    <n v="0.4"/>
    <n v="2344370.696"/>
    <n v="0.4"/>
  </r>
  <r>
    <x v="6"/>
    <s v="Nova Prime CCS"/>
    <n v="15002705"/>
    <s v="Arterial Blood Gas Analyzer"/>
    <s v="AR # 300287"/>
    <m/>
    <s v="P079240350C"/>
    <m/>
    <m/>
    <s v="14.05.2025"/>
    <m/>
    <m/>
    <x v="0"/>
    <x v="1"/>
    <s v="Lahore"/>
    <n v="3020000823"/>
    <x v="54"/>
    <m/>
    <s v="Band road, GT road, bhurki road link, Jallo more, Punjab"/>
    <s v="0304-4029935"/>
    <s v="hr@ghurkitrust.org.pk"/>
    <s v="1801763-7"/>
    <m/>
    <n v="2164000"/>
    <n v="27"/>
    <n v="292900"/>
    <m/>
    <m/>
    <m/>
    <m/>
    <m/>
    <m/>
    <m/>
    <m/>
    <m/>
    <m/>
    <m/>
    <m/>
    <m/>
    <m/>
    <m/>
    <m/>
    <m/>
    <m/>
    <m/>
    <m/>
    <m/>
    <m/>
    <m/>
    <m/>
    <m/>
    <m/>
    <x v="10"/>
    <x v="27"/>
    <n v="1"/>
    <s v="Placed"/>
    <m/>
    <m/>
    <m/>
    <m/>
    <m/>
    <m/>
    <m/>
    <m/>
    <m/>
    <m/>
    <m/>
    <m/>
    <n v="0"/>
    <m/>
    <m/>
    <m/>
    <m/>
    <n v="0"/>
    <n v="382700"/>
    <n v="0"/>
    <n v="247700"/>
    <n v="495400"/>
    <m/>
    <n v="357700"/>
    <n v="135000"/>
    <n v="1618500"/>
    <n v="225400"/>
    <n v="0"/>
    <n v="247700"/>
    <n v="473100"/>
    <n v="193160"/>
    <m/>
    <n v="2091600"/>
    <n v="8"/>
    <n v="261450"/>
    <n v="1641100"/>
    <n v="-31450"/>
    <s v="Sales on track"/>
    <n v="-3931.25"/>
    <n v="0.25"/>
    <n v="522900"/>
    <n v="0.25"/>
  </r>
  <r>
    <x v="5"/>
    <s v="DYMIND DH-76"/>
    <n v="15003243"/>
    <s v="Hematology "/>
    <n v="3002000094"/>
    <m/>
    <s v="DM11052408003"/>
    <m/>
    <s v="12.07.2024"/>
    <s v="4.25.2025"/>
    <s v="Available"/>
    <m/>
    <x v="4"/>
    <x v="1"/>
    <s v="Lahore"/>
    <n v="3020000823"/>
    <x v="54"/>
    <m/>
    <s v="Band road, GT road, bhurki road link, Jallo more, Punjab"/>
    <s v="0304-4029935"/>
    <s v="hr@ghurkitrust.org.pk"/>
    <s v="1801763-7"/>
    <m/>
    <n v="2324427"/>
    <n v="18"/>
    <n v="166828"/>
    <m/>
    <m/>
    <m/>
    <m/>
    <m/>
    <m/>
    <m/>
    <m/>
    <m/>
    <m/>
    <m/>
    <m/>
    <m/>
    <m/>
    <m/>
    <m/>
    <m/>
    <m/>
    <e v="#N/A"/>
    <m/>
    <m/>
    <m/>
    <m/>
    <m/>
    <m/>
    <m/>
    <x v="7"/>
    <x v="28"/>
    <m/>
    <s v="Placed"/>
    <m/>
    <m/>
    <m/>
    <m/>
    <m/>
    <m/>
    <m/>
    <n v="88500"/>
    <n v="0"/>
    <n v="91500"/>
    <n v="0"/>
    <n v="115500"/>
    <n v="295500"/>
    <n v="0"/>
    <n v="0"/>
    <n v="0"/>
    <n v="0"/>
    <n v="0"/>
    <n v="0"/>
    <n v="0"/>
    <n v="0"/>
    <n v="0"/>
    <m/>
    <m/>
    <m/>
    <n v="0"/>
    <m/>
    <m/>
    <m/>
    <n v="0"/>
    <n v="0"/>
    <m/>
    <n v="295500"/>
    <n v="13"/>
    <n v="22730.76923076923"/>
    <n v="2206227"/>
    <n v="-144097.23076923078"/>
    <s v="Sales behind track"/>
    <n v="-11084.402366863906"/>
    <n v="0.4"/>
    <n v="118200"/>
    <n v="0.4"/>
  </r>
  <r>
    <x v="4"/>
    <s v="STA SATELLITE MAX"/>
    <n v="15003000"/>
    <s v="Coagulation Analyzer"/>
    <n v="3002000069"/>
    <m/>
    <n v="1588"/>
    <m/>
    <m/>
    <s v="05.01.2024"/>
    <s v="Available"/>
    <m/>
    <x v="0"/>
    <x v="0"/>
    <s v="Karachi"/>
    <n v="3020000845"/>
    <x v="55"/>
    <m/>
    <s v="Rafique Shaheed Road, Near Jinnah Post Graduate Medical Center Karachi"/>
    <s v="0308-2343292,  021-99201261"/>
    <s v="sairaerum696@gmail.com"/>
    <s v="9031234-4"/>
    <m/>
    <n v="5459835"/>
    <n v="37"/>
    <n v="742864"/>
    <m/>
    <m/>
    <m/>
    <m/>
    <m/>
    <m/>
    <m/>
    <m/>
    <m/>
    <m/>
    <m/>
    <m/>
    <m/>
    <m/>
    <m/>
    <m/>
    <m/>
    <m/>
    <e v="#N/A"/>
    <m/>
    <m/>
    <m/>
    <m/>
    <s v="Will be placed"/>
    <m/>
    <m/>
    <x v="0"/>
    <x v="29"/>
    <n v="1"/>
    <s v="Placed"/>
    <m/>
    <m/>
    <m/>
    <m/>
    <m/>
    <m/>
    <m/>
    <m/>
    <m/>
    <n v="479000"/>
    <n v="0"/>
    <n v="977400"/>
    <n v="1456400"/>
    <n v="0"/>
    <n v="0"/>
    <n v="673200"/>
    <n v="0"/>
    <n v="852100"/>
    <n v="0"/>
    <n v="1357800"/>
    <n v="-160800"/>
    <n v="0"/>
    <m/>
    <m/>
    <n v="5229900"/>
    <n v="7952200"/>
    <n v="0"/>
    <n v="0"/>
    <n v="0"/>
    <n v="0"/>
    <n v="1307475"/>
    <m/>
    <n v="9408600"/>
    <n v="13"/>
    <n v="723738.4615384615"/>
    <n v="1696395"/>
    <n v="-19125.538461538497"/>
    <s v="Sales behind track"/>
    <n v="-1471.1952662721922"/>
    <n v="0.4"/>
    <n v="3763440"/>
    <n v="0.4"/>
  </r>
  <r>
    <x v="6"/>
    <s v="Nova Prime CSS"/>
    <n v="15002705"/>
    <s v="Arterial Blood Gas Analyzer"/>
    <n v="3002000079"/>
    <m/>
    <s v="P072230210C"/>
    <m/>
    <m/>
    <s v="27.08.2024"/>
    <s v="Not Available"/>
    <m/>
    <x v="0"/>
    <x v="2"/>
    <s v="Islamabad"/>
    <n v="3020000881"/>
    <x v="56"/>
    <m/>
    <s v="Main Murree Road, 17 Mile, Barakahu, Capital Territory Islamabad"/>
    <s v="051-8153000, 0333-5233390"/>
    <s v="shafique.abbasi@imdcollege.edu.pk"/>
    <s v="4694571-5"/>
    <s v="N/A"/>
    <n v="2120000"/>
    <n v="28"/>
    <n v="270000"/>
    <m/>
    <m/>
    <m/>
    <m/>
    <m/>
    <m/>
    <m/>
    <m/>
    <m/>
    <m/>
    <m/>
    <m/>
    <m/>
    <m/>
    <m/>
    <m/>
    <m/>
    <m/>
    <e v="#N/A"/>
    <m/>
    <m/>
    <m/>
    <m/>
    <m/>
    <m/>
    <m/>
    <x v="14"/>
    <x v="30"/>
    <n v="1"/>
    <s v="Placed"/>
    <m/>
    <m/>
    <m/>
    <m/>
    <m/>
    <m/>
    <m/>
    <m/>
    <m/>
    <m/>
    <n v="270000"/>
    <n v="100000"/>
    <n v="370000"/>
    <n v="710000"/>
    <n v="270000"/>
    <n v="0"/>
    <n v="0"/>
    <n v="0"/>
    <n v="345000"/>
    <n v="270000"/>
    <n v="270000"/>
    <n v="270000"/>
    <m/>
    <m/>
    <n v="569000"/>
    <n v="2704000"/>
    <n v="0"/>
    <n v="170000"/>
    <m/>
    <n v="170000"/>
    <n v="246333.33333333334"/>
    <m/>
    <n v="3244000"/>
    <n v="12"/>
    <n v="270333.33333333331"/>
    <n v="1309000"/>
    <n v="333.33333333331393"/>
    <s v="Sales behind track"/>
    <n v="27.777777777776162"/>
    <n v="0.25"/>
    <n v="811000"/>
    <n v="0.25"/>
  </r>
  <r>
    <x v="4"/>
    <s v="STA SATELLITE MAX"/>
    <n v="15003000"/>
    <s v="Coagulation Analyzer"/>
    <n v="3002000101"/>
    <m/>
    <n v="1613"/>
    <m/>
    <m/>
    <s v="14.05.2025"/>
    <m/>
    <m/>
    <x v="0"/>
    <x v="2"/>
    <s v="Islamabad"/>
    <n v="3020000881"/>
    <x v="56"/>
    <m/>
    <s v="Main Murree Road, 17 Mile, Barakahu, Capital Territory Islamabad"/>
    <s v="051-8153000, 0333-5233390"/>
    <s v="shafique.abbasi@imdcollege.edu.pk"/>
    <s v="4694571-5"/>
    <s v="N/A"/>
    <n v="3592655"/>
    <n v="36"/>
    <n v="314974"/>
    <m/>
    <m/>
    <m/>
    <m/>
    <m/>
    <m/>
    <m/>
    <m/>
    <m/>
    <m/>
    <m/>
    <m/>
    <m/>
    <m/>
    <m/>
    <m/>
    <m/>
    <m/>
    <m/>
    <m/>
    <m/>
    <m/>
    <m/>
    <m/>
    <m/>
    <m/>
    <x v="0"/>
    <x v="31"/>
    <n v="1"/>
    <s v="Placed"/>
    <m/>
    <m/>
    <m/>
    <m/>
    <m/>
    <m/>
    <m/>
    <m/>
    <m/>
    <m/>
    <m/>
    <n v="234200"/>
    <n v="234200"/>
    <n v="470800"/>
    <n v="1920800"/>
    <n v="0"/>
    <n v="0"/>
    <n v="0"/>
    <n v="393800"/>
    <n v="309500"/>
    <n v="455500"/>
    <n v="0"/>
    <n v="0"/>
    <m/>
    <n v="206000"/>
    <n v="3756400"/>
    <n v="0"/>
    <n v="189000"/>
    <m/>
    <n v="189000"/>
    <n v="98750"/>
    <m/>
    <n v="4179600"/>
    <n v="12"/>
    <n v="348300"/>
    <n v="1920815"/>
    <n v="33326"/>
    <s v="Sales on track"/>
    <n v="2777.1666666666665"/>
    <n v="0.4"/>
    <n v="1671840"/>
    <n v="0.4"/>
  </r>
  <r>
    <x v="0"/>
    <s v="iFlash 1200"/>
    <n v="15002553"/>
    <s v="Immunoassay"/>
    <n v="3002000013"/>
    <s v="Machine has been returned from KKF to warehouse against asset # 3002000013 on dated 27.11.2023"/>
    <s v="ID00026724"/>
    <s v="12.08.2022"/>
    <s v="27.07.2022"/>
    <s v="08.05.2022"/>
    <s v="Available"/>
    <m/>
    <x v="1"/>
    <x v="0"/>
    <s v="Karachi"/>
    <n v="3020000888"/>
    <x v="57"/>
    <s v="Masood Ahmed Khan"/>
    <s v="179, C.P. &amp; Berar Society Cp &amp; Berar Chs, Karachi, Karachi City, Sindh"/>
    <s v="N/A"/>
    <s v="medciagnostic19@gmail.com"/>
    <s v="0944239-1"/>
    <m/>
    <n v="1700000"/>
    <n v="6"/>
    <n v="786668.28"/>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s v="machine was taken back &amp; placed at KKF first week of August"/>
    <s v="We've decided to pull back our equipment and it'll be placed to another customer (KKF Blood Bank - Karachi). Business Case will be submitted to get approval."/>
    <s v="machine has been pulled back"/>
    <m/>
    <m/>
    <m/>
    <m/>
    <m/>
    <m/>
    <m/>
    <s v="Machine Move to Quetta"/>
    <s v="Machine Move to Quetta yaseen Hospital "/>
    <s v="Business case revision to be submitted"/>
    <m/>
    <s v="This machine was pullback and business case in under process, will be installed in quetta."/>
    <m/>
    <m/>
    <m/>
    <m/>
    <m/>
    <x v="2"/>
    <x v="2"/>
    <m/>
    <m/>
    <m/>
    <m/>
    <m/>
    <m/>
    <m/>
    <m/>
    <m/>
    <m/>
    <m/>
    <m/>
    <m/>
    <m/>
    <n v="0"/>
    <m/>
    <m/>
    <m/>
    <m/>
    <m/>
    <m/>
    <m/>
    <m/>
    <m/>
    <m/>
    <n v="0"/>
    <m/>
    <n v="0"/>
    <m/>
    <m/>
    <m/>
    <n v="0"/>
    <n v="0"/>
    <s v="Closed - No sales after Aug 23"/>
    <n v="0"/>
    <n v="1"/>
    <n v="0"/>
    <n v="1700000"/>
    <n v="-786668.28"/>
    <s v="Sales behind track ( No sales after Aug)"/>
    <n v="-786668.28"/>
    <n v="0.4"/>
    <n v="0"/>
    <n v="0.4"/>
  </r>
  <r>
    <x v="2"/>
    <s v="Vitros ECiQ Immunodiagnostic System"/>
    <n v="15002760"/>
    <s v="Immunoassay"/>
    <n v="3002000024"/>
    <s v="N/A"/>
    <n v="30006173"/>
    <s v="01.06.2023"/>
    <s v="12.12.2022"/>
    <s v="12.12.2022"/>
    <s v="Available"/>
    <m/>
    <x v="1"/>
    <x v="0"/>
    <s v="Karachi"/>
    <n v="3020000888"/>
    <x v="58"/>
    <s v="Dr. Sheikh Abdul Ahad"/>
    <s v="St-7,Block 14,F.B Area Gulberg, Karachi"/>
    <s v="021-36323839 / 021-111222553"/>
    <s v="Not Available"/>
    <s v="4315201-5"/>
    <m/>
    <n v="9297200"/>
    <n v="31"/>
    <n v="967223"/>
    <m/>
    <m/>
    <s v="Reagents Not available"/>
    <s v="Partial items received, already processed the orders"/>
    <s v="machine out of order"/>
    <m/>
    <s v="LC delay, Order invoiced in August worth 0.8 Mio"/>
    <s v=" They have Started Infectious panel on Iflash .It will significanly impact our Sales in Q4 we will not only cover the gap but surpass the comitment ."/>
    <s v="Equipment has been functional now."/>
    <s v="Waiting to receive the PO on new prices"/>
    <s v="Revised business case has been sent to Mr, Irfan for further approvals"/>
    <s v="Order received for Sep 2023 and its on hold."/>
    <m/>
    <m/>
    <m/>
    <m/>
    <s v="M"/>
    <s v="Machine was not opperational 3 months"/>
    <s v="Business case submitted, machine was not operational due to parts arount 6 months."/>
    <m/>
    <s v="Order received, from next month customer is commited to give business of 0.7-0.8M otherwis will increase prices. right now due to non avaiablty of reagent we didnt fullfill complete PO/"/>
    <s v="Sales will be on track in coming 2 months"/>
    <m/>
    <s v="no sales in june july"/>
    <m/>
    <m/>
    <x v="2"/>
    <x v="2"/>
    <m/>
    <m/>
    <n v="422557.39"/>
    <m/>
    <m/>
    <n v="422557.39"/>
    <n v="585934.43000000005"/>
    <m/>
    <m/>
    <m/>
    <m/>
    <m/>
    <m/>
    <m/>
    <n v="1431049.21"/>
    <m/>
    <m/>
    <m/>
    <m/>
    <m/>
    <m/>
    <m/>
    <m/>
    <m/>
    <m/>
    <m/>
    <m/>
    <n v="0"/>
    <m/>
    <m/>
    <m/>
    <n v="0"/>
    <n v="0"/>
    <s v="its in warehouse"/>
    <n v="1431049.21"/>
    <n v="19"/>
    <n v="75318.37947368421"/>
    <n v="8724780.3159999996"/>
    <n v="-891904.62052631576"/>
    <s v="Sales behind track"/>
    <n v="-46942.348448753459"/>
    <n v="0.4"/>
    <n v="572419.68400000001"/>
    <n v="0.35"/>
  </r>
  <r>
    <x v="0"/>
    <s v="iFlash 1200"/>
    <n v="15002553"/>
    <s v="Immunoassay"/>
    <n v="3002000060"/>
    <s v="N/A"/>
    <s v="ID00081331"/>
    <s v="13.02.2024 "/>
    <s v="Not mentioned on the agreement "/>
    <s v="02.02.2024"/>
    <s v="Not Available"/>
    <m/>
    <x v="1"/>
    <x v="0"/>
    <s v="Karachi"/>
    <n v="3020000917"/>
    <x v="59"/>
    <m/>
    <s v="Diagnostic &amp; Research Laboratory Near Civil Hospital Hirabad,HYD Sindh Jamshoro"/>
    <s v="0334-0020341"/>
    <s v="fehandio@gmail.com"/>
    <s v="9030415-2"/>
    <m/>
    <n v="2868545"/>
    <n v="19"/>
    <n v="702513"/>
    <m/>
    <m/>
    <m/>
    <m/>
    <m/>
    <m/>
    <m/>
    <m/>
    <m/>
    <m/>
    <m/>
    <m/>
    <m/>
    <m/>
    <m/>
    <m/>
    <m/>
    <m/>
    <m/>
    <m/>
    <s v="Machine was installed in feb, work load totally shifted on iflash, sales will increase by the time "/>
    <m/>
    <m/>
    <m/>
    <m/>
    <m/>
    <x v="13"/>
    <x v="2"/>
    <n v="1"/>
    <s v="Placed"/>
    <m/>
    <m/>
    <n v="655500"/>
    <n v="20900"/>
    <n v="17711.87"/>
    <n v="25000"/>
    <n v="90400"/>
    <n v="19800"/>
    <n v="0"/>
    <n v="68000"/>
    <n v="0"/>
    <n v="586800"/>
    <n v="1484111.87"/>
    <n v="0"/>
    <n v="79200"/>
    <n v="0"/>
    <n v="0"/>
    <n v="0"/>
    <n v="0"/>
    <n v="0"/>
    <n v="0"/>
    <n v="0"/>
    <m/>
    <n v="0"/>
    <m/>
    <n v="79200"/>
    <m/>
    <n v="79200"/>
    <m/>
    <n v="79200"/>
    <n v="39600"/>
    <m/>
    <n v="1642511.87"/>
    <n v="17"/>
    <n v="96618.345294117651"/>
    <n v="2211540.2519999999"/>
    <n v="-605894.65470588231"/>
    <s v="Sales behind track"/>
    <n v="-35640.862041522487"/>
    <n v="0.4"/>
    <n v="657004.74800000014"/>
    <n v="0.4"/>
  </r>
  <r>
    <x v="1"/>
    <s v="Selectra PRO M Lite"/>
    <n v="15002128"/>
    <s v="Clinical Chemistry"/>
    <s v="AR#300091"/>
    <m/>
    <m/>
    <m/>
    <s v="30.08.2023"/>
    <s v="16.02.2024"/>
    <s v="Not Available"/>
    <m/>
    <x v="1"/>
    <x v="0"/>
    <s v="larkana/hyderabad"/>
    <n v="3020000917"/>
    <x v="59"/>
    <s v="Ikram Hujjan"/>
    <s v="VIP Road Larkana"/>
    <s v="0334-0020341"/>
    <s v="fehandio@gmail.com"/>
    <s v="9030415-2"/>
    <m/>
    <n v="4499722"/>
    <n v="36"/>
    <n v="399013"/>
    <m/>
    <m/>
    <m/>
    <m/>
    <m/>
    <m/>
    <m/>
    <m/>
    <m/>
    <m/>
    <m/>
    <m/>
    <m/>
    <m/>
    <m/>
    <m/>
    <m/>
    <m/>
    <s v="Price/workload revision - till 15 April 2024"/>
    <m/>
    <m/>
    <s v="Order was hold due to payment issue, this is direct customer. by next 2 months sales will be on track"/>
    <m/>
    <m/>
    <m/>
    <m/>
    <x v="2"/>
    <x v="2"/>
    <m/>
    <m/>
    <m/>
    <m/>
    <n v="616700"/>
    <n v="0"/>
    <n v="681360"/>
    <n v="193000"/>
    <n v="50000"/>
    <n v="0"/>
    <n v="0"/>
    <n v="0"/>
    <n v="0"/>
    <n v="0"/>
    <n v="1541060"/>
    <n v="0"/>
    <n v="0"/>
    <n v="0"/>
    <n v="0"/>
    <n v="0"/>
    <n v="0"/>
    <n v="0"/>
    <n v="0"/>
    <n v="0"/>
    <m/>
    <m/>
    <m/>
    <n v="0"/>
    <n v="0"/>
    <m/>
    <m/>
    <n v="0"/>
    <n v="0"/>
    <s v="Without informing, machine is placed at another lab but a/c to them its not in use"/>
    <n v="1541060"/>
    <n v="15"/>
    <n v="102737.33333333333"/>
    <n v="3806245"/>
    <n v="-296275.66666666669"/>
    <s v="Sales behind track"/>
    <n v="-19751.711111111112"/>
    <n v="0.45"/>
    <n v="693477"/>
    <n v="0.35"/>
  </r>
  <r>
    <x v="2"/>
    <s v="Vitros 3600"/>
    <n v="15002758"/>
    <s v="Immunoassay"/>
    <n v="3002000027"/>
    <s v="N/A"/>
    <n v="36001565"/>
    <s v="05.05.2023"/>
    <s v="17.04.2023"/>
    <s v="17.04.2023"/>
    <s v="Available"/>
    <m/>
    <x v="1"/>
    <x v="0"/>
    <s v="Dadu"/>
    <n v="3020000917"/>
    <x v="60"/>
    <s v="N/A"/>
    <s v="Liaqat University of Medical &amp; Health (Jamshoro)"/>
    <s v="0334-0020341"/>
    <s v="fehandio@gmail.com"/>
    <s v="9030415-2"/>
    <m/>
    <n v="16350883"/>
    <n v="29"/>
    <n v="1477881"/>
    <m/>
    <m/>
    <m/>
    <m/>
    <s v="on track "/>
    <m/>
    <s v="deficit will cover in upcoming months"/>
    <s v="They've to comsume remaining reagents of ROCHE, so they are dividing the load. In coming months, deficit will be covered once ROCHE kits has been finished."/>
    <s v="No order received in August 2023"/>
    <s v="Working with customer to get the PO to cover the deficit of August 2023"/>
    <s v="No Orders received in Sep 2023"/>
    <s v="Following up for Over due payments before getting their order"/>
    <m/>
    <m/>
    <m/>
    <m/>
    <s v="Due payment issues"/>
    <s v=" Working to get all over due payment and new PO will process"/>
    <s v="Price revision within April 2024"/>
    <m/>
    <s v="Prices revision in discussion, machine isnt in opertational condiation due to hardware issues."/>
    <m/>
    <m/>
    <s v="no sales in july"/>
    <m/>
    <m/>
    <x v="2"/>
    <x v="2"/>
    <m/>
    <m/>
    <n v="823288.59"/>
    <n v="0"/>
    <n v="743994.95"/>
    <n v="607700"/>
    <n v="1827500"/>
    <n v="22100"/>
    <n v="0"/>
    <n v="1505200"/>
    <n v="0"/>
    <n v="0"/>
    <n v="1092300"/>
    <n v="299700"/>
    <n v="6921783.54"/>
    <n v="0"/>
    <n v="441000"/>
    <n v="0"/>
    <n v="0"/>
    <m/>
    <m/>
    <m/>
    <m/>
    <m/>
    <m/>
    <m/>
    <m/>
    <n v="441000"/>
    <m/>
    <m/>
    <m/>
    <n v="0"/>
    <n v="0"/>
    <m/>
    <n v="7362783.54"/>
    <n v="17"/>
    <n v="433104.91411764704"/>
    <n v="13405769.583999999"/>
    <n v="-1044776.0858823529"/>
    <s v="Sales behind track"/>
    <n v="-61457.416816608995"/>
    <n v="0.4"/>
    <n v="2945113.4160000002"/>
    <n v="0.35"/>
  </r>
  <r>
    <x v="2"/>
    <s v="Vitros 3600"/>
    <n v="15002758"/>
    <s v="Immunoassay"/>
    <n v="3002000027"/>
    <s v="N/A"/>
    <n v="36001565"/>
    <m/>
    <m/>
    <s v="25.04.2025"/>
    <s v="Available"/>
    <m/>
    <x v="5"/>
    <x v="0"/>
    <s v="Dadu"/>
    <n v="3020000917"/>
    <x v="60"/>
    <s v="N/A"/>
    <s v="Liaqat University of Medical &amp; Health (Jamshoro)"/>
    <s v="0334-0020341"/>
    <s v="fehandio@gmail.com"/>
    <s v="9030415-2"/>
    <m/>
    <n v="16465883"/>
    <n v="60"/>
    <n v="864628"/>
    <m/>
    <m/>
    <m/>
    <m/>
    <m/>
    <m/>
    <m/>
    <m/>
    <m/>
    <m/>
    <m/>
    <m/>
    <m/>
    <m/>
    <m/>
    <m/>
    <m/>
    <m/>
    <m/>
    <m/>
    <m/>
    <m/>
    <m/>
    <m/>
    <m/>
    <m/>
    <x v="13"/>
    <x v="32"/>
    <n v="1"/>
    <s v="Placed"/>
    <n v="823288.59"/>
    <n v="0"/>
    <n v="743994.95"/>
    <n v="607700"/>
    <n v="1827500"/>
    <n v="22100"/>
    <n v="0"/>
    <n v="1505200"/>
    <n v="0"/>
    <n v="0"/>
    <n v="1092300"/>
    <n v="299700"/>
    <n v="6921783.54"/>
    <n v="0"/>
    <n v="441000"/>
    <n v="0"/>
    <n v="0"/>
    <n v="0"/>
    <n v="0"/>
    <n v="0"/>
    <n v="0"/>
    <n v="0"/>
    <n v="0"/>
    <n v="0"/>
    <m/>
    <n v="441000"/>
    <n v="0"/>
    <n v="0"/>
    <n v="0"/>
    <n v="0"/>
    <n v="0"/>
    <m/>
    <n v="7362783.54"/>
    <n v="20"/>
    <n v="368139.17700000003"/>
    <n v="13520769.583999999"/>
    <n v="-496488.82299999997"/>
    <s v="Sales behind track"/>
    <n v="-24824.441149999999"/>
    <n v="0.4"/>
    <n v="2945113.4160000002"/>
    <n v="0.4"/>
  </r>
  <r>
    <x v="2"/>
    <s v="Vitros ECiQ"/>
    <n v="15002759"/>
    <s v="Immunoassay"/>
    <n v="3002000087"/>
    <m/>
    <n v="30006188"/>
    <m/>
    <d v="2023-12-15T00:00:00"/>
    <s v="2.10.2025"/>
    <s v="Available"/>
    <m/>
    <x v="0"/>
    <x v="2"/>
    <s v="Islamabad"/>
    <n v="3020000936"/>
    <x v="61"/>
    <m/>
    <s v="Off 06,2nd Floor Waqar Centre, Canning Road, Saddar, Rawalpindi"/>
    <s v="051-5120050/5521248, 0333-5720322"/>
    <s v="magmapk@yahoo.com"/>
    <m/>
    <s v="35302-1882668-3"/>
    <n v="6818058"/>
    <n v="36"/>
    <n v="392516"/>
    <m/>
    <m/>
    <m/>
    <m/>
    <m/>
    <m/>
    <m/>
    <m/>
    <m/>
    <m/>
    <m/>
    <m/>
    <m/>
    <m/>
    <m/>
    <m/>
    <m/>
    <m/>
    <m/>
    <m/>
    <m/>
    <m/>
    <m/>
    <m/>
    <m/>
    <m/>
    <x v="0"/>
    <x v="33"/>
    <n v="1"/>
    <s v="Placed"/>
    <n v="955655"/>
    <n v="0"/>
    <n v="61560"/>
    <n v="880770"/>
    <n v="0"/>
    <n v="123080"/>
    <n v="188785"/>
    <n v="0"/>
    <n v="504101"/>
    <n v="573549"/>
    <n v="472661"/>
    <n v="1172180"/>
    <n v="4932341"/>
    <n v="0"/>
    <n v="571455"/>
    <n v="0"/>
    <n v="500320"/>
    <n v="1132725"/>
    <n v="1368005"/>
    <n v="895385"/>
    <n v="481310"/>
    <n v="15980"/>
    <n v="58140"/>
    <m/>
    <m/>
    <n v="5023320"/>
    <n v="511332"/>
    <n v="544884"/>
    <n v="245254"/>
    <n v="1301470"/>
    <n v="339902.5"/>
    <m/>
    <n v="11257131"/>
    <n v="27"/>
    <n v="416930.77777777775"/>
    <n v="2315205.5999999996"/>
    <n v="24414.777777777752"/>
    <s v="Sales on track "/>
    <n v="904.25102880658335"/>
    <n v="0.4"/>
    <n v="4502852.4000000004"/>
    <n v="0.35"/>
  </r>
  <r>
    <x v="0"/>
    <s v="iFlash 1200"/>
    <n v="15002553"/>
    <s v="Immunoassay"/>
    <n v="3002000019"/>
    <s v="N/A"/>
    <s v="ID00026524"/>
    <s v="06.09.2022"/>
    <s v="07.14.2022"/>
    <s v="18.07.2022"/>
    <s v="Available"/>
    <m/>
    <x v="1"/>
    <x v="2"/>
    <s v="Abbotobad"/>
    <n v="3020000943"/>
    <x v="62"/>
    <s v="MR. KHALID HUSSAIN QURESHI"/>
    <s v="M/S VALLEY HEALTH CARE LABORATORIES,MAIN MANSEHRA ROAD, MIRPUR ABBOTTABAD."/>
    <s v="0345-9236895"/>
    <s v="healthcarecare204@gmail.com  "/>
    <s v="6392920-4"/>
    <m/>
    <n v="2100000"/>
    <n v="12"/>
    <n v="490395"/>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s v="0.5 Mio order received will be invoiced till 15th August. 0.5 Mio sales every month"/>
    <s v="0.5 Mio order received will be invoiced till 15th August. 0.5 Mio sales every month"/>
    <s v="New order of approx. 1 million will be recieved next month to cover the defecit"/>
    <s v="Strong follow up"/>
    <s v="Stock Unavailable"/>
    <s v="Stock has been Recieved ,will be invoiced"/>
    <m/>
    <s v="Stock has been Recieved ,will be invoiced"/>
    <m/>
    <m/>
    <m/>
    <m/>
    <s v="Meeting will be held in April to discuss this case"/>
    <m/>
    <m/>
    <m/>
    <m/>
    <m/>
    <m/>
    <m/>
    <x v="25"/>
    <x v="2"/>
    <m/>
    <m/>
    <m/>
    <m/>
    <m/>
    <m/>
    <n v="1803278.69"/>
    <m/>
    <m/>
    <n v="-52359"/>
    <m/>
    <m/>
    <m/>
    <m/>
    <n v="1750919.69"/>
    <m/>
    <m/>
    <n v="553215"/>
    <m/>
    <m/>
    <m/>
    <m/>
    <m/>
    <m/>
    <m/>
    <n v="0"/>
    <n v="131275"/>
    <n v="684490"/>
    <m/>
    <m/>
    <m/>
    <n v="0"/>
    <n v="65637.5"/>
    <m/>
    <n v="2435409.69"/>
    <n v="23"/>
    <n v="105887.37782608696"/>
    <n v="1125836.1239999998"/>
    <n v="-384507.62217391306"/>
    <s v="Sales behind track ( No sales after Aug, beside commitment)"/>
    <n v="-16717.722703213611"/>
    <n v="0.4"/>
    <n v="974163.87600000005"/>
    <n v="0.4"/>
  </r>
  <r>
    <x v="4"/>
    <s v="STA SATELLITE MAX"/>
    <n v="15003000"/>
    <s v="Coagulation Analyzer"/>
    <n v="3002000114"/>
    <m/>
    <n v="1736"/>
    <m/>
    <m/>
    <s v="1.30.2025"/>
    <s v="Available"/>
    <m/>
    <x v="0"/>
    <x v="1"/>
    <s v="Lahore"/>
    <n v="3020000960"/>
    <x v="63"/>
    <m/>
    <s v="rashid latif medical complex gul e berah stop Kasur road"/>
    <s v="0336-5399909"/>
    <s v="muhammad.imran@rimc.edu.pk"/>
    <s v="3407280-2"/>
    <m/>
    <n v="3432757"/>
    <n v="36"/>
    <n v="214221"/>
    <m/>
    <m/>
    <m/>
    <m/>
    <m/>
    <m/>
    <m/>
    <m/>
    <m/>
    <m/>
    <m/>
    <m/>
    <m/>
    <m/>
    <m/>
    <m/>
    <m/>
    <m/>
    <m/>
    <m/>
    <m/>
    <m/>
    <m/>
    <m/>
    <m/>
    <m/>
    <x v="26"/>
    <x v="34"/>
    <m/>
    <m/>
    <m/>
    <m/>
    <m/>
    <m/>
    <m/>
    <m/>
    <m/>
    <m/>
    <m/>
    <m/>
    <m/>
    <m/>
    <n v="0"/>
    <m/>
    <n v="482899.98000000004"/>
    <n v="41435.24"/>
    <n v="0"/>
    <n v="145894.42000000001"/>
    <n v="111684.1"/>
    <n v="198298"/>
    <n v="0"/>
    <n v="126221.29999999999"/>
    <n v="52404"/>
    <m/>
    <n v="145891.79999999999"/>
    <n v="1304728.8400000001"/>
    <m/>
    <m/>
    <m/>
    <n v="0"/>
    <n v="99147.9"/>
    <m/>
    <n v="1304728.8400000001"/>
    <n v="11"/>
    <n v="118611.71272727274"/>
    <n v="2910865.4639999997"/>
    <n v="-95609.287272727262"/>
    <s v="Sales behind track"/>
    <n v="-8691.7533884297518"/>
    <n v="0.4"/>
    <n v="521891.53600000008"/>
    <n v="0.4"/>
  </r>
  <r>
    <x v="1"/>
    <s v="Selectra Mach 5"/>
    <n v="15002463"/>
    <s v="Clinical Chemistry"/>
    <n v="3002000115"/>
    <m/>
    <s v="24-5048"/>
    <m/>
    <m/>
    <s v="25.04.2025"/>
    <s v="Available"/>
    <m/>
    <x v="0"/>
    <x v="1"/>
    <s v="Gujranwala"/>
    <n v="3020000979"/>
    <x v="64"/>
    <s v="N/A"/>
    <s v="GT road, civil lines, Gujranwala"/>
    <s v="055-3732003"/>
    <s v="sheeza.tariq94@gmail.com"/>
    <s v="3965326-9"/>
    <m/>
    <n v="7115000"/>
    <n v="62"/>
    <n v="624712"/>
    <m/>
    <m/>
    <m/>
    <m/>
    <m/>
    <m/>
    <m/>
    <m/>
    <m/>
    <m/>
    <m/>
    <m/>
    <m/>
    <m/>
    <m/>
    <m/>
    <m/>
    <m/>
    <m/>
    <m/>
    <m/>
    <m/>
    <m/>
    <m/>
    <m/>
    <m/>
    <x v="0"/>
    <x v="3"/>
    <n v="1"/>
    <s v="Placed"/>
    <m/>
    <m/>
    <m/>
    <m/>
    <m/>
    <m/>
    <m/>
    <m/>
    <m/>
    <m/>
    <m/>
    <m/>
    <n v="0"/>
    <m/>
    <m/>
    <n v="718270"/>
    <n v="1074986"/>
    <n v="1023917"/>
    <n v="621068"/>
    <n v="277731.5"/>
    <n v="764542.5"/>
    <n v="48840"/>
    <n v="703037.3"/>
    <n v="77975"/>
    <n v="207281.5"/>
    <n v="5517648.7999999998"/>
    <n v="310130.15000000002"/>
    <n v="466119"/>
    <n v="195891.5"/>
    <n v="972140.65"/>
    <n v="326739.07500000001"/>
    <m/>
    <n v="6489789.4500000002"/>
    <n v="12"/>
    <n v="540815.78749999998"/>
    <n v="4194594.7475000005"/>
    <n v="-83896.212500000023"/>
    <s v="Sales on track"/>
    <n v="-6991.3510416666686"/>
    <n v="0.45"/>
    <n v="2920405.2524999999"/>
    <n v="0.45"/>
  </r>
  <r>
    <x v="1"/>
    <s v="Selectra Mach 5"/>
    <n v="15002463"/>
    <s v="Clinical Chemistry"/>
    <n v="3002000105"/>
    <s v="Transfer from Sharif TMC"/>
    <s v="24-5018"/>
    <m/>
    <m/>
    <s v="24.07.2025"/>
    <m/>
    <s v="backup"/>
    <x v="0"/>
    <x v="1"/>
    <s v="Gujranwala"/>
    <n v="3020000979"/>
    <x v="64"/>
    <m/>
    <m/>
    <m/>
    <m/>
    <m/>
    <m/>
    <n v="7115000"/>
    <n v="38"/>
    <n v="554232"/>
    <m/>
    <m/>
    <m/>
    <m/>
    <m/>
    <m/>
    <m/>
    <m/>
    <m/>
    <m/>
    <m/>
    <m/>
    <m/>
    <m/>
    <m/>
    <m/>
    <m/>
    <m/>
    <m/>
    <m/>
    <m/>
    <m/>
    <m/>
    <m/>
    <m/>
    <m/>
    <x v="0"/>
    <x v="35"/>
    <n v="1"/>
    <s v="Placed"/>
    <m/>
    <m/>
    <m/>
    <m/>
    <m/>
    <m/>
    <m/>
    <m/>
    <m/>
    <m/>
    <m/>
    <m/>
    <n v="0"/>
    <m/>
    <m/>
    <m/>
    <m/>
    <m/>
    <m/>
    <n v="277731.5"/>
    <n v="764542.5"/>
    <n v="48840"/>
    <n v="703037.3"/>
    <n v="77975"/>
    <n v="207281.5"/>
    <n v="2079407.8"/>
    <n v="310130.15000000002"/>
    <n v="466119"/>
    <n v="195891.5"/>
    <n v="972140.65"/>
    <n v="326739.07500000001"/>
    <m/>
    <n v="3051548.45"/>
    <n v="8"/>
    <n v="381443.55625000002"/>
    <m/>
    <n v="-172788.44374999998"/>
    <m/>
    <n v="-21598.555468749997"/>
    <m/>
    <n v="0"/>
    <n v="0"/>
  </r>
  <r>
    <x v="2"/>
    <s v="Vitros ECiQ Immunodiagnostic System"/>
    <n v="15002760"/>
    <s v="Immunoassay"/>
    <m/>
    <s v="From hormone to Ridhan to Med Care Hospital"/>
    <n v="30006181"/>
    <m/>
    <m/>
    <s v="05.12.2024"/>
    <m/>
    <m/>
    <x v="0"/>
    <x v="1"/>
    <s v="Gujranwala"/>
    <n v="3020000979"/>
    <x v="65"/>
    <m/>
    <s v="Gill road, Civil Lines, Punjab"/>
    <s v="055-3732003 &amp; 0337-0460249"/>
    <s v="sheeza.tariq94@gmail.com"/>
    <s v="3965326-9"/>
    <m/>
    <n v="5415000"/>
    <n v="37"/>
    <n v="518873"/>
    <m/>
    <m/>
    <m/>
    <m/>
    <m/>
    <m/>
    <m/>
    <m/>
    <m/>
    <m/>
    <m/>
    <m/>
    <m/>
    <m/>
    <m/>
    <m/>
    <m/>
    <m/>
    <e v="#N/A"/>
    <m/>
    <m/>
    <m/>
    <m/>
    <m/>
    <m/>
    <m/>
    <x v="27"/>
    <x v="27"/>
    <n v="1"/>
    <m/>
    <m/>
    <m/>
    <m/>
    <m/>
    <m/>
    <m/>
    <m/>
    <m/>
    <m/>
    <m/>
    <m/>
    <n v="1454603"/>
    <n v="1454603"/>
    <n v="0"/>
    <n v="802483"/>
    <n v="409692"/>
    <n v="411828"/>
    <n v="949897"/>
    <n v="278043"/>
    <n v="1045122"/>
    <n v="522335"/>
    <n v="305569"/>
    <n v="176821"/>
    <m/>
    <m/>
    <n v="4901790"/>
    <n v="406749"/>
    <n v="245162"/>
    <n v="0"/>
    <n v="651911"/>
    <n v="207183"/>
    <m/>
    <n v="7008304"/>
    <n v="12"/>
    <n v="584025.33333333337"/>
    <n v="2611678.4"/>
    <n v="65152.333333333372"/>
    <s v="Sales on track "/>
    <n v="5429.361111111114"/>
    <n v="0.4"/>
    <n v="2803321.6"/>
    <n v="0.4"/>
  </r>
  <r>
    <x v="0"/>
    <s v="iFlash 1800 "/>
    <n v="15002462"/>
    <s v="Immunoassay"/>
    <m/>
    <m/>
    <m/>
    <m/>
    <m/>
    <s v="25.11.2025"/>
    <m/>
    <m/>
    <x v="1"/>
    <x v="1"/>
    <s v="Gujranwala"/>
    <n v="3020000979"/>
    <x v="64"/>
    <m/>
    <s v="GT road, civil lines, Gujranwala"/>
    <s v="055-3732003"/>
    <s v="sheeza.tariq94@gmail.com"/>
    <s v="3965326-9"/>
    <m/>
    <n v="4910685"/>
    <n v="36"/>
    <n v="330776"/>
    <m/>
    <m/>
    <m/>
    <m/>
    <m/>
    <m/>
    <m/>
    <m/>
    <m/>
    <m/>
    <m/>
    <m/>
    <m/>
    <m/>
    <m/>
    <m/>
    <m/>
    <m/>
    <m/>
    <m/>
    <m/>
    <m/>
    <m/>
    <m/>
    <m/>
    <m/>
    <x v="4"/>
    <x v="2"/>
    <m/>
    <s v="Closed"/>
    <m/>
    <m/>
    <m/>
    <m/>
    <m/>
    <m/>
    <m/>
    <m/>
    <m/>
    <m/>
    <m/>
    <m/>
    <n v="0"/>
    <m/>
    <m/>
    <m/>
    <m/>
    <m/>
    <m/>
    <m/>
    <m/>
    <m/>
    <m/>
    <m/>
    <m/>
    <n v="0"/>
    <m/>
    <m/>
    <m/>
    <n v="0"/>
    <n v="0"/>
    <m/>
    <n v="0"/>
    <m/>
    <e v="#DIV/0!"/>
    <m/>
    <e v="#DIV/0!"/>
    <m/>
    <e v="#DIV/0!"/>
    <m/>
    <n v="0"/>
    <n v="0"/>
  </r>
  <r>
    <x v="0"/>
    <s v="iFlash 1200"/>
    <n v="15002553"/>
    <s v="Immunoassay"/>
    <n v="3002000099"/>
    <m/>
    <s v="ID00175847"/>
    <m/>
    <m/>
    <s v="14.05.2025"/>
    <m/>
    <m/>
    <x v="0"/>
    <x v="2"/>
    <s v="Peshawar"/>
    <n v="3020000987"/>
    <x v="66"/>
    <m/>
    <m/>
    <m/>
    <m/>
    <m/>
    <m/>
    <n v="2915000"/>
    <n v="36"/>
    <n v="307062"/>
    <m/>
    <m/>
    <m/>
    <m/>
    <m/>
    <m/>
    <m/>
    <m/>
    <m/>
    <m/>
    <m/>
    <m/>
    <m/>
    <m/>
    <m/>
    <m/>
    <m/>
    <m/>
    <m/>
    <m/>
    <m/>
    <m/>
    <m/>
    <m/>
    <m/>
    <m/>
    <x v="14"/>
    <x v="36"/>
    <n v="1"/>
    <s v="Placed"/>
    <m/>
    <m/>
    <m/>
    <m/>
    <m/>
    <m/>
    <m/>
    <m/>
    <m/>
    <m/>
    <m/>
    <n v="703400"/>
    <n v="703400"/>
    <m/>
    <m/>
    <m/>
    <n v="568280"/>
    <n v="0"/>
    <n v="0"/>
    <n v="0"/>
    <n v="271800"/>
    <n v="0"/>
    <n v="0"/>
    <n v="0"/>
    <n v="844820"/>
    <n v="1684900"/>
    <n v="174700"/>
    <m/>
    <m/>
    <n v="174700"/>
    <n v="254880"/>
    <m/>
    <n v="2563000"/>
    <n v="10"/>
    <n v="256300"/>
    <n v="1889800"/>
    <n v="-50762"/>
    <s v="Sales behind track"/>
    <n v="-5076.2"/>
    <n v="0.4"/>
    <n v="1025200"/>
    <n v="0.4"/>
  </r>
  <r>
    <x v="4"/>
    <s v="STA Compact Max"/>
    <n v="15003000"/>
    <s v="Coagulation Analyzer"/>
    <s v="AR#300141"/>
    <s v="N/A"/>
    <m/>
    <m/>
    <m/>
    <s v="02.04.2024"/>
    <s v="Not Available"/>
    <m/>
    <x v="1"/>
    <x v="0"/>
    <s v="Karachi"/>
    <n v="3020001019"/>
    <x v="67"/>
    <s v="N/A"/>
    <s v="A-5/A, National Highway, DHA Phase-1, Near Kalapul, Sindh"/>
    <s v="021-35380000, 0345-2086204"/>
    <s v="info@nmc.net.pk"/>
    <s v="0818709-6"/>
    <m/>
    <n v="4045003"/>
    <n v="36"/>
    <n v="465012"/>
    <m/>
    <m/>
    <m/>
    <m/>
    <m/>
    <m/>
    <m/>
    <m/>
    <m/>
    <m/>
    <m/>
    <m/>
    <m/>
    <m/>
    <m/>
    <m/>
    <m/>
    <m/>
    <m/>
    <m/>
    <m/>
    <m/>
    <m/>
    <m/>
    <m/>
    <m/>
    <x v="4"/>
    <x v="2"/>
    <m/>
    <m/>
    <m/>
    <m/>
    <m/>
    <m/>
    <m/>
    <m/>
    <m/>
    <m/>
    <m/>
    <m/>
    <m/>
    <m/>
    <n v="0"/>
    <m/>
    <m/>
    <m/>
    <m/>
    <m/>
    <m/>
    <m/>
    <m/>
    <m/>
    <m/>
    <m/>
    <m/>
    <n v="0"/>
    <m/>
    <m/>
    <m/>
    <n v="0"/>
    <n v="0"/>
    <s v="Pulled back and placed at Karachi warehouse."/>
    <n v="0"/>
    <s v="-"/>
    <e v="#VALUE!"/>
    <n v="4045003"/>
    <e v="#VALUE!"/>
    <s v="Sales not started yet"/>
    <e v="#VALUE!"/>
    <n v="0.4"/>
    <n v="0"/>
    <n v="0.4"/>
  </r>
  <r>
    <x v="1"/>
    <s v="Selectra PRO M "/>
    <n v="15002128"/>
    <s v="Clinical Chemistry"/>
    <s v="AR # 300323"/>
    <s v="Transferred from demo"/>
    <s v="20-4085"/>
    <m/>
    <m/>
    <s v="23.05.2025"/>
    <m/>
    <s v="Demo order still not received"/>
    <x v="0"/>
    <x v="1"/>
    <s v="Quetta"/>
    <n v="3020001042"/>
    <x v="68"/>
    <m/>
    <s v="Shop 2, Whdat Colony, Brewary Road, Balochistan"/>
    <s v="081-2440931 &amp; 0300-3805199"/>
    <s v="bilal.chishti@ahf.com.pk"/>
    <s v="7600330-1"/>
    <m/>
    <n v="4100000"/>
    <n v="37"/>
    <n v="163502"/>
    <m/>
    <m/>
    <m/>
    <m/>
    <m/>
    <m/>
    <m/>
    <m/>
    <m/>
    <m/>
    <m/>
    <m/>
    <m/>
    <m/>
    <m/>
    <m/>
    <m/>
    <m/>
    <m/>
    <m/>
    <m/>
    <m/>
    <m/>
    <m/>
    <m/>
    <m/>
    <x v="0"/>
    <x v="3"/>
    <n v="1"/>
    <s v="Placed"/>
    <m/>
    <n v="1000000"/>
    <n v="5357692"/>
    <n v="512300"/>
    <m/>
    <m/>
    <n v="693179"/>
    <n v="252622"/>
    <m/>
    <m/>
    <m/>
    <n v="13540"/>
    <n v="7829333"/>
    <m/>
    <n v="0"/>
    <n v="0"/>
    <n v="0"/>
    <n v="0"/>
    <n v="530000"/>
    <n v="0"/>
    <n v="629759"/>
    <n v="23244"/>
    <m/>
    <n v="1284379"/>
    <n v="500000"/>
    <n v="2967382"/>
    <n v="0"/>
    <n v="0"/>
    <n v="0"/>
    <n v="0"/>
    <n v="356875.8"/>
    <m/>
    <n v="10796715"/>
    <n v="20"/>
    <n v="539835.75"/>
    <n v="-758521.75"/>
    <n v="-582258.24076923076"/>
    <s v="Sales behind track"/>
    <n v="-29112.912038461538"/>
    <n v="0.45"/>
    <n v="4858521.75"/>
    <n v="0.45"/>
  </r>
  <r>
    <x v="3"/>
    <s v="Swelab Lumi"/>
    <n v="15002248"/>
    <s v="Hematology"/>
    <s v="AR # 300320"/>
    <m/>
    <s v="TE11042147005"/>
    <m/>
    <s v="12.07.2024"/>
    <m/>
    <s v="Available"/>
    <m/>
    <x v="0"/>
    <x v="2"/>
    <s v="Mirpur Azad Kashmir"/>
    <n v="3020001042"/>
    <x v="69"/>
    <m/>
    <s v="Al khidmat complex, 3-km Khayban-e-Jinnah road, Punjab"/>
    <s v="0333-4695192 &amp; 042-35957260"/>
    <s v="asad.tufail@ahf.com.pk"/>
    <s v="7600330-1"/>
    <m/>
    <n v="2059750"/>
    <n v="36"/>
    <n v="100802"/>
    <m/>
    <m/>
    <m/>
    <m/>
    <m/>
    <m/>
    <m/>
    <m/>
    <m/>
    <m/>
    <m/>
    <m/>
    <m/>
    <m/>
    <m/>
    <m/>
    <m/>
    <m/>
    <e v="#N/A"/>
    <m/>
    <m/>
    <m/>
    <m/>
    <m/>
    <m/>
    <m/>
    <x v="28"/>
    <x v="37"/>
    <n v="1"/>
    <s v="Placed"/>
    <m/>
    <m/>
    <n v="1216000"/>
    <n v="198000"/>
    <n v="0"/>
    <n v="0"/>
    <n v="0"/>
    <n v="99000"/>
    <n v="29000"/>
    <n v="0"/>
    <n v="0"/>
    <n v="349000"/>
    <n v="1891000"/>
    <n v="0"/>
    <n v="0"/>
    <n v="0"/>
    <n v="0"/>
    <n v="0"/>
    <n v="0"/>
    <n v="0"/>
    <n v="0"/>
    <n v="0"/>
    <n v="0"/>
    <n v="0"/>
    <n v="112250"/>
    <n v="112250"/>
    <n v="0"/>
    <n v="0"/>
    <m/>
    <n v="0"/>
    <n v="22450"/>
    <m/>
    <n v="2003250"/>
    <n v="4"/>
    <n v="500812.5"/>
    <n v="1258450"/>
    <n v="400010.5"/>
    <s v="Sales on track"/>
    <n v="100002.625"/>
    <n v="0.4"/>
    <n v="801300"/>
    <n v="0.4"/>
  </r>
  <r>
    <x v="1"/>
    <s v="Selectra Mach 5"/>
    <n v="15002463"/>
    <s v="Clinical Chemistry"/>
    <n v="3002000017"/>
    <m/>
    <s v="22-5023"/>
    <s v="29.08.2022"/>
    <s v="16.08.2022"/>
    <s v="22.08.2022"/>
    <s v="Available"/>
    <m/>
    <x v="1"/>
    <x v="0"/>
    <s v="Karachi"/>
    <n v="3020001047"/>
    <x v="70"/>
    <s v="Shazia Parveen"/>
    <s v="R 8, Sector 5c/4 Sector 5 C 4 New Karachi Town, Karachi,"/>
    <s v="0323-2342326"/>
    <s v="not available"/>
    <m/>
    <s v="42101-4970811-0"/>
    <m/>
    <m/>
    <m/>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s v="Problem with machines. Now new business case will be prepared"/>
    <m/>
    <s v="New business case submitted for approval, due to machine problem."/>
    <m/>
    <m/>
    <m/>
    <m/>
    <m/>
    <x v="2"/>
    <x v="2"/>
    <m/>
    <m/>
    <n v="75305.23"/>
    <n v="162894.44500000001"/>
    <n v="0"/>
    <n v="0"/>
    <n v="108085.85500000001"/>
    <n v="12500"/>
    <n v="0"/>
    <n v="245489"/>
    <n v="160439.5"/>
    <n v="0"/>
    <n v="0"/>
    <n v="0"/>
    <n v="764714.03"/>
    <n v="0"/>
    <m/>
    <n v="0"/>
    <m/>
    <m/>
    <m/>
    <m/>
    <m/>
    <m/>
    <m/>
    <m/>
    <m/>
    <n v="0"/>
    <m/>
    <m/>
    <m/>
    <n v="0"/>
    <n v="0"/>
    <m/>
    <n v="764714.03"/>
    <n v="37"/>
    <n v="20667.946756756759"/>
    <n v="-344121.31350000005"/>
    <n v="20667.946756756759"/>
    <s v="Sales on track"/>
    <n v="558.59315558802052"/>
    <n v="0.45"/>
    <n v="344121.31350000005"/>
    <n v="0.45"/>
  </r>
  <r>
    <x v="1"/>
    <s v="Selectra Mach 5"/>
    <n v="15002463"/>
    <s v="Clinical Chemistry"/>
    <n v="3002000017"/>
    <s v="N/A"/>
    <s v="22-5023"/>
    <m/>
    <m/>
    <s v="04.04.2024"/>
    <s v="Not Available"/>
    <m/>
    <x v="5"/>
    <x v="0"/>
    <s v="Karachi"/>
    <n v="3020001047"/>
    <x v="70"/>
    <s v="Shazia Parveen"/>
    <s v="R 8, Sector 5c/4 Sector 5 C 4 New Karachi Town, Karachi,"/>
    <s v="0323-2342326"/>
    <s v="not available"/>
    <m/>
    <s v="42101-4970811-0"/>
    <n v="4500000"/>
    <n v="37"/>
    <n v="404240"/>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m/>
    <m/>
    <m/>
    <s v="Order in hand, awaiting for shipment "/>
    <m/>
    <s v="no sales in july"/>
    <m/>
    <m/>
    <x v="10"/>
    <x v="14"/>
    <n v="1"/>
    <s v="Placed"/>
    <n v="75305.23"/>
    <n v="162894.44500000001"/>
    <n v="0"/>
    <n v="0"/>
    <n v="108085.85500000001"/>
    <n v="12500"/>
    <n v="0"/>
    <n v="245489"/>
    <n v="160439.5"/>
    <n v="0"/>
    <n v="0"/>
    <n v="0"/>
    <n v="764714.03"/>
    <n v="0"/>
    <n v="0"/>
    <n v="0"/>
    <n v="261520.54"/>
    <n v="90822.950000000012"/>
    <n v="149392"/>
    <n v="0"/>
    <n v="204777"/>
    <n v="145376"/>
    <n v="181755"/>
    <n v="0"/>
    <n v="0"/>
    <n v="1033643.49"/>
    <n v="73919.67"/>
    <n v="0"/>
    <n v="0"/>
    <n v="73919.67"/>
    <n v="42612.445"/>
    <s v="No Sales after sep-24"/>
    <n v="1872277.19"/>
    <n v="20"/>
    <n v="93613.859499999991"/>
    <n v="3657475.2645"/>
    <n v="-310626.14049999998"/>
    <s v="Sales behind track"/>
    <n v="-15531.307024999998"/>
    <n v="0.45"/>
    <n v="842524.73549999995"/>
    <n v="0.45"/>
  </r>
  <r>
    <x v="4"/>
    <s v="STA Compact Max Cap precing"/>
    <n v="15003159"/>
    <s v="Coagulation Analyzer"/>
    <n v="3002000096"/>
    <m/>
    <n v="8673"/>
    <m/>
    <m/>
    <s v="14.10.2024"/>
    <m/>
    <m/>
    <x v="0"/>
    <x v="0"/>
    <s v="Karachi"/>
    <n v="3020001067"/>
    <x v="71"/>
    <m/>
    <s v="H.J Rafique Shaheed Road, South Saddar Town, Karachi "/>
    <s v="0322-2328894"/>
    <s v="mursaleem.nicvd@gmail.com"/>
    <s v="9033300-4"/>
    <m/>
    <n v="5741480.5"/>
    <n v="6"/>
    <n v="2106303.5"/>
    <m/>
    <m/>
    <m/>
    <m/>
    <m/>
    <m/>
    <m/>
    <m/>
    <m/>
    <m/>
    <m/>
    <m/>
    <m/>
    <m/>
    <m/>
    <m/>
    <m/>
    <m/>
    <e v="#REF!"/>
    <m/>
    <m/>
    <m/>
    <m/>
    <m/>
    <m/>
    <m/>
    <x v="0"/>
    <x v="38"/>
    <n v="1"/>
    <s v="Placed"/>
    <m/>
    <m/>
    <m/>
    <m/>
    <m/>
    <m/>
    <m/>
    <m/>
    <m/>
    <n v="10851396"/>
    <n v="1239776"/>
    <n v="4030196"/>
    <n v="16121368"/>
    <n v="0"/>
    <n v="246892"/>
    <n v="2964712"/>
    <n v="0"/>
    <n v="0"/>
    <n v="2600500"/>
    <n v="0"/>
    <n v="0"/>
    <n v="3437600"/>
    <n v="2287400"/>
    <n v="2865200"/>
    <n v="244000"/>
    <n v="14646304"/>
    <m/>
    <n v="23200"/>
    <n v="972400"/>
    <n v="995600"/>
    <n v="1278440"/>
    <m/>
    <n v="31763272"/>
    <n v="15"/>
    <n v="2117551.4666666668"/>
    <n v="-6963828.3000000007"/>
    <n v="11247.966666666791"/>
    <s v="Sales behind track"/>
    <n v="749.86444444445272"/>
    <n v="0.4"/>
    <n v="12705308.800000001"/>
    <n v="0.4"/>
  </r>
  <r>
    <x v="3"/>
    <s v="Swelab Alfa Plus Sampler BD Ar"/>
    <n v="15001968"/>
    <s v="Hematology "/>
    <n v="3002000041"/>
    <s v="N/A"/>
    <n v="120754"/>
    <s v="22.11.2022"/>
    <s v="07.11.2022"/>
    <s v="27.10.2023"/>
    <s v="Available"/>
    <m/>
    <x v="0"/>
    <x v="0"/>
    <s v="Karachi"/>
    <n v="3020001067"/>
    <x v="71"/>
    <s v="N/A"/>
    <s v="H.J Rafique Shaheed Road, South Saddar Town, Karachi "/>
    <s v="0322-2328894"/>
    <s v="mursaleem.nicvd@gmail.com"/>
    <s v="9033300-4"/>
    <m/>
    <n v="1954396"/>
    <n v="36"/>
    <n v="323047"/>
    <m/>
    <m/>
    <m/>
    <m/>
    <m/>
    <m/>
    <m/>
    <m/>
    <m/>
    <m/>
    <m/>
    <m/>
    <m/>
    <m/>
    <m/>
    <m/>
    <s v="Order is in process due to Payment issue we didnt consider po."/>
    <s v="this month we will recevie order and exicute "/>
    <s v="we will increase our prices in new tender which is in process."/>
    <m/>
    <s v="Technical Evaluation in process, prices will reviesed once new awarded to us."/>
    <s v="New tender in technical Evalualtion"/>
    <m/>
    <m/>
    <m/>
    <m/>
    <x v="0"/>
    <x v="3"/>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n v="37"/>
    <n v="147121.74689189187"/>
    <n v="-223005.85399999982"/>
    <n v="-175925.25310810813"/>
    <s v="Sales behind track"/>
    <n v="-4754.7365704894091"/>
    <n v="0.4"/>
    <n v="2177401.8539999998"/>
    <n v="0.4"/>
  </r>
  <r>
    <x v="4"/>
    <s v="STA Compact Max Cap precing"/>
    <n v="15003159"/>
    <s v="Coagulation Analyzer"/>
    <m/>
    <m/>
    <m/>
    <m/>
    <m/>
    <s v="15.10.2025"/>
    <m/>
    <m/>
    <x v="4"/>
    <x v="0"/>
    <s v="Karachi"/>
    <n v="3020001067"/>
    <x v="71"/>
    <m/>
    <s v="H.J Rafique Shaheed Road, South Saddar Town, Karachi "/>
    <s v="0322-2328894"/>
    <s v="mursaleem.nicvd@gmail.com"/>
    <s v="9033300-4"/>
    <m/>
    <n v="5557031"/>
    <n v="6"/>
    <n v="2106303.5"/>
    <m/>
    <m/>
    <m/>
    <m/>
    <m/>
    <m/>
    <m/>
    <m/>
    <m/>
    <m/>
    <m/>
    <m/>
    <m/>
    <m/>
    <m/>
    <m/>
    <m/>
    <m/>
    <e v="#REF!"/>
    <m/>
    <m/>
    <m/>
    <m/>
    <m/>
    <m/>
    <m/>
    <x v="29"/>
    <x v="38"/>
    <n v="1"/>
    <s v="Placed - Operational"/>
    <m/>
    <m/>
    <m/>
    <m/>
    <m/>
    <m/>
    <m/>
    <m/>
    <m/>
    <m/>
    <m/>
    <m/>
    <n v="0"/>
    <m/>
    <m/>
    <m/>
    <m/>
    <m/>
    <m/>
    <m/>
    <m/>
    <m/>
    <m/>
    <m/>
    <m/>
    <n v="0"/>
    <m/>
    <n v="0"/>
    <n v="972400"/>
    <n v="972400"/>
    <n v="486200"/>
    <m/>
    <n v="972400"/>
    <m/>
    <e v="#DIV/0!"/>
    <n v="5168071"/>
    <e v="#DIV/0!"/>
    <s v="Sales behind track"/>
    <e v="#DIV/0!"/>
    <n v="0.4"/>
    <n v="388960"/>
    <n v="0.4"/>
  </r>
  <r>
    <x v="3"/>
    <s v="Swelab Alfa Plus Sampler BD Ar"/>
    <n v="15001968"/>
    <s v="Hematology "/>
    <n v="3002000041"/>
    <s v="N/A"/>
    <n v="120751"/>
    <m/>
    <m/>
    <s v="20.12.2024"/>
    <m/>
    <m/>
    <x v="5"/>
    <x v="0"/>
    <s v="Karachi"/>
    <n v="3020001067"/>
    <x v="71"/>
    <m/>
    <s v="H.J Rafique Shaheed Road, South Saddar Town, Karachi "/>
    <s v="0322-2328894"/>
    <s v="mursaleem.nicvd@gmail.com"/>
    <s v="9033300-4"/>
    <m/>
    <n v="1071000"/>
    <n v="60"/>
    <n v="111305"/>
    <m/>
    <m/>
    <m/>
    <m/>
    <m/>
    <m/>
    <m/>
    <m/>
    <m/>
    <m/>
    <m/>
    <m/>
    <m/>
    <m/>
    <m/>
    <m/>
    <m/>
    <m/>
    <e v="#REF!"/>
    <m/>
    <m/>
    <m/>
    <m/>
    <m/>
    <m/>
    <m/>
    <x v="0"/>
    <x v="3"/>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n v="37"/>
    <n v="147121.74689189187"/>
    <n v="-1106401.8539999998"/>
    <n v="35816.746891891875"/>
    <s v="Sales on track"/>
    <n v="968.02018626734798"/>
    <n v="0.4"/>
    <n v="2177401.8539999998"/>
    <n v="0.4"/>
  </r>
  <r>
    <x v="3"/>
    <s v="Swelab Alfa Plus Sampler BD Ar"/>
    <n v="15001967"/>
    <s v="Hematology"/>
    <s v="AR # 300410"/>
    <m/>
    <n v="127707"/>
    <m/>
    <m/>
    <s v="05.13.2025"/>
    <m/>
    <s v="Appropriation request pending but machine delivered against B.C"/>
    <x v="0"/>
    <x v="0"/>
    <s v="Karachi"/>
    <n v="3020001074"/>
    <x v="72"/>
    <m/>
    <s v="Plot No ST-15, Block 16, Federal B Area, Sindh"/>
    <s v="021-99330011"/>
    <s v="kihd@cdgk@gmail.com"/>
    <s v="9030950-8"/>
    <m/>
    <n v="1515000"/>
    <n v="36"/>
    <n v="109047"/>
    <m/>
    <m/>
    <m/>
    <m/>
    <m/>
    <m/>
    <m/>
    <m/>
    <m/>
    <m/>
    <m/>
    <m/>
    <m/>
    <m/>
    <m/>
    <m/>
    <m/>
    <m/>
    <m/>
    <m/>
    <m/>
    <m/>
    <m/>
    <m/>
    <m/>
    <m/>
    <x v="0"/>
    <x v="39"/>
    <n v="1"/>
    <s v="Placed"/>
    <m/>
    <m/>
    <m/>
    <m/>
    <m/>
    <m/>
    <m/>
    <m/>
    <m/>
    <m/>
    <m/>
    <m/>
    <n v="0"/>
    <m/>
    <m/>
    <m/>
    <m/>
    <n v="635200"/>
    <n v="0"/>
    <n v="0"/>
    <n v="0"/>
    <n v="144340"/>
    <m/>
    <m/>
    <m/>
    <n v="779540"/>
    <n v="0"/>
    <n v="0"/>
    <n v="0"/>
    <n v="0"/>
    <n v="0"/>
    <m/>
    <n v="779540"/>
    <n v="5"/>
    <n v="155908"/>
    <n v="1203184"/>
    <n v="-223571"/>
    <s v="Sales behind track"/>
    <n v="-44714.2"/>
    <n v="0.4"/>
    <n v="311816"/>
    <n v="0.4"/>
  </r>
  <r>
    <x v="0"/>
    <s v="iFlash 1800"/>
    <n v="15002462"/>
    <s v="Immunoassay"/>
    <n v="3002000009"/>
    <s v="Machine has been transferred from Noor to Jiliani"/>
    <s v="IA00092922"/>
    <s v="01.07.2022"/>
    <s v="28.06.2022"/>
    <s v="28.06.2022"/>
    <s v="Available"/>
    <m/>
    <x v="3"/>
    <x v="0"/>
    <s v="Quetta"/>
    <n v="3020001083"/>
    <x v="73"/>
    <s v="Asad Ullah"/>
    <s v="Shop # 5, Yet Road, Near M.A. Jinnah Road,"/>
    <s v="0307-3800575 , 081-2826500"/>
    <s v="noor.lab.surgical@gmail.com"/>
    <m/>
    <s v="54400-0524139-1"/>
    <n v="2675000"/>
    <n v="14"/>
    <n v="690432"/>
    <m/>
    <m/>
    <m/>
    <m/>
    <m/>
    <m/>
    <m/>
    <m/>
    <m/>
    <m/>
    <m/>
    <m/>
    <m/>
    <m/>
    <m/>
    <m/>
    <m/>
    <m/>
    <m/>
    <m/>
    <s v="This machine was pullback and installed in Burhani khi "/>
    <m/>
    <m/>
    <m/>
    <m/>
    <m/>
    <x v="2"/>
    <x v="2"/>
    <m/>
    <m/>
    <m/>
    <m/>
    <m/>
    <m/>
    <m/>
    <m/>
    <m/>
    <m/>
    <m/>
    <m/>
    <m/>
    <m/>
    <n v="0"/>
    <m/>
    <m/>
    <m/>
    <m/>
    <m/>
    <m/>
    <m/>
    <m/>
    <n v="0"/>
    <m/>
    <n v="0"/>
    <m/>
    <n v="0"/>
    <m/>
    <m/>
    <m/>
    <n v="0"/>
    <n v="0"/>
    <s v="Closed - No sales after Feb 23"/>
    <n v="0"/>
    <n v="10"/>
    <n v="0"/>
    <n v="2675000"/>
    <n v="-690432"/>
    <s v="Sales behind track"/>
    <n v="-69043.199999999997"/>
    <n v="0.4"/>
    <n v="0"/>
    <n v="0.4"/>
  </r>
  <r>
    <x v="6"/>
    <s v="Nova Prime CCS"/>
    <n v="15002705"/>
    <s v="Arterial Blood Gas Analyzer"/>
    <m/>
    <m/>
    <m/>
    <m/>
    <m/>
    <s v="02.07.2025"/>
    <m/>
    <m/>
    <x v="4"/>
    <x v="1"/>
    <s v="Lahore"/>
    <n v="3020001092"/>
    <x v="74"/>
    <m/>
    <m/>
    <m/>
    <m/>
    <m/>
    <m/>
    <n v="1904821"/>
    <n v="30"/>
    <n v="299183"/>
    <m/>
    <m/>
    <m/>
    <m/>
    <m/>
    <m/>
    <m/>
    <m/>
    <m/>
    <m/>
    <m/>
    <m/>
    <m/>
    <m/>
    <m/>
    <m/>
    <m/>
    <m/>
    <m/>
    <m/>
    <m/>
    <m/>
    <m/>
    <m/>
    <m/>
    <m/>
    <x v="18"/>
    <x v="40"/>
    <m/>
    <s v="Placed"/>
    <m/>
    <m/>
    <m/>
    <m/>
    <m/>
    <m/>
    <m/>
    <m/>
    <m/>
    <m/>
    <m/>
    <m/>
    <n v="0"/>
    <m/>
    <m/>
    <m/>
    <m/>
    <m/>
    <m/>
    <m/>
    <m/>
    <m/>
    <m/>
    <m/>
    <m/>
    <n v="0"/>
    <n v="368850"/>
    <m/>
    <m/>
    <n v="368850"/>
    <n v="368850"/>
    <m/>
    <n v="368850"/>
    <n v="1"/>
    <n v="368850"/>
    <n v="1904821"/>
    <n v="69667"/>
    <m/>
    <n v="69667"/>
    <m/>
    <n v="0"/>
    <n v="0"/>
  </r>
  <r>
    <x v="7"/>
    <s v="Laura XL"/>
    <n v="15002673"/>
    <s v="Urine Analyzer"/>
    <m/>
    <m/>
    <m/>
    <m/>
    <m/>
    <s v="14.10.2025"/>
    <m/>
    <m/>
    <x v="4"/>
    <x v="0"/>
    <s v="Karachi"/>
    <n v="3020000135"/>
    <x v="75"/>
    <m/>
    <m/>
    <m/>
    <m/>
    <m/>
    <m/>
    <n v="6101141"/>
    <n v="37"/>
    <n v="432965"/>
    <m/>
    <m/>
    <m/>
    <m/>
    <m/>
    <m/>
    <m/>
    <m/>
    <m/>
    <m/>
    <m/>
    <m/>
    <m/>
    <m/>
    <m/>
    <m/>
    <m/>
    <m/>
    <m/>
    <m/>
    <m/>
    <m/>
    <m/>
    <m/>
    <m/>
    <m/>
    <x v="14"/>
    <x v="41"/>
    <m/>
    <s v="Placed"/>
    <m/>
    <m/>
    <m/>
    <m/>
    <m/>
    <m/>
    <m/>
    <m/>
    <m/>
    <m/>
    <m/>
    <m/>
    <n v="0"/>
    <m/>
    <m/>
    <m/>
    <m/>
    <m/>
    <m/>
    <m/>
    <m/>
    <m/>
    <m/>
    <m/>
    <m/>
    <n v="0"/>
    <n v="404200"/>
    <n v="111800"/>
    <n v="725400"/>
    <n v="1241400"/>
    <n v="413800"/>
    <m/>
    <n v="1241400"/>
    <m/>
    <e v="#DIV/0!"/>
    <m/>
    <e v="#DIV/0!"/>
    <m/>
    <e v="#DIV/0!"/>
    <m/>
    <n v="0"/>
    <n v="0"/>
  </r>
  <r>
    <x v="4"/>
    <s v="STA Compact Max3"/>
    <n v="15003001"/>
    <s v="Urine Analyzer"/>
    <m/>
    <m/>
    <m/>
    <m/>
    <m/>
    <s v="13.10.2025"/>
    <m/>
    <m/>
    <x v="2"/>
    <x v="0"/>
    <s v="Karachi"/>
    <n v="3020001115"/>
    <x v="76"/>
    <m/>
    <m/>
    <m/>
    <m/>
    <m/>
    <m/>
    <n v="7395308"/>
    <n v="40"/>
    <n v="688873"/>
    <m/>
    <m/>
    <m/>
    <m/>
    <m/>
    <m/>
    <m/>
    <m/>
    <m/>
    <m/>
    <m/>
    <m/>
    <m/>
    <m/>
    <m/>
    <m/>
    <m/>
    <m/>
    <m/>
    <m/>
    <m/>
    <m/>
    <m/>
    <m/>
    <m/>
    <m/>
    <x v="3"/>
    <x v="38"/>
    <m/>
    <s v="Placed"/>
    <m/>
    <m/>
    <m/>
    <m/>
    <m/>
    <m/>
    <m/>
    <m/>
    <m/>
    <m/>
    <m/>
    <m/>
    <n v="0"/>
    <m/>
    <m/>
    <m/>
    <m/>
    <m/>
    <m/>
    <m/>
    <m/>
    <m/>
    <m/>
    <m/>
    <m/>
    <n v="0"/>
    <m/>
    <m/>
    <m/>
    <n v="0"/>
    <n v="0"/>
    <m/>
    <n v="0"/>
    <m/>
    <e v="#DIV/0!"/>
    <m/>
    <e v="#DIV/0!"/>
    <m/>
    <e v="#DIV/0!"/>
    <m/>
    <n v="0"/>
    <n v="0"/>
  </r>
  <r>
    <x v="2"/>
    <s v="Vitros ECiQ"/>
    <n v="15002760"/>
    <s v="Immunoassay"/>
    <n v="3002000080"/>
    <m/>
    <n v="30006375"/>
    <m/>
    <m/>
    <m/>
    <m/>
    <m/>
    <x v="0"/>
    <x v="1"/>
    <s v="Lahore"/>
    <n v="3020001124"/>
    <x v="77"/>
    <m/>
    <m/>
    <m/>
    <m/>
    <m/>
    <m/>
    <n v="18808000"/>
    <m/>
    <n v="3123750"/>
    <m/>
    <m/>
    <m/>
    <m/>
    <m/>
    <m/>
    <m/>
    <m/>
    <m/>
    <m/>
    <m/>
    <m/>
    <m/>
    <m/>
    <m/>
    <m/>
    <m/>
    <m/>
    <m/>
    <m/>
    <m/>
    <m/>
    <m/>
    <m/>
    <m/>
    <m/>
    <x v="30"/>
    <x v="42"/>
    <n v="1"/>
    <m/>
    <m/>
    <m/>
    <m/>
    <m/>
    <m/>
    <m/>
    <m/>
    <m/>
    <m/>
    <m/>
    <m/>
    <m/>
    <n v="0"/>
    <m/>
    <m/>
    <n v="0"/>
    <n v="6230153"/>
    <n v="3749491.8000000003"/>
    <n v="19000"/>
    <n v="0"/>
    <n v="0"/>
    <n v="0"/>
    <n v="0"/>
    <m/>
    <m/>
    <n v="9998644.8000000007"/>
    <n v="0"/>
    <n v="0"/>
    <n v="0"/>
    <n v="0"/>
    <n v="0"/>
    <m/>
    <n v="9998644.8000000007"/>
    <n v="10"/>
    <n v="999864.4800000001"/>
    <m/>
    <n v="-2123885.52"/>
    <m/>
    <n v="-212388.552"/>
    <m/>
    <n v="0"/>
    <n v="0"/>
  </r>
  <r>
    <x v="4"/>
    <s v="STA Compact Max3"/>
    <n v="15003001"/>
    <s v="coagulation"/>
    <m/>
    <m/>
    <m/>
    <m/>
    <m/>
    <s v="20.10.2025"/>
    <m/>
    <m/>
    <x v="4"/>
    <x v="1"/>
    <s v="Lahore"/>
    <n v="3020001124"/>
    <x v="78"/>
    <s v="Hafiz Aneaq Ahmed"/>
    <s v="Ghaus-ul-azam Road, jail road punjab lahore"/>
    <s v="042-99203053, 03008183288"/>
    <s v="punjab.cardiology@gmail.com"/>
    <s v="9020107-1"/>
    <s v="_"/>
    <n v="15492667"/>
    <n v="23"/>
    <n v="4804146"/>
    <m/>
    <m/>
    <m/>
    <m/>
    <m/>
    <m/>
    <m/>
    <m/>
    <m/>
    <m/>
    <m/>
    <m/>
    <m/>
    <m/>
    <m/>
    <m/>
    <m/>
    <m/>
    <m/>
    <m/>
    <m/>
    <m/>
    <m/>
    <m/>
    <m/>
    <m/>
    <x v="0"/>
    <x v="3"/>
    <n v="1"/>
    <s v="Placed  "/>
    <m/>
    <m/>
    <m/>
    <m/>
    <m/>
    <m/>
    <m/>
    <m/>
    <m/>
    <m/>
    <m/>
    <m/>
    <n v="0"/>
    <m/>
    <m/>
    <m/>
    <m/>
    <m/>
    <m/>
    <m/>
    <m/>
    <m/>
    <m/>
    <n v="2462400"/>
    <n v="16873200"/>
    <n v="19335600"/>
    <m/>
    <m/>
    <m/>
    <n v="0"/>
    <n v="9667800"/>
    <m/>
    <n v="19335600"/>
    <n v="3"/>
    <n v="6445200"/>
    <m/>
    <n v="1641054"/>
    <m/>
    <n v="547018"/>
    <m/>
    <n v="0"/>
    <n v="0"/>
  </r>
  <r>
    <x v="0"/>
    <s v="iFlash 1200"/>
    <n v="15002553"/>
    <s v="Immunoassay"/>
    <m/>
    <m/>
    <m/>
    <m/>
    <m/>
    <s v="02.09.2025"/>
    <m/>
    <m/>
    <x v="0"/>
    <x v="1"/>
    <s v="Wazirabad"/>
    <n v="3020001131"/>
    <x v="79"/>
    <m/>
    <m/>
    <m/>
    <m/>
    <m/>
    <m/>
    <n v="3032232"/>
    <n v="36"/>
    <n v="147374"/>
    <m/>
    <m/>
    <m/>
    <m/>
    <m/>
    <m/>
    <m/>
    <m/>
    <m/>
    <m/>
    <m/>
    <m/>
    <m/>
    <m/>
    <m/>
    <m/>
    <m/>
    <m/>
    <m/>
    <m/>
    <m/>
    <m/>
    <m/>
    <m/>
    <m/>
    <m/>
    <x v="0"/>
    <x v="3"/>
    <n v="1"/>
    <s v="Placed"/>
    <m/>
    <m/>
    <m/>
    <m/>
    <m/>
    <m/>
    <m/>
    <m/>
    <m/>
    <m/>
    <m/>
    <m/>
    <n v="0"/>
    <m/>
    <m/>
    <m/>
    <m/>
    <m/>
    <m/>
    <m/>
    <m/>
    <n v="251840"/>
    <n v="381770"/>
    <n v="0"/>
    <m/>
    <n v="633610"/>
    <m/>
    <m/>
    <n v="391470"/>
    <n v="391470"/>
    <n v="257746.66666666666"/>
    <m/>
    <n v="1025080"/>
    <n v="3"/>
    <n v="341693.33333333331"/>
    <m/>
    <n v="194319.33333333331"/>
    <m/>
    <n v="64773.111111111102"/>
    <m/>
    <n v="0"/>
    <n v="0"/>
  </r>
  <r>
    <x v="0"/>
    <s v="IFlash 1800 "/>
    <n v="15002462"/>
    <s v="Immunoassay"/>
    <n v="3002000028"/>
    <s v="N/A"/>
    <s v="IA00096624"/>
    <s v="27.01.2023"/>
    <s v="10.01.2023"/>
    <s v="27.02.2023"/>
    <s v="Available"/>
    <m/>
    <x v="0"/>
    <x v="1"/>
    <s v="Gujranwala"/>
    <n v="3020001141"/>
    <x v="80"/>
    <s v="Mr. Nawaz Ahmed Bajwa"/>
    <s v="Sialkot Road, Gujranwala."/>
    <s v="055-3259061-3"/>
    <s v="Not Available"/>
    <s v="2298630-8"/>
    <m/>
    <n v="3706000"/>
    <n v="15"/>
    <n v="541370"/>
    <m/>
    <m/>
    <s v="1 month sales, first order sale still not completed due to unavailiblity of stock"/>
    <s v="Stock unavailable "/>
    <s v="account has been blocked "/>
    <s v="invoice 0.7 Mio has been recieved "/>
    <s v="order will be executed in Aug 0.6 Mio"/>
    <s v="Stocks issue resolved few new parameters added we are expecting in Q3 we will cover the deficit ."/>
    <s v="800,000 order invoiced "/>
    <s v="in line as per business comitment "/>
    <m/>
    <m/>
    <m/>
    <m/>
    <m/>
    <m/>
    <m/>
    <m/>
    <s v="Sales are on track"/>
    <m/>
    <m/>
    <m/>
    <m/>
    <m/>
    <m/>
    <m/>
    <x v="0"/>
    <x v="3"/>
    <n v="1"/>
    <s v="Placed"/>
    <n v="640175"/>
    <n v="530975"/>
    <n v="569950"/>
    <n v="469775"/>
    <n v="561800"/>
    <n v="577100"/>
    <n v="873725"/>
    <n v="747100"/>
    <n v="811225"/>
    <n v="365700"/>
    <n v="855075"/>
    <n v="583900"/>
    <n v="7586500"/>
    <n v="672050"/>
    <n v="462125"/>
    <n v="422120"/>
    <n v="576650"/>
    <n v="634525"/>
    <n v="468775"/>
    <n v="514375"/>
    <n v="574200"/>
    <n v="505350"/>
    <n v="359125"/>
    <n v="714925"/>
    <n v="377400"/>
    <n v="6281620"/>
    <n v="574900"/>
    <n v="986225"/>
    <n v="843500"/>
    <n v="2404625"/>
    <n v="642679.16666666663"/>
    <m/>
    <n v="16272745"/>
    <n v="35"/>
    <n v="464935.57142857142"/>
    <n v="-2803098"/>
    <n v="-76434.42857142858"/>
    <s v="Sales on track"/>
    <n v="-2183.8408163265308"/>
    <n v="0.4"/>
    <n v="6509098"/>
    <n v="0.4"/>
  </r>
  <r>
    <x v="7"/>
    <s v="EC90"/>
    <n v="15002674"/>
    <s v="Electrolyte Analyzer"/>
    <m/>
    <m/>
    <s v="5867-2-202302"/>
    <m/>
    <m/>
    <s v="12.09.2025"/>
    <m/>
    <m/>
    <x v="0"/>
    <x v="0"/>
    <s v="Karachi"/>
    <n v="3020001174"/>
    <x v="81"/>
    <m/>
    <m/>
    <m/>
    <m/>
    <m/>
    <m/>
    <n v="633821"/>
    <n v="22"/>
    <n v="63930"/>
    <m/>
    <m/>
    <m/>
    <m/>
    <m/>
    <m/>
    <m/>
    <m/>
    <m/>
    <m/>
    <m/>
    <m/>
    <m/>
    <m/>
    <m/>
    <m/>
    <m/>
    <m/>
    <m/>
    <m/>
    <m/>
    <m/>
    <m/>
    <m/>
    <m/>
    <m/>
    <x v="13"/>
    <x v="43"/>
    <n v="1"/>
    <s v="Placed"/>
    <m/>
    <m/>
    <m/>
    <m/>
    <m/>
    <m/>
    <m/>
    <m/>
    <m/>
    <m/>
    <m/>
    <m/>
    <n v="0"/>
    <m/>
    <m/>
    <m/>
    <m/>
    <m/>
    <m/>
    <m/>
    <m/>
    <n v="87100"/>
    <m/>
    <m/>
    <m/>
    <n v="87100"/>
    <n v="0"/>
    <n v="0"/>
    <n v="0"/>
    <n v="0"/>
    <n v="0"/>
    <m/>
    <n v="87100"/>
    <n v="5"/>
    <n v="17420"/>
    <m/>
    <n v="-46510"/>
    <m/>
    <n v="-9302"/>
    <m/>
    <n v="0"/>
    <n v="0"/>
  </r>
  <r>
    <x v="7"/>
    <s v="ECL412"/>
    <n v="15002668"/>
    <s v="Coagulation Analyzer"/>
    <n v="3002000074"/>
    <m/>
    <s v="E0672-41-300621"/>
    <m/>
    <m/>
    <s v="16.09.2024"/>
    <m/>
    <m/>
    <x v="0"/>
    <x v="0"/>
    <s v="Nawabshah"/>
    <n v="3020001175"/>
    <x v="82"/>
    <m/>
    <m/>
    <m/>
    <m/>
    <m/>
    <m/>
    <n v="483475"/>
    <n v="6"/>
    <n v="143250"/>
    <m/>
    <m/>
    <m/>
    <m/>
    <m/>
    <m/>
    <m/>
    <m/>
    <m/>
    <m/>
    <m/>
    <m/>
    <m/>
    <m/>
    <m/>
    <m/>
    <m/>
    <m/>
    <e v="#N/A"/>
    <m/>
    <m/>
    <m/>
    <m/>
    <m/>
    <m/>
    <m/>
    <x v="10"/>
    <x v="44"/>
    <n v="1"/>
    <s v="Placed"/>
    <m/>
    <m/>
    <m/>
    <m/>
    <m/>
    <m/>
    <m/>
    <m/>
    <m/>
    <m/>
    <m/>
    <m/>
    <n v="0"/>
    <m/>
    <m/>
    <m/>
    <m/>
    <n v="0"/>
    <n v="154153"/>
    <n v="0"/>
    <n v="0"/>
    <n v="150763"/>
    <n v="0"/>
    <n v="0"/>
    <n v="0"/>
    <n v="304916"/>
    <n v="155085"/>
    <m/>
    <n v="113390"/>
    <n v="268475"/>
    <n v="53695"/>
    <s v="tender based busi. Demo kits have been issued then they’ll order"/>
    <n v="573391"/>
    <n v="6"/>
    <n v="95565.166666666672"/>
    <n v="254118.59999999998"/>
    <n v="-47684.833333333328"/>
    <s v="Sales from June, Sales on track"/>
    <n v="-7947.4722222222217"/>
    <n v="0.4"/>
    <n v="229356.40000000002"/>
    <n v="0.4"/>
  </r>
  <r>
    <x v="0"/>
    <s v="iFlash 1200"/>
    <n v="15002553"/>
    <s v="Immunoassay"/>
    <m/>
    <m/>
    <m/>
    <m/>
    <m/>
    <s v="12.09.2024"/>
    <s v="Not Available"/>
    <m/>
    <x v="1"/>
    <x v="0"/>
    <s v="Nawabshah"/>
    <n v="3020001175"/>
    <x v="82"/>
    <m/>
    <m/>
    <m/>
    <m/>
    <m/>
    <m/>
    <n v="2915000"/>
    <n v="36"/>
    <n v="295221"/>
    <m/>
    <m/>
    <m/>
    <m/>
    <m/>
    <m/>
    <m/>
    <m/>
    <m/>
    <m/>
    <m/>
    <m/>
    <m/>
    <m/>
    <m/>
    <m/>
    <m/>
    <m/>
    <e v="#N/A"/>
    <m/>
    <m/>
    <m/>
    <m/>
    <m/>
    <m/>
    <m/>
    <x v="2"/>
    <x v="2"/>
    <m/>
    <m/>
    <m/>
    <m/>
    <m/>
    <m/>
    <m/>
    <m/>
    <m/>
    <m/>
    <m/>
    <m/>
    <m/>
    <m/>
    <n v="0"/>
    <m/>
    <m/>
    <m/>
    <m/>
    <m/>
    <m/>
    <n v="0"/>
    <n v="0"/>
    <m/>
    <n v="0"/>
    <n v="0"/>
    <m/>
    <n v="0"/>
    <m/>
    <m/>
    <m/>
    <n v="0"/>
    <n v="0"/>
    <m/>
    <n v="0"/>
    <m/>
    <e v="#DIV/0!"/>
    <n v="2915000"/>
    <m/>
    <s v="No sales yet"/>
    <e v="#DIV/0!"/>
    <n v="0.4"/>
    <n v="0"/>
    <n v="0.4"/>
  </r>
  <r>
    <x v="1"/>
    <s v="Selectra Mach 5"/>
    <n v="15002463"/>
    <s v="Clinical Chemistry"/>
    <n v="3002000002"/>
    <s v="N/A"/>
    <s v="21-5017"/>
    <m/>
    <s v="21.9.2023"/>
    <s v="19.03.2024"/>
    <s v="Available"/>
    <m/>
    <x v="0"/>
    <x v="1"/>
    <s v="Gujrat"/>
    <n v="3020001192"/>
    <x v="83"/>
    <s v="Govt. Institute"/>
    <s v="AZIZ BHATTI SHAHEED TEACHING HOSPITAL"/>
    <s v="053-9260104"/>
    <s v=" shaistasyed28@hotmail.com"/>
    <s v="9021249-0"/>
    <m/>
    <n v="4350000"/>
    <n v="30"/>
    <n v="391086"/>
    <m/>
    <m/>
    <m/>
    <m/>
    <m/>
    <m/>
    <m/>
    <m/>
    <m/>
    <m/>
    <m/>
    <m/>
    <m/>
    <m/>
    <m/>
    <m/>
    <m/>
    <m/>
    <m/>
    <m/>
    <m/>
    <m/>
    <m/>
    <m/>
    <m/>
    <m/>
    <x v="13"/>
    <x v="45"/>
    <n v="1"/>
    <s v="Placed"/>
    <n v="3781305.1599999997"/>
    <n v="0"/>
    <n v="236600"/>
    <n v="0"/>
    <n v="0"/>
    <n v="0"/>
    <n v="2442712.11"/>
    <n v="-335500"/>
    <n v="0"/>
    <n v="685254.27"/>
    <n v="0"/>
    <n v="1821694.8600000003"/>
    <n v="8632066.3999999985"/>
    <n v="0"/>
    <n v="0"/>
    <n v="878818"/>
    <n v="0"/>
    <n v="0"/>
    <n v="0"/>
    <n v="0"/>
    <n v="0"/>
    <n v="0"/>
    <m/>
    <m/>
    <m/>
    <n v="878818"/>
    <n v="0"/>
    <n v="0"/>
    <n v="0"/>
    <n v="0"/>
    <n v="0"/>
    <m/>
    <n v="9510884.3999999985"/>
    <n v="25"/>
    <n v="380435.37599999993"/>
    <n v="70102.020000000484"/>
    <n v="-10650.624000000069"/>
    <s v="Sales on track"/>
    <n v="-426.02496000000275"/>
    <n v="0.45"/>
    <n v="4279897.9799999995"/>
    <n v="0.45"/>
  </r>
  <r>
    <x v="1"/>
    <s v="Selectra Mach 5"/>
    <n v="15002463"/>
    <s v="Clinical Chemistry"/>
    <n v="3002000105"/>
    <s v="Transferred to Medcare"/>
    <s v="24-5018"/>
    <m/>
    <m/>
    <s v="13.05.2025"/>
    <m/>
    <m/>
    <x v="1"/>
    <x v="1"/>
    <s v="Lahore"/>
    <n v="3020001221"/>
    <x v="84"/>
    <m/>
    <s v="Jatti Umra, Adda Plot Rawand Road, Punjab"/>
    <s v="042-37860101"/>
    <s v="smch@brain.net.pk"/>
    <s v="1888872-7"/>
    <m/>
    <n v="4335000"/>
    <n v="35"/>
    <n v="272436"/>
    <m/>
    <m/>
    <m/>
    <m/>
    <m/>
    <m/>
    <m/>
    <m/>
    <m/>
    <m/>
    <m/>
    <m/>
    <m/>
    <m/>
    <m/>
    <m/>
    <m/>
    <m/>
    <m/>
    <m/>
    <m/>
    <m/>
    <m/>
    <m/>
    <m/>
    <m/>
    <x v="4"/>
    <x v="2"/>
    <m/>
    <m/>
    <m/>
    <m/>
    <m/>
    <m/>
    <m/>
    <m/>
    <n v="258474.57"/>
    <n v="494000"/>
    <n v="354880"/>
    <m/>
    <m/>
    <n v="280000"/>
    <n v="1387354.57"/>
    <n v="0"/>
    <n v="0"/>
    <n v="0"/>
    <n v="0"/>
    <n v="0"/>
    <n v="0"/>
    <n v="0"/>
    <n v="0"/>
    <n v="0"/>
    <n v="0"/>
    <n v="0"/>
    <m/>
    <n v="0"/>
    <m/>
    <m/>
    <m/>
    <n v="0"/>
    <n v="0"/>
    <m/>
    <n v="1387354.57"/>
    <n v="16"/>
    <n v="86709.660625000004"/>
    <n v="3710690.4435000001"/>
    <n v="122659.33333333331"/>
    <s v="Sales on track"/>
    <n v="7666.2083333333321"/>
    <n v="0.45"/>
    <n v="624309.55650000006"/>
    <n v="0.45"/>
  </r>
  <r>
    <x v="1"/>
    <s v="Selectra Mach 5"/>
    <n v="15002463"/>
    <s v="Clinical Chemistry"/>
    <n v="3002000110"/>
    <m/>
    <s v="24-5032"/>
    <s v="11.02.2025"/>
    <m/>
    <s v="20.12.2024"/>
    <s v="Available"/>
    <m/>
    <x v="1"/>
    <x v="0"/>
    <s v="Karachi"/>
    <n v="3020001224"/>
    <x v="85"/>
    <m/>
    <s v="Fauji Foundation, Shahfaisal colony-2"/>
    <s v="021-3814060"/>
    <s v="shaffat.hussain@fauji.org.pk"/>
    <s v="0710317-2"/>
    <m/>
    <n v="8800000"/>
    <n v="35"/>
    <n v="389145"/>
    <m/>
    <m/>
    <m/>
    <m/>
    <m/>
    <m/>
    <m/>
    <m/>
    <m/>
    <m/>
    <m/>
    <m/>
    <m/>
    <m/>
    <m/>
    <m/>
    <m/>
    <m/>
    <e v="#N/A"/>
    <m/>
    <m/>
    <m/>
    <m/>
    <m/>
    <m/>
    <m/>
    <x v="2"/>
    <x v="2"/>
    <m/>
    <m/>
    <m/>
    <m/>
    <m/>
    <m/>
    <m/>
    <m/>
    <m/>
    <m/>
    <m/>
    <m/>
    <m/>
    <m/>
    <n v="0"/>
    <m/>
    <m/>
    <n v="4557907"/>
    <m/>
    <n v="259077"/>
    <m/>
    <m/>
    <m/>
    <m/>
    <m/>
    <m/>
    <m/>
    <n v="4816984"/>
    <m/>
    <m/>
    <m/>
    <n v="0"/>
    <n v="0"/>
    <m/>
    <n v="4816984"/>
    <n v="8"/>
    <n v="602123"/>
    <n v="6632357.1999999993"/>
    <n v="212978"/>
    <s v="Sales on track"/>
    <n v="26622.25"/>
    <n v="0.45"/>
    <n v="2167642.8000000003"/>
    <n v="0.45"/>
  </r>
  <r>
    <x v="1"/>
    <s v="Selectra Mach 5"/>
    <n v="15002463"/>
    <s v="Clinical Chemistry"/>
    <m/>
    <m/>
    <m/>
    <m/>
    <m/>
    <m/>
    <m/>
    <m/>
    <x v="5"/>
    <x v="0"/>
    <s v="Karachi"/>
    <n v="3020001224"/>
    <x v="85"/>
    <m/>
    <m/>
    <m/>
    <m/>
    <m/>
    <m/>
    <n v="8800000"/>
    <n v="37"/>
    <n v="379664"/>
    <m/>
    <m/>
    <m/>
    <m/>
    <m/>
    <m/>
    <m/>
    <m/>
    <m/>
    <m/>
    <m/>
    <m/>
    <m/>
    <m/>
    <m/>
    <m/>
    <m/>
    <m/>
    <m/>
    <m/>
    <m/>
    <m/>
    <m/>
    <m/>
    <m/>
    <m/>
    <x v="0"/>
    <x v="46"/>
    <n v="1"/>
    <s v="Placed"/>
    <m/>
    <m/>
    <m/>
    <m/>
    <m/>
    <m/>
    <m/>
    <m/>
    <m/>
    <m/>
    <m/>
    <m/>
    <n v="0"/>
    <m/>
    <m/>
    <n v="4557907"/>
    <m/>
    <n v="259077"/>
    <m/>
    <m/>
    <n v="30000"/>
    <n v="2618773"/>
    <n v="3250213"/>
    <n v="3363259"/>
    <n v="2171078"/>
    <n v="16250307"/>
    <n v="5612247"/>
    <n v="221538"/>
    <n v="418339"/>
    <n v="6252124"/>
    <n v="2506112.3333333335"/>
    <m/>
    <n v="22502431"/>
    <n v="6"/>
    <n v="3750405.1666666665"/>
    <m/>
    <n v="3370741.1666666665"/>
    <m/>
    <n v="561790.19444444438"/>
    <m/>
    <n v="0"/>
    <n v="0"/>
  </r>
  <r>
    <x v="7"/>
    <s v="EC90"/>
    <n v="15002674"/>
    <s v="Electrolyte Analyzer"/>
    <n v="3002000116"/>
    <m/>
    <s v="81-1-202207"/>
    <m/>
    <m/>
    <s v="27.06.2025"/>
    <m/>
    <m/>
    <x v="0"/>
    <x v="1"/>
    <s v="Rahim Yar Khan"/>
    <n v="3020001230"/>
    <x v="86"/>
    <m/>
    <m/>
    <m/>
    <m/>
    <m/>
    <m/>
    <n v="653000"/>
    <n v="27"/>
    <n v="79375"/>
    <m/>
    <m/>
    <m/>
    <m/>
    <m/>
    <m/>
    <m/>
    <m/>
    <m/>
    <m/>
    <m/>
    <m/>
    <m/>
    <m/>
    <m/>
    <m/>
    <m/>
    <m/>
    <m/>
    <m/>
    <m/>
    <m/>
    <m/>
    <m/>
    <m/>
    <m/>
    <x v="13"/>
    <x v="47"/>
    <m/>
    <s v="Placed"/>
    <m/>
    <m/>
    <m/>
    <m/>
    <m/>
    <m/>
    <m/>
    <m/>
    <m/>
    <m/>
    <n v="190500"/>
    <m/>
    <n v="190500"/>
    <m/>
    <m/>
    <n v="381000"/>
    <n v="0"/>
    <n v="0"/>
    <n v="0"/>
    <n v="0"/>
    <n v="0"/>
    <n v="0"/>
    <m/>
    <m/>
    <m/>
    <n v="381000"/>
    <m/>
    <m/>
    <m/>
    <n v="0"/>
    <n v="0"/>
    <m/>
    <n v="571500"/>
    <n v="12"/>
    <n v="47625"/>
    <n v="653000"/>
    <n v="-31750"/>
    <m/>
    <n v="-2645.8333333333335"/>
    <m/>
    <n v="0"/>
    <n v="0"/>
  </r>
  <r>
    <x v="5"/>
    <s v="DYMIND DH-76"/>
    <n v="15003243"/>
    <s v="Hematology "/>
    <m/>
    <m/>
    <s v="DM11052437001"/>
    <m/>
    <m/>
    <s v="25.04.2025"/>
    <s v="Available"/>
    <m/>
    <x v="0"/>
    <x v="1"/>
    <s v="Gujranwala"/>
    <n v="3020001237"/>
    <x v="87"/>
    <s v="N/A"/>
    <s v="Sheikhupura road, Gujranwala"/>
    <s v="0308-4227064"/>
    <s v="ssmtci@yahoo.com"/>
    <s v="2073349-6"/>
    <m/>
    <n v="2324427"/>
    <n v="37"/>
    <n v="92242"/>
    <m/>
    <m/>
    <m/>
    <m/>
    <m/>
    <m/>
    <m/>
    <m/>
    <m/>
    <m/>
    <m/>
    <m/>
    <m/>
    <m/>
    <m/>
    <m/>
    <m/>
    <m/>
    <m/>
    <m/>
    <m/>
    <m/>
    <m/>
    <m/>
    <m/>
    <m/>
    <x v="31"/>
    <x v="5"/>
    <n v="1"/>
    <s v="Placed"/>
    <m/>
    <m/>
    <m/>
    <m/>
    <m/>
    <m/>
    <m/>
    <m/>
    <m/>
    <m/>
    <m/>
    <m/>
    <n v="0"/>
    <n v="0"/>
    <n v="0"/>
    <n v="0"/>
    <n v="238820"/>
    <n v="0"/>
    <n v="0"/>
    <n v="222380"/>
    <n v="916400"/>
    <n v="98940"/>
    <n v="100200"/>
    <m/>
    <n v="273000"/>
    <n v="1849740"/>
    <n v="0"/>
    <n v="0"/>
    <m/>
    <n v="0"/>
    <n v="93300"/>
    <m/>
    <n v="1849740"/>
    <n v="8"/>
    <n v="231217.5"/>
    <n v="1584531"/>
    <n v="138975.5"/>
    <s v="Sales on track"/>
    <n v="17371.9375"/>
    <n v="0.4"/>
    <n v="739896"/>
    <n v="0.4"/>
  </r>
  <r>
    <x v="1"/>
    <s v="Selectra Mach 5"/>
    <n v="15002463"/>
    <s v="Clinical Chemistry"/>
    <n v="3002000001"/>
    <s v="N/A"/>
    <s v="22-5003"/>
    <s v="18.01.2022"/>
    <s v="29.03.2022"/>
    <s v="20.03.2022"/>
    <s v="Available"/>
    <m/>
    <x v="0"/>
    <x v="1"/>
    <s v="Gujranwala"/>
    <n v="3020001237"/>
    <x v="87"/>
    <s v="Mr. Usman"/>
    <s v="Sheikhupura road, Gujranwala"/>
    <s v="0304-1114242"/>
    <s v=" ssmtci@yahoo.com       "/>
    <s v="2073349-6"/>
    <m/>
    <n v="4520275"/>
    <n v="32"/>
    <n v="40000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s v="issue in instrument "/>
    <s v="Sales is below agreed terms ,reason prob in instrument and shortage of stocks . We are going to revise the prices @20% .Stocks issue resolved in next three month we will cover the deficit ."/>
    <s v=" Order is in process expected orderRs. 800,000 "/>
    <s v="prices revised to mitigate the commited Sales gap "/>
    <m/>
    <m/>
    <m/>
    <m/>
    <m/>
    <m/>
    <m/>
    <m/>
    <s v="Sales are on track. We have revised the prices. Gap will be covered within next 3 months"/>
    <m/>
    <s v="Revised case"/>
    <m/>
    <m/>
    <m/>
    <m/>
    <m/>
    <x v="10"/>
    <x v="48"/>
    <n v="1"/>
    <s v="Placed"/>
    <n v="0"/>
    <n v="324345"/>
    <n v="19245"/>
    <n v="225042"/>
    <n v="677282"/>
    <n v="0"/>
    <n v="710770"/>
    <n v="0"/>
    <n v="29800"/>
    <n v="298061"/>
    <n v="610185"/>
    <n v="41090"/>
    <n v="2935820"/>
    <n v="269486"/>
    <n v="487678"/>
    <n v="93646"/>
    <n v="1110653"/>
    <n v="10602"/>
    <n v="87624"/>
    <n v="45600"/>
    <n v="815305"/>
    <n v="336333"/>
    <n v="571545"/>
    <n v="-18142"/>
    <n v="441948"/>
    <n v="4252278"/>
    <n v="141569"/>
    <n v="520230"/>
    <n v="188558"/>
    <n v="850357"/>
    <n v="307618"/>
    <m/>
    <n v="8038455"/>
    <n v="45"/>
    <n v="178632.33333333334"/>
    <n v="902970.25"/>
    <n v="-221367.66666666666"/>
    <s v="Sales behind track"/>
    <n v="-4919.281481481481"/>
    <n v="0.45"/>
    <n v="3617304.75"/>
    <n v="0.45"/>
  </r>
  <r>
    <x v="2"/>
    <s v="Vitros ECiQ Immunodiagnostic System"/>
    <n v="15002760"/>
    <s v="Immunoassay"/>
    <n v="3002000035"/>
    <s v="N/A"/>
    <n v="30006187"/>
    <s v="20.07.2023"/>
    <s v="17.05.2023"/>
    <s v="17.05.2023"/>
    <s v="Available"/>
    <m/>
    <x v="1"/>
    <x v="1"/>
    <s v="Lahore"/>
    <n v="3020001238"/>
    <x v="88"/>
    <s v="Dr. Mateen Izhar"/>
    <s v="100-A, Shadman-1, Lahore-54000"/>
    <s v="042-37550666 &amp; 37550555"/>
    <s v="zubairee786@gmail.com     "/>
    <s v="1533283-7"/>
    <m/>
    <n v="7000000"/>
    <n v="23"/>
    <n v="909975"/>
    <m/>
    <m/>
    <m/>
    <m/>
    <s v="System is still not installed "/>
    <m/>
    <s v="System is still not installed "/>
    <s v="System is still not installed "/>
    <s v="Waiting for Inventory &amp; then invoice execution "/>
    <m/>
    <s v="New PO has been Recieved Amount Subject to Invoice "/>
    <s v="Parameter Woking Planning to shift from Roche "/>
    <m/>
    <s v="Parameter Woking Planning to shift from Roche "/>
    <s v="PO is in hand , waiting for payment "/>
    <s v="once payment will receive then order will be released by our finance and number will shown in sales "/>
    <s v="credit days issue , actually we block the orders after 30 days and our competitor has given the supplies. i think we redefine the credit days to 60"/>
    <m/>
    <s v="we have received an order of 0.4 mio. Re-negotiating the prices/Contract"/>
    <m/>
    <s v="Revised case"/>
    <m/>
    <m/>
    <s v="No sales in June and July"/>
    <m/>
    <m/>
    <x v="2"/>
    <x v="2"/>
    <m/>
    <m/>
    <n v="0"/>
    <n v="0"/>
    <n v="232100"/>
    <n v="47000"/>
    <n v="164500"/>
    <n v="0"/>
    <n v="0"/>
    <n v="0"/>
    <n v="249200"/>
    <n v="0"/>
    <n v="0"/>
    <n v="65700"/>
    <n v="758500"/>
    <n v="0"/>
    <n v="0"/>
    <n v="0"/>
    <n v="0"/>
    <n v="0"/>
    <m/>
    <m/>
    <m/>
    <m/>
    <m/>
    <m/>
    <m/>
    <n v="0"/>
    <m/>
    <m/>
    <m/>
    <n v="0"/>
    <n v="0"/>
    <m/>
    <n v="758500"/>
    <n v="23"/>
    <n v="32978.260869565216"/>
    <n v="6696600"/>
    <n v="-876996.73913043481"/>
    <s v="Sales behind track"/>
    <n v="-38130.293005671076"/>
    <n v="0.4"/>
    <n v="303400"/>
    <n v="0.35"/>
  </r>
  <r>
    <x v="7"/>
    <s v="EC90"/>
    <n v="15002674"/>
    <s v="Electrolyte Analyzer "/>
    <n v="3002000043"/>
    <s v="N/A"/>
    <s v="5782-2-202302 "/>
    <s v="07.08.2023 "/>
    <s v="07.11.2023"/>
    <s v="03.08.2023"/>
    <s v="Available"/>
    <m/>
    <x v="1"/>
    <x v="0"/>
    <s v="Karachi"/>
    <n v="3020001255"/>
    <x v="89"/>
    <s v="N/A"/>
    <s v="House B-24, Block 20, FB Area, Gulberg Town,"/>
    <s v="0333-3351024, 021-36341059"/>
    <s v=" lab@jdcwelfare.org"/>
    <s v="4003056-3"/>
    <m/>
    <n v="442697"/>
    <n v="11"/>
    <n v="105332.5"/>
    <m/>
    <m/>
    <m/>
    <m/>
    <m/>
    <m/>
    <n v="0"/>
    <n v="0"/>
    <s v="We've received order of 280,000 in August 2023 "/>
    <s v="Order received as per commitment"/>
    <s v="No Orders received in Sep 2023 due to innaguration preparation"/>
    <s v="Working with customer to get the desired orders as per comittment"/>
    <m/>
    <m/>
    <m/>
    <m/>
    <s v="Still lab isnt completely opperational"/>
    <m/>
    <s v="Business case to be check for monthly commitment One machine to be pull back by 15 April"/>
    <m/>
    <s v="Under dicussion on pull back of one instrument, infromed to Insituite. We will pull back one unit by May 2024."/>
    <m/>
    <m/>
    <m/>
    <m/>
    <m/>
    <x v="2"/>
    <x v="2"/>
    <m/>
    <m/>
    <m/>
    <n v="122500"/>
    <m/>
    <n v="17500"/>
    <n v="0"/>
    <m/>
    <m/>
    <m/>
    <m/>
    <m/>
    <m/>
    <m/>
    <n v="140000"/>
    <m/>
    <m/>
    <m/>
    <m/>
    <m/>
    <m/>
    <m/>
    <m/>
    <m/>
    <m/>
    <m/>
    <m/>
    <n v="0"/>
    <m/>
    <m/>
    <m/>
    <n v="0"/>
    <n v="0"/>
    <s v="Return confirm status/Hopefully pull back this month coz they were not satisfied by the services"/>
    <n v="140000"/>
    <n v="20"/>
    <n v="7000"/>
    <n v="386697"/>
    <n v="-98332.5"/>
    <s v="Sales behind track"/>
    <n v="-4916.625"/>
    <n v="0.4"/>
    <n v="56000"/>
    <n v="0.4"/>
  </r>
  <r>
    <x v="7"/>
    <s v="EC90"/>
    <n v="15002674"/>
    <s v="Electrolyte Analyzer "/>
    <n v="3002000043"/>
    <s v="N/A"/>
    <s v="4286-2-202208"/>
    <s v="04.07.2023"/>
    <s v="07.11.2023"/>
    <s v="08.03.2024"/>
    <s v="Available"/>
    <m/>
    <x v="1"/>
    <x v="0"/>
    <s v="Karachi"/>
    <n v="3020001255"/>
    <x v="89"/>
    <s v="N/A"/>
    <s v="House B-24, Block 20, FB Area, Gulberg Town,"/>
    <s v="0333-3351024, 021-36341059"/>
    <s v=" lab@jdcwelfare.org"/>
    <s v="4003056-3"/>
    <m/>
    <n v="442697"/>
    <n v="11"/>
    <n v="105332.5"/>
    <m/>
    <m/>
    <m/>
    <m/>
    <m/>
    <m/>
    <m/>
    <m/>
    <m/>
    <m/>
    <m/>
    <m/>
    <m/>
    <m/>
    <m/>
    <m/>
    <m/>
    <m/>
    <s v="Business case to be check for monthly commitment One machine to be pull back by 15 April"/>
    <m/>
    <s v="Under dicussion on pull back of one instrument, infromed to Insituite. We will pull back one unit by May 2024."/>
    <s v="Letter submitted to pull back one Unit"/>
    <m/>
    <m/>
    <m/>
    <m/>
    <x v="2"/>
    <x v="2"/>
    <m/>
    <m/>
    <m/>
    <n v="122500"/>
    <m/>
    <n v="17500"/>
    <n v="0"/>
    <m/>
    <m/>
    <m/>
    <m/>
    <m/>
    <m/>
    <m/>
    <n v="140000"/>
    <m/>
    <m/>
    <n v="0"/>
    <m/>
    <m/>
    <m/>
    <m/>
    <m/>
    <m/>
    <m/>
    <m/>
    <m/>
    <n v="0"/>
    <m/>
    <m/>
    <m/>
    <n v="0"/>
    <n v="0"/>
    <s v="Return confirm status/Hopefully pull back this month coz they were not satisfied by the services"/>
    <n v="140000"/>
    <n v="20"/>
    <n v="7000"/>
    <n v="386697"/>
    <n v="-98332.5"/>
    <s v="Sales behind track"/>
    <n v="-4916.625"/>
    <n v="0.4"/>
    <n v="56000"/>
    <n v="0.4"/>
  </r>
  <r>
    <x v="0"/>
    <s v="IFlash 1800 "/>
    <n v="15002462"/>
    <s v="Immunoassay"/>
    <n v="3002000071"/>
    <m/>
    <s v="IA00096724 "/>
    <m/>
    <s v="Not mentioned on the agreement "/>
    <s v="30.09.2024"/>
    <s v="Available"/>
    <m/>
    <x v="0"/>
    <x v="1"/>
    <s v="Lahore"/>
    <n v="3020001280"/>
    <x v="90"/>
    <m/>
    <s v="133-A Faisal town opposite to Allama Iqbal medical college gate no. 2"/>
    <s v="0336-4820296 &amp; 042-35163747"/>
    <s v="support@testzone.com.pk"/>
    <s v="4008662-3"/>
    <m/>
    <n v="4615000"/>
    <n v="15"/>
    <n v="2046333"/>
    <m/>
    <m/>
    <m/>
    <m/>
    <m/>
    <m/>
    <m/>
    <m/>
    <m/>
    <m/>
    <m/>
    <m/>
    <m/>
    <m/>
    <m/>
    <m/>
    <m/>
    <m/>
    <e v="#N/A"/>
    <m/>
    <m/>
    <m/>
    <m/>
    <m/>
    <m/>
    <m/>
    <x v="10"/>
    <x v="49"/>
    <n v="1"/>
    <s v="Placed"/>
    <m/>
    <m/>
    <m/>
    <m/>
    <m/>
    <m/>
    <m/>
    <n v="2085200"/>
    <n v="804000"/>
    <n v="590000"/>
    <n v="803000"/>
    <n v="0"/>
    <n v="4282200"/>
    <n v="2171000"/>
    <n v="0"/>
    <n v="0"/>
    <n v="496000"/>
    <n v="1771200"/>
    <m/>
    <n v="2783753"/>
    <m/>
    <n v="1174300"/>
    <n v="2198150"/>
    <n v="0"/>
    <m/>
    <n v="10594403"/>
    <m/>
    <m/>
    <m/>
    <n v="0"/>
    <n v="1099075"/>
    <m/>
    <n v="14876603"/>
    <n v="16"/>
    <n v="929787.6875"/>
    <n v="-1335641.2000000002"/>
    <n v="-1116545.3125"/>
    <s v="Sales beerind track"/>
    <n v="-69784.08203125"/>
    <n v="0.4"/>
    <n v="5950641.2000000002"/>
    <n v="0.4"/>
  </r>
  <r>
    <x v="0"/>
    <s v="iFlash 1200"/>
    <n v="15002553"/>
    <s v="Immunoassay"/>
    <s v="AR # 300346"/>
    <m/>
    <s v="ID00148543"/>
    <m/>
    <m/>
    <s v="17.07.2025"/>
    <m/>
    <m/>
    <x v="0"/>
    <x v="1"/>
    <s v="Multan"/>
    <n v="3020001280"/>
    <x v="91"/>
    <m/>
    <m/>
    <m/>
    <m/>
    <m/>
    <m/>
    <n v="2894655"/>
    <n v="36"/>
    <n v="529290"/>
    <m/>
    <m/>
    <m/>
    <m/>
    <m/>
    <m/>
    <m/>
    <m/>
    <m/>
    <m/>
    <m/>
    <m/>
    <m/>
    <m/>
    <m/>
    <m/>
    <m/>
    <m/>
    <m/>
    <m/>
    <m/>
    <m/>
    <m/>
    <m/>
    <m/>
    <m/>
    <x v="10"/>
    <x v="49"/>
    <n v="1"/>
    <s v="Placed"/>
    <m/>
    <m/>
    <m/>
    <m/>
    <m/>
    <m/>
    <m/>
    <m/>
    <m/>
    <m/>
    <m/>
    <n v="0"/>
    <n v="0"/>
    <m/>
    <m/>
    <m/>
    <m/>
    <m/>
    <m/>
    <m/>
    <m/>
    <m/>
    <m/>
    <n v="0"/>
    <m/>
    <n v="0"/>
    <m/>
    <m/>
    <m/>
    <n v="0"/>
    <n v="0"/>
    <m/>
    <n v="0"/>
    <m/>
    <e v="#DIV/0!"/>
    <m/>
    <e v="#DIV/0!"/>
    <m/>
    <e v="#DIV/0!"/>
    <m/>
    <n v="0"/>
    <n v="0"/>
  </r>
  <r>
    <x v="0"/>
    <s v="iFlash 3000"/>
    <n v="15003241"/>
    <s v="Immunoassay"/>
    <s v="AR # 300245"/>
    <m/>
    <s v="FC4040144B"/>
    <m/>
    <m/>
    <s v="17.07.2025"/>
    <m/>
    <m/>
    <x v="0"/>
    <x v="1"/>
    <s v="Lahore"/>
    <n v="3020001280"/>
    <x v="90"/>
    <m/>
    <s v="133-A Faisal town opposite to Allama Iqbal medical college gate no. 2"/>
    <s v="0336-4820296 &amp; 042-35163747"/>
    <s v="support@testzone.com.pk"/>
    <s v="4008662-3"/>
    <m/>
    <n v="5025642"/>
    <n v="36"/>
    <n v="1028560"/>
    <m/>
    <m/>
    <m/>
    <m/>
    <m/>
    <m/>
    <m/>
    <m/>
    <m/>
    <m/>
    <m/>
    <m/>
    <m/>
    <m/>
    <m/>
    <m/>
    <m/>
    <m/>
    <m/>
    <m/>
    <m/>
    <m/>
    <m/>
    <m/>
    <m/>
    <m/>
    <x v="10"/>
    <x v="49"/>
    <n v="1"/>
    <s v="Placed"/>
    <m/>
    <m/>
    <m/>
    <m/>
    <m/>
    <m/>
    <m/>
    <m/>
    <m/>
    <m/>
    <m/>
    <m/>
    <n v="0"/>
    <m/>
    <m/>
    <m/>
    <m/>
    <m/>
    <m/>
    <m/>
    <m/>
    <m/>
    <m/>
    <n v="0"/>
    <m/>
    <n v="0"/>
    <m/>
    <m/>
    <m/>
    <n v="0"/>
    <n v="0"/>
    <m/>
    <n v="0"/>
    <m/>
    <e v="#DIV/0!"/>
    <m/>
    <e v="#DIV/0!"/>
    <m/>
    <e v="#DIV/0!"/>
    <m/>
    <n v="0"/>
    <n v="0"/>
  </r>
  <r>
    <x v="0"/>
    <s v="iFlash 1800"/>
    <n v="15002462"/>
    <s v="Immunoassay"/>
    <n v="3002000100"/>
    <m/>
    <s v="IA00147046"/>
    <m/>
    <m/>
    <s v="14.05.2025"/>
    <m/>
    <m/>
    <x v="0"/>
    <x v="2"/>
    <s v="Rawalpindi"/>
    <n v="3020001357"/>
    <x v="92"/>
    <m/>
    <m/>
    <m/>
    <m/>
    <m/>
    <m/>
    <n v="4715000"/>
    <n v="35"/>
    <n v="551283"/>
    <m/>
    <m/>
    <m/>
    <m/>
    <m/>
    <m/>
    <m/>
    <m/>
    <m/>
    <m/>
    <m/>
    <m/>
    <m/>
    <m/>
    <m/>
    <m/>
    <m/>
    <m/>
    <m/>
    <m/>
    <m/>
    <m/>
    <m/>
    <m/>
    <m/>
    <m/>
    <x v="24"/>
    <x v="50"/>
    <n v="1"/>
    <s v="Placed"/>
    <m/>
    <m/>
    <m/>
    <m/>
    <m/>
    <m/>
    <m/>
    <m/>
    <m/>
    <m/>
    <m/>
    <m/>
    <n v="0"/>
    <n v="1124145"/>
    <n v="181223"/>
    <n v="286961"/>
    <n v="695411"/>
    <n v="722945"/>
    <n v="448757"/>
    <n v="881376"/>
    <n v="397279"/>
    <n v="571425"/>
    <n v="0"/>
    <n v="0"/>
    <n v="1474506"/>
    <n v="6784028"/>
    <n v="40800"/>
    <n v="0"/>
    <m/>
    <n v="40800"/>
    <n v="303061.2"/>
    <m/>
    <n v="6824828"/>
    <n v="13"/>
    <n v="524986.76923076925"/>
    <n v="1985068.7999999998"/>
    <n v="-26296.230769230751"/>
    <s v="Sales on track"/>
    <n v="-2022.7869822485193"/>
    <n v="0.4"/>
    <n v="2729931.2"/>
    <n v="0.4"/>
  </r>
  <r>
    <x v="3"/>
    <s v="Swelab Alfa Plus Standard"/>
    <n v="15001967"/>
    <s v="Hematology"/>
    <n v="3002000039"/>
    <m/>
    <n v="121495"/>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x v="32"/>
    <x v="2"/>
    <m/>
    <m/>
    <m/>
    <n v="855000"/>
    <m/>
    <m/>
    <n v="1710000"/>
    <m/>
    <m/>
    <m/>
    <m/>
    <m/>
    <m/>
    <m/>
    <n v="2565000"/>
    <m/>
    <m/>
    <n v="0"/>
    <m/>
    <m/>
    <m/>
    <m/>
    <m/>
    <m/>
    <m/>
    <m/>
    <m/>
    <n v="0"/>
    <n v="0"/>
    <n v="0"/>
    <m/>
    <n v="0"/>
    <n v="0"/>
    <s v="3 machines are placed. Business case is in process. 2 machines will be placed"/>
    <n v="2565000"/>
    <n v="18"/>
    <n v="142500"/>
    <n v="-145698.59999999998"/>
    <n v="-14249.399999999994"/>
    <s v="Sales on track"/>
    <n v="-791.63333333333298"/>
    <n v="0.4"/>
    <n v="1026000"/>
    <n v="0.4"/>
  </r>
  <r>
    <x v="3"/>
    <s v="Swelab Alfa Plus Standard"/>
    <n v="15001967"/>
    <s v="Hematology"/>
    <n v="3002000064"/>
    <m/>
    <n v="121497"/>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x v="32"/>
    <x v="2"/>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x v="3"/>
    <s v="Swelab Alfa Plus Standard"/>
    <n v="15001967"/>
    <s v="Hematology"/>
    <n v="3002000050"/>
    <m/>
    <n v="122531"/>
    <s v="07.11.2023"/>
    <s v="31.10.2023"/>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x v="32"/>
    <x v="2"/>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x v="3"/>
    <s v="Swelab Alfa Plus Standard"/>
    <n v="15001967"/>
    <s v="Hematology "/>
    <n v="3002000051"/>
    <s v="N/A"/>
    <n v="123197"/>
    <s v="22.11.2023"/>
    <s v="31.10.2023"/>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x v="32"/>
    <x v="2"/>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x v="3"/>
    <s v="Swelab Alfa Plus Standard"/>
    <n v="15001967"/>
    <s v="Hematology"/>
    <n v="3002000048"/>
    <m/>
    <n v="121496"/>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x v="32"/>
    <x v="2"/>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x v="0"/>
    <s v="iFlash 1200"/>
    <n v="15002553"/>
    <s v="Immunoassay"/>
    <s v="AR # 300322"/>
    <s v="Transferred from demo"/>
    <s v="ID00094934"/>
    <m/>
    <m/>
    <s v="23.05.2025"/>
    <m/>
    <m/>
    <x v="0"/>
    <x v="1"/>
    <s v="Gujranwala"/>
    <n v="3020001384"/>
    <x v="94"/>
    <m/>
    <s v="Sialkot Road, Civil Lines, Punjab"/>
    <s v="055-3841018 &amp; 0322-5955955"/>
    <s v="waleed.tarrar000gmail.com"/>
    <m/>
    <s v="34101-5252040-3"/>
    <n v="2549913"/>
    <n v="36"/>
    <n v="237632"/>
    <m/>
    <m/>
    <m/>
    <m/>
    <m/>
    <m/>
    <m/>
    <m/>
    <m/>
    <m/>
    <m/>
    <m/>
    <m/>
    <m/>
    <m/>
    <m/>
    <m/>
    <m/>
    <m/>
    <m/>
    <m/>
    <m/>
    <m/>
    <m/>
    <m/>
    <m/>
    <x v="0"/>
    <x v="3"/>
    <n v="1"/>
    <s v="Placed"/>
    <m/>
    <m/>
    <m/>
    <n v="177445"/>
    <n v="495075"/>
    <m/>
    <n v="420095"/>
    <n v="211140"/>
    <n v="266225"/>
    <n v="568130"/>
    <m/>
    <n v="894585"/>
    <n v="3032695"/>
    <n v="443670"/>
    <n v="0"/>
    <n v="582767"/>
    <n v="418255"/>
    <n v="542800"/>
    <n v="664740"/>
    <n v="95220"/>
    <n v="403765"/>
    <n v="295895"/>
    <n v="671485"/>
    <n v="766780"/>
    <n v="660790"/>
    <n v="5546167"/>
    <n v="280370"/>
    <n v="77280"/>
    <n v="923220"/>
    <n v="1280870"/>
    <n v="563320.83333333337"/>
    <m/>
    <n v="9859732"/>
    <n v="23"/>
    <n v="428684"/>
    <n v="-1393979.8000000003"/>
    <n v="-125977.13888888888"/>
    <s v="Sales behind track"/>
    <n v="-5477.2669082125594"/>
    <n v="0.4"/>
    <n v="3943892.8000000003"/>
    <n v="0.4"/>
  </r>
  <r>
    <x v="6"/>
    <s v="Nova Prime CCS"/>
    <n v="15002705"/>
    <s v="Arterial Blood Gas Analyzer"/>
    <n v="3002000104"/>
    <m/>
    <s v="P078240140C"/>
    <m/>
    <m/>
    <s v="14.05.2025"/>
    <m/>
    <m/>
    <x v="0"/>
    <x v="2"/>
    <s v="Peshawar"/>
    <n v="3020001399"/>
    <x v="95"/>
    <m/>
    <m/>
    <m/>
    <m/>
    <m/>
    <m/>
    <n v="2270000"/>
    <n v="20"/>
    <n v="380500"/>
    <m/>
    <m/>
    <m/>
    <m/>
    <m/>
    <m/>
    <m/>
    <m/>
    <m/>
    <m/>
    <m/>
    <m/>
    <m/>
    <m/>
    <m/>
    <m/>
    <m/>
    <m/>
    <m/>
    <m/>
    <m/>
    <m/>
    <m/>
    <m/>
    <m/>
    <m/>
    <x v="14"/>
    <x v="41"/>
    <n v="1"/>
    <s v="Placed"/>
    <m/>
    <m/>
    <m/>
    <m/>
    <m/>
    <m/>
    <m/>
    <m/>
    <m/>
    <m/>
    <m/>
    <m/>
    <n v="0"/>
    <n v="536000"/>
    <n v="0"/>
    <n v="0"/>
    <n v="0"/>
    <n v="0"/>
    <n v="1018000"/>
    <n v="0"/>
    <n v="0"/>
    <n v="0"/>
    <n v="0"/>
    <m/>
    <n v="1198000"/>
    <n v="2752000"/>
    <n v="0"/>
    <n v="-120000"/>
    <n v="120000"/>
    <n v="0"/>
    <n v="239600"/>
    <m/>
    <n v="2752000"/>
    <n v="11"/>
    <n v="250181.81818181818"/>
    <n v="1582000"/>
    <n v="-130318.18181818182"/>
    <s v="Sales behind track"/>
    <n v="-11847.10743801653"/>
    <n v="0.25"/>
    <n v="688000"/>
    <n v="0.25"/>
  </r>
  <r>
    <x v="9"/>
    <s v="HUBT-20P"/>
    <m/>
    <m/>
    <m/>
    <s v="Transferred from demo"/>
    <n v="2024070199"/>
    <m/>
    <m/>
    <s v="04.06.2025"/>
    <m/>
    <s v="Issued to Fawad shah for exhibition purpose in Peshawar on dated 14.04.2025 against LS Demo # 8300058987 customer # 3020001583"/>
    <x v="2"/>
    <x v="2"/>
    <s v="Peshawar"/>
    <n v="3020001399"/>
    <x v="96"/>
    <m/>
    <s v="5/B-2, Phase 5, Hayatabad, KPK"/>
    <s v="091-5838333 &amp; 0336-2244360"/>
    <s v="raees.ahmed@rmi.edu.pk"/>
    <s v="1804447-6"/>
    <m/>
    <n v="1272000"/>
    <n v="9"/>
    <n v="350000"/>
    <m/>
    <m/>
    <m/>
    <m/>
    <m/>
    <m/>
    <m/>
    <m/>
    <m/>
    <m/>
    <m/>
    <m/>
    <m/>
    <m/>
    <m/>
    <m/>
    <m/>
    <m/>
    <m/>
    <m/>
    <m/>
    <m/>
    <m/>
    <m/>
    <m/>
    <m/>
    <x v="24"/>
    <x v="51"/>
    <n v="1"/>
    <s v="Placed"/>
    <m/>
    <m/>
    <m/>
    <m/>
    <m/>
    <m/>
    <m/>
    <m/>
    <m/>
    <m/>
    <m/>
    <m/>
    <n v="0"/>
    <m/>
    <m/>
    <m/>
    <m/>
    <m/>
    <m/>
    <m/>
    <m/>
    <m/>
    <m/>
    <m/>
    <m/>
    <n v="0"/>
    <n v="0"/>
    <n v="0"/>
    <n v="0"/>
    <n v="0"/>
    <n v="0"/>
    <m/>
    <n v="0"/>
    <m/>
    <e v="#DIV/0!"/>
    <n v="1272000"/>
    <n v="-431006.33333333337"/>
    <s v="Sales behind track"/>
    <e v="#DIV/0!"/>
    <n v="0.4"/>
    <n v="0"/>
    <n v="0.4"/>
  </r>
  <r>
    <x v="0"/>
    <s v="iFlash 1800"/>
    <n v="15002462"/>
    <s v="Immunoassay"/>
    <n v="3002000072"/>
    <s v="Transfer to Bio Care Islamabad"/>
    <s v="iA00093422"/>
    <s v="19.09.2023"/>
    <s v="20.09.2023"/>
    <s v="20.09.2023"/>
    <s v="Not Available"/>
    <m/>
    <x v="1"/>
    <x v="2"/>
    <s v="Swat"/>
    <n v="3020001430"/>
    <x v="97"/>
    <s v="N/A"/>
    <s v=" Opposite Azeem Medical Centre, Fatima Jinnah Road"/>
    <s v="081-2823350, 0331-8055742"/>
    <s v=" sohailenterprisesqta@gmail.com"/>
    <s v="4471634-7"/>
    <s v=" 54400-4142931-3"/>
    <n v="2983545"/>
    <n v="12"/>
    <n v="751293"/>
    <m/>
    <m/>
    <m/>
    <m/>
    <m/>
    <m/>
    <m/>
    <m/>
    <m/>
    <m/>
    <m/>
    <m/>
    <m/>
    <m/>
    <m/>
    <m/>
    <m/>
    <m/>
    <s v="Recently installed "/>
    <m/>
    <m/>
    <m/>
    <m/>
    <s v="No sales in June and July"/>
    <m/>
    <m/>
    <x v="4"/>
    <x v="2"/>
    <n v="1"/>
    <m/>
    <n v="0"/>
    <n v="0"/>
    <n v="0"/>
    <n v="0"/>
    <n v="494250"/>
    <n v="0"/>
    <n v="0"/>
    <n v="1113140"/>
    <n v="397760"/>
    <n v="0"/>
    <n v="0"/>
    <n v="0"/>
    <n v="2005150"/>
    <n v="0"/>
    <n v="0"/>
    <n v="0"/>
    <n v="0"/>
    <n v="0"/>
    <n v="0"/>
    <n v="0"/>
    <n v="0"/>
    <n v="0"/>
    <n v="0"/>
    <n v="0"/>
    <m/>
    <n v="0"/>
    <m/>
    <m/>
    <m/>
    <n v="0"/>
    <n v="0"/>
    <m/>
    <n v="2005150"/>
    <n v="23"/>
    <n v="87180.434782608689"/>
    <n v="2181485"/>
    <n v="-664112.56521739135"/>
    <s v="No sales after May-24"/>
    <n v="-28874.459357277887"/>
    <n v="0.4"/>
    <n v="802060"/>
    <n v="0.4"/>
  </r>
  <r>
    <x v="6"/>
    <s v="Nova Prime CCS"/>
    <n v="15002705"/>
    <s v="Arterial Blood Gas Analyzer"/>
    <m/>
    <m/>
    <s v="P078240080C"/>
    <m/>
    <m/>
    <s v="1.27.2025"/>
    <s v="Available"/>
    <m/>
    <x v="1"/>
    <x v="2"/>
    <s v="Islamabad"/>
    <n v="3020001475"/>
    <x v="98"/>
    <m/>
    <s v="12-G, aih building G-8 marqaz near pso pump, Capital territory"/>
    <s v="0307-5629510"/>
    <s v="junaid@aih.net.pk"/>
    <s v="A049244-5"/>
    <m/>
    <n v="1790491"/>
    <n v="18"/>
    <n v="243750"/>
    <m/>
    <m/>
    <m/>
    <m/>
    <m/>
    <m/>
    <m/>
    <m/>
    <m/>
    <m/>
    <m/>
    <m/>
    <m/>
    <m/>
    <m/>
    <m/>
    <m/>
    <m/>
    <m/>
    <m/>
    <m/>
    <m/>
    <m/>
    <m/>
    <m/>
    <m/>
    <x v="33"/>
    <x v="2"/>
    <m/>
    <s v="Pulled Back"/>
    <m/>
    <m/>
    <m/>
    <m/>
    <m/>
    <m/>
    <m/>
    <m/>
    <m/>
    <m/>
    <m/>
    <m/>
    <n v="0"/>
    <n v="300000"/>
    <n v="300000"/>
    <n v="330000"/>
    <n v="300000"/>
    <n v="300000"/>
    <n v="0"/>
    <n v="0"/>
    <n v="0"/>
    <n v="0"/>
    <m/>
    <m/>
    <m/>
    <n v="1530000"/>
    <m/>
    <m/>
    <m/>
    <n v="0"/>
    <n v="0"/>
    <m/>
    <n v="1530000"/>
    <n v="9"/>
    <n v="170000"/>
    <n v="1407991"/>
    <n v="-73750"/>
    <s v="Sales on track "/>
    <n v="-8194.4444444444453"/>
    <n v="0.25"/>
    <n v="382500"/>
    <n v="0.25"/>
  </r>
  <r>
    <x v="2"/>
    <s v="Vitros ECiQ"/>
    <n v="15002760"/>
    <s v="Immunoassay"/>
    <m/>
    <s v="Transfer to GAMCA Venus"/>
    <m/>
    <m/>
    <m/>
    <s v="04.06.2025"/>
    <m/>
    <m/>
    <x v="1"/>
    <x v="2"/>
    <s v="Peshawar"/>
    <n v="3020001479"/>
    <x v="99"/>
    <m/>
    <s v="Office # 632, 6th Floor Pak Medical Centre,  Khyber Bazar, KPK"/>
    <s v="0333-9102734 &amp; 091-2562734"/>
    <s v="janmarketingservices@gmail.com"/>
    <m/>
    <s v="17301-1612771-3"/>
    <n v="14396400"/>
    <n v="31"/>
    <n v="1127700"/>
    <m/>
    <m/>
    <m/>
    <m/>
    <m/>
    <m/>
    <m/>
    <m/>
    <m/>
    <m/>
    <m/>
    <m/>
    <m/>
    <m/>
    <m/>
    <m/>
    <m/>
    <m/>
    <m/>
    <m/>
    <m/>
    <m/>
    <m/>
    <m/>
    <m/>
    <m/>
    <x v="4"/>
    <x v="2"/>
    <m/>
    <s v="Not Placed"/>
    <m/>
    <m/>
    <m/>
    <m/>
    <m/>
    <m/>
    <m/>
    <m/>
    <m/>
    <m/>
    <m/>
    <m/>
    <n v="0"/>
    <m/>
    <m/>
    <m/>
    <n v="0"/>
    <n v="0"/>
    <n v="0"/>
    <n v="0"/>
    <n v="0"/>
    <n v="438708"/>
    <m/>
    <m/>
    <n v="-255468"/>
    <n v="183240"/>
    <m/>
    <m/>
    <m/>
    <n v="0"/>
    <n v="-255468"/>
    <m/>
    <n v="183240"/>
    <n v="7"/>
    <n v="26177.142857142859"/>
    <n v="14323104"/>
    <n v="-295678.4370370371"/>
    <s v="Sales behind track"/>
    <n v="-42239.77671957673"/>
    <n v="0.4"/>
    <n v="73296"/>
    <n v="0.4"/>
  </r>
  <r>
    <x v="7"/>
    <s v="EC105"/>
    <n v="15002669"/>
    <s v="Coagulation Analyzer"/>
    <n v="3002000085"/>
    <m/>
    <s v="E0848-11-140423"/>
    <m/>
    <m/>
    <m/>
    <m/>
    <m/>
    <x v="0"/>
    <x v="0"/>
    <s v="Nokundi"/>
    <n v="3020001511"/>
    <x v="100"/>
    <m/>
    <s v="Korangi crossing, Korangi"/>
    <s v="0332-0366593"/>
    <s v="unsa.sajjad@tih.org.pk"/>
    <m/>
    <m/>
    <n v="162901"/>
    <n v="16"/>
    <n v="38357"/>
    <m/>
    <m/>
    <m/>
    <m/>
    <m/>
    <m/>
    <m/>
    <m/>
    <m/>
    <m/>
    <m/>
    <m/>
    <m/>
    <m/>
    <m/>
    <m/>
    <m/>
    <m/>
    <e v="#N/A"/>
    <m/>
    <m/>
    <m/>
    <m/>
    <m/>
    <m/>
    <m/>
    <x v="0"/>
    <x v="3"/>
    <n v="1"/>
    <s v="Placed"/>
    <m/>
    <m/>
    <m/>
    <m/>
    <m/>
    <m/>
    <m/>
    <m/>
    <m/>
    <m/>
    <n v="77700"/>
    <n v="25400"/>
    <n v="103100"/>
    <m/>
    <m/>
    <n v="74800"/>
    <n v="25400"/>
    <m/>
    <n v="80600"/>
    <m/>
    <m/>
    <m/>
    <m/>
    <m/>
    <n v="92900"/>
    <n v="273700"/>
    <n v="442633.33333333331"/>
    <n v="-81200"/>
    <n v="95900"/>
    <n v="457333.33333333331"/>
    <n v="137558.33333333331"/>
    <s v="Tender based busi"/>
    <n v="834133.33333333326"/>
    <n v="11"/>
    <n v="75830.303030303025"/>
    <n v="-170752.33333333331"/>
    <n v="37473.303030303025"/>
    <s v="Sales on track"/>
    <n v="3406.6639118457297"/>
    <n v="0.4"/>
    <n v="333653.33333333331"/>
    <n v="0.4"/>
  </r>
  <r>
    <x v="7"/>
    <s v="EC90"/>
    <n v="15002674"/>
    <s v="Electrolyte Analyzer"/>
    <s v="AR # 1900389-414"/>
    <m/>
    <s v="8931-2-202401/8034-2-202308/8036-2-202308/8961-2-202402/8982-2-202402/8933-2-202402/9273-2-202405/9275-2-202405/8170-2-202308/8183-2-202309/8197-2-202309/8173-2-202308/8196-2-202309/8177-2-202309/8140-2-202308/8185-202309/8198-2-202309/9268-2-202405/9272-2-202405/9262-2-202405/9261-2-202405/9257-2-202405/9269-2-202405/9256-2-202405/9259-2-202405/8953-2-202401"/>
    <m/>
    <m/>
    <s v="12.05.2025"/>
    <m/>
    <s v="26 Machines"/>
    <x v="0"/>
    <x v="0"/>
    <s v="Karachi"/>
    <n v="3020001511"/>
    <x v="101"/>
    <m/>
    <s v="Korangi crossing, Korangi"/>
    <s v="0332-0366596"/>
    <s v="unsa.sajjad@tih.org.pk"/>
    <s v="3162706-4"/>
    <m/>
    <n v="17326991"/>
    <n v="29"/>
    <n v="1242200"/>
    <m/>
    <m/>
    <m/>
    <m/>
    <m/>
    <m/>
    <m/>
    <m/>
    <m/>
    <m/>
    <m/>
    <m/>
    <m/>
    <m/>
    <m/>
    <m/>
    <m/>
    <m/>
    <m/>
    <m/>
    <m/>
    <m/>
    <m/>
    <m/>
    <m/>
    <m/>
    <x v="34"/>
    <x v="52"/>
    <n v="1"/>
    <s v="Humayun"/>
    <m/>
    <m/>
    <m/>
    <m/>
    <m/>
    <m/>
    <m/>
    <m/>
    <m/>
    <m/>
    <m/>
    <m/>
    <n v="0"/>
    <m/>
    <m/>
    <m/>
    <n v="47950"/>
    <n v="344900"/>
    <n v="389200"/>
    <n v="1633400"/>
    <n v="47950"/>
    <n v="1269750"/>
    <n v="65150"/>
    <n v="0"/>
    <n v="285700"/>
    <n v="4084000"/>
    <m/>
    <m/>
    <m/>
    <n v="0"/>
    <n v="116950"/>
    <m/>
    <n v="4084000"/>
    <n v="7"/>
    <n v="583428.57142857148"/>
    <n v="15693391"/>
    <n v="-21293.666666666672"/>
    <s v=" Sales behind track 28 machines 1 quetaa 2 muzafgarh 2 badeen 1 bhong"/>
    <n v="-3041.9523809523816"/>
    <n v="0.4"/>
    <n v="1633600"/>
    <n v="0.4"/>
  </r>
  <r>
    <x v="7"/>
    <s v="EC90 "/>
    <n v="15002674"/>
    <s v="Electrolyte Analyzer"/>
    <n v="3002000084"/>
    <m/>
    <s v="6909-2-202305"/>
    <m/>
    <m/>
    <m/>
    <m/>
    <m/>
    <x v="0"/>
    <x v="0"/>
    <s v="Nokundi"/>
    <n v="3020001511"/>
    <x v="100"/>
    <m/>
    <s v="Korangi crossing, Korangi"/>
    <s v="0332-0366595"/>
    <s v="unsa.sajjad@tih.org.pk"/>
    <m/>
    <m/>
    <n v="275285"/>
    <n v="10"/>
    <n v="64040"/>
    <m/>
    <m/>
    <m/>
    <m/>
    <m/>
    <m/>
    <m/>
    <m/>
    <m/>
    <m/>
    <m/>
    <m/>
    <m/>
    <m/>
    <m/>
    <m/>
    <m/>
    <m/>
    <e v="#N/A"/>
    <m/>
    <m/>
    <m/>
    <m/>
    <m/>
    <m/>
    <m/>
    <x v="0"/>
    <x v="3"/>
    <n v="1"/>
    <s v="Placed"/>
    <m/>
    <m/>
    <m/>
    <m/>
    <m/>
    <m/>
    <m/>
    <m/>
    <m/>
    <m/>
    <n v="38800"/>
    <n v="70000"/>
    <n v="108800"/>
    <n v="0"/>
    <n v="0"/>
    <n v="0"/>
    <n v="47950"/>
    <n v="344900"/>
    <n v="389200"/>
    <n v="1633400"/>
    <n v="47950"/>
    <n v="1269750"/>
    <n v="65150"/>
    <n v="0"/>
    <n v="285700"/>
    <n v="4084000"/>
    <n v="442633.33333333331"/>
    <n v="-81200"/>
    <n v="95900"/>
    <n v="457333.33333333331"/>
    <n v="134697.22222222222"/>
    <s v="Tender based busi"/>
    <n v="4650133.333333333"/>
    <n v="13"/>
    <n v="357702.56410256407"/>
    <n v="-1584768.3333333333"/>
    <n v="293662.56410256407"/>
    <s v="Sales on track"/>
    <n v="22589.428007889543"/>
    <n v="0.4"/>
    <n v="1860053.3333333333"/>
    <n v="0.4"/>
  </r>
  <r>
    <x v="7"/>
    <s v="Laura Smart "/>
    <n v="15002670"/>
    <s v="Urine Analyzer"/>
    <n v="3002000086"/>
    <m/>
    <s v="10477-1-202306"/>
    <m/>
    <m/>
    <m/>
    <m/>
    <m/>
    <x v="0"/>
    <x v="0"/>
    <s v="Nokundi"/>
    <n v="3020001511"/>
    <x v="100"/>
    <m/>
    <s v="Korangi crossing, Korangi"/>
    <s v="0332-0366594"/>
    <s v="unsa.sajjad@tih.org.pk"/>
    <m/>
    <m/>
    <n v="188518"/>
    <n v="16"/>
    <n v="25920"/>
    <m/>
    <m/>
    <m/>
    <m/>
    <m/>
    <m/>
    <m/>
    <m/>
    <m/>
    <m/>
    <m/>
    <m/>
    <m/>
    <m/>
    <m/>
    <m/>
    <m/>
    <m/>
    <e v="#N/A"/>
    <m/>
    <m/>
    <m/>
    <m/>
    <m/>
    <m/>
    <m/>
    <x v="0"/>
    <x v="3"/>
    <n v="1"/>
    <s v="Placed"/>
    <m/>
    <m/>
    <m/>
    <m/>
    <m/>
    <m/>
    <m/>
    <m/>
    <m/>
    <m/>
    <m/>
    <n v="12800"/>
    <n v="12800"/>
    <n v="0"/>
    <n v="0"/>
    <n v="51800"/>
    <n v="0"/>
    <n v="0"/>
    <n v="39600"/>
    <n v="0"/>
    <n v="0"/>
    <n v="0"/>
    <n v="0"/>
    <n v="0"/>
    <n v="25600"/>
    <n v="117000"/>
    <n v="442633.33333333331"/>
    <n v="-81200"/>
    <n v="95900"/>
    <n v="457333.33333333331"/>
    <n v="80488.888888888891"/>
    <s v="Tender based busi"/>
    <n v="587133.33333333326"/>
    <n v="11"/>
    <n v="53375.757575757569"/>
    <n v="-46335.333333333314"/>
    <n v="27455.757575757569"/>
    <s v="Sales behind track"/>
    <n v="2495.9779614325062"/>
    <n v="0.4"/>
    <n v="234853.33333333331"/>
    <n v="0.4"/>
  </r>
  <r>
    <x v="1"/>
    <s v="Microlab 300"/>
    <n v="15000003"/>
    <s v="Clinical Chemistry"/>
    <n v="3002000083"/>
    <m/>
    <s v="23-46854"/>
    <m/>
    <m/>
    <m/>
    <m/>
    <m/>
    <x v="0"/>
    <x v="0"/>
    <s v="Nokundi"/>
    <n v="3020001511"/>
    <x v="100"/>
    <m/>
    <s v="Korangi crossing, Korangi"/>
    <s v="0332-0366596"/>
    <s v="unsa.sajjad@tih.org.pk"/>
    <m/>
    <m/>
    <n v="420800"/>
    <n v="3"/>
    <n v="327855"/>
    <m/>
    <m/>
    <m/>
    <m/>
    <m/>
    <m/>
    <m/>
    <m/>
    <m/>
    <m/>
    <m/>
    <m/>
    <m/>
    <m/>
    <m/>
    <m/>
    <m/>
    <m/>
    <e v="#N/A"/>
    <m/>
    <m/>
    <m/>
    <m/>
    <m/>
    <m/>
    <m/>
    <x v="0"/>
    <x v="3"/>
    <n v="1"/>
    <s v="Placed"/>
    <m/>
    <m/>
    <m/>
    <m/>
    <m/>
    <m/>
    <m/>
    <m/>
    <m/>
    <m/>
    <n v="463978"/>
    <n v="42978"/>
    <n v="506956"/>
    <n v="0"/>
    <n v="0"/>
    <n v="1407054.5"/>
    <n v="578759"/>
    <n v="0"/>
    <n v="313687"/>
    <n v="199298.5"/>
    <n v="0"/>
    <n v="197023"/>
    <n v="232304"/>
    <m/>
    <n v="1779910"/>
    <n v="4708036"/>
    <n v="184333"/>
    <n v="602718"/>
    <n v="1050917"/>
    <n v="1837968"/>
    <n v="770036.4"/>
    <m/>
    <n v="7052960"/>
    <n v="11"/>
    <n v="641178.18181818177"/>
    <n v="-2753032"/>
    <n v="313323.18181818177"/>
    <s v="Sales on track"/>
    <n v="28483.925619834707"/>
    <n v="0.45"/>
    <n v="3173832"/>
    <n v="0.45"/>
  </r>
  <r>
    <x v="3"/>
    <s v="Swelab Alfa Plus Standard"/>
    <n v="15001967"/>
    <s v="Hematology "/>
    <n v="3002000082"/>
    <m/>
    <n v="122534"/>
    <m/>
    <m/>
    <m/>
    <m/>
    <m/>
    <x v="0"/>
    <x v="0"/>
    <s v="Nokundi"/>
    <n v="3020001511"/>
    <x v="100"/>
    <m/>
    <s v="Korangi crossing, Korangi"/>
    <s v="0332-0366592"/>
    <s v="unsa.sajjad@tih.org.pk"/>
    <s v="3162706-4"/>
    <m/>
    <n v="1071664"/>
    <n v="26"/>
    <n v="95790"/>
    <m/>
    <m/>
    <m/>
    <m/>
    <m/>
    <m/>
    <m/>
    <m/>
    <m/>
    <m/>
    <m/>
    <m/>
    <m/>
    <m/>
    <m/>
    <m/>
    <m/>
    <m/>
    <e v="#N/A"/>
    <m/>
    <m/>
    <m/>
    <m/>
    <m/>
    <m/>
    <m/>
    <x v="14"/>
    <x v="53"/>
    <n v="1"/>
    <s v="Placed"/>
    <m/>
    <m/>
    <m/>
    <m/>
    <m/>
    <m/>
    <m/>
    <m/>
    <m/>
    <m/>
    <n v="126000"/>
    <n v="30000"/>
    <n v="156000"/>
    <n v="0"/>
    <n v="0"/>
    <n v="126000"/>
    <n v="0"/>
    <n v="0"/>
    <n v="0"/>
    <n v="0"/>
    <n v="0"/>
    <n v="30000"/>
    <m/>
    <m/>
    <n v="363000"/>
    <n v="519000"/>
    <n v="0"/>
    <n v="0"/>
    <m/>
    <n v="0"/>
    <n v="121000"/>
    <m/>
    <n v="675000"/>
    <n v="12"/>
    <n v="56250"/>
    <n v="801664"/>
    <n v="-39540"/>
    <s v="Sales behind track"/>
    <n v="-3295"/>
    <n v="0.4"/>
    <n v="270000"/>
    <n v="0.4"/>
  </r>
  <r>
    <x v="1"/>
    <s v="Microlab 300"/>
    <n v="15000003"/>
    <s v="Clinical Chemistry"/>
    <s v="AR # 19000491"/>
    <m/>
    <s v="25-47705"/>
    <m/>
    <m/>
    <s v="27.08.2025"/>
    <m/>
    <m/>
    <x v="2"/>
    <x v="0"/>
    <s v="Quetta"/>
    <n v="3020001511"/>
    <x v="102"/>
    <m/>
    <s v="Korangi crossing, Korangi"/>
    <s v="0332-0366592"/>
    <s v="unsa.sajjad@tih.org.pk"/>
    <s v="3162706-4"/>
    <m/>
    <n v="507833"/>
    <n v="3"/>
    <n v="327855"/>
    <m/>
    <m/>
    <m/>
    <m/>
    <m/>
    <m/>
    <m/>
    <m/>
    <m/>
    <m/>
    <m/>
    <m/>
    <m/>
    <m/>
    <m/>
    <m/>
    <m/>
    <m/>
    <m/>
    <m/>
    <m/>
    <m/>
    <m/>
    <m/>
    <m/>
    <m/>
    <x v="35"/>
    <x v="54"/>
    <m/>
    <s v="Placed"/>
    <m/>
    <m/>
    <m/>
    <m/>
    <m/>
    <m/>
    <m/>
    <m/>
    <m/>
    <m/>
    <m/>
    <m/>
    <n v="0"/>
    <m/>
    <m/>
    <m/>
    <m/>
    <m/>
    <m/>
    <m/>
    <m/>
    <m/>
    <m/>
    <m/>
    <m/>
    <n v="0"/>
    <m/>
    <m/>
    <m/>
    <n v="0"/>
    <n v="0"/>
    <m/>
    <n v="0"/>
    <m/>
    <e v="#DIV/0!"/>
    <m/>
    <e v="#DIV/0!"/>
    <m/>
    <e v="#DIV/0!"/>
    <m/>
    <n v="0"/>
    <n v="0"/>
  </r>
  <r>
    <x v="7"/>
    <s v="Erba EC90"/>
    <n v="15002674"/>
    <s v="Electrolyte Analyzer "/>
    <m/>
    <m/>
    <m/>
    <m/>
    <m/>
    <s v="11.20.2025"/>
    <m/>
    <m/>
    <x v="2"/>
    <x v="0"/>
    <s v="Sui Balochistan"/>
    <n v="3020001511"/>
    <x v="103"/>
    <m/>
    <s v="Korangi crossing, Korangi"/>
    <s v="0332-0366592"/>
    <s v="unsa.sajjad@tih.org.pk"/>
    <s v="3162706-4"/>
    <m/>
    <n v="597824"/>
    <n v="37"/>
    <n v="28928"/>
    <m/>
    <m/>
    <m/>
    <m/>
    <m/>
    <m/>
    <m/>
    <m/>
    <m/>
    <m/>
    <m/>
    <m/>
    <m/>
    <m/>
    <m/>
    <m/>
    <m/>
    <m/>
    <m/>
    <m/>
    <m/>
    <m/>
    <m/>
    <m/>
    <m/>
    <m/>
    <x v="3"/>
    <x v="55"/>
    <n v="1"/>
    <s v="Placed"/>
    <m/>
    <m/>
    <m/>
    <m/>
    <m/>
    <m/>
    <m/>
    <m/>
    <m/>
    <m/>
    <m/>
    <m/>
    <n v="0"/>
    <m/>
    <m/>
    <m/>
    <m/>
    <m/>
    <m/>
    <m/>
    <m/>
    <m/>
    <m/>
    <m/>
    <m/>
    <n v="0"/>
    <m/>
    <m/>
    <m/>
    <n v="0"/>
    <n v="0"/>
    <m/>
    <n v="0"/>
    <m/>
    <e v="#DIV/0!"/>
    <m/>
    <e v="#DIV/0!"/>
    <m/>
    <e v="#DIV/0!"/>
    <m/>
    <n v="0"/>
    <n v="0"/>
  </r>
  <r>
    <x v="7"/>
    <s v="Laura Semi Automatic"/>
    <n v="15002671"/>
    <s v="Urine Analyzer"/>
    <n v="3002000038"/>
    <m/>
    <s v="898-1-202110"/>
    <m/>
    <s v="26.07.2022"/>
    <s v="23.10.2023"/>
    <m/>
    <m/>
    <x v="1"/>
    <x v="0"/>
    <s v="Karachi"/>
    <n v="3020001552"/>
    <x v="104"/>
    <m/>
    <s v="Plot # N-118, 1st Floor, Block-2, P.E.C.H.S Karachi"/>
    <s v="021-34331144, 0335-3322085"/>
    <s v="info@mhk.com.pk"/>
    <s v="4267791-2"/>
    <s v="N/A"/>
    <n v="200000"/>
    <n v="27"/>
    <n v="96304"/>
    <m/>
    <m/>
    <m/>
    <m/>
    <m/>
    <m/>
    <m/>
    <m/>
    <m/>
    <m/>
    <m/>
    <m/>
    <m/>
    <m/>
    <m/>
    <m/>
    <m/>
    <m/>
    <e v="#N/A"/>
    <m/>
    <m/>
    <m/>
    <m/>
    <s v="no Sales after feb"/>
    <m/>
    <m/>
    <x v="2"/>
    <x v="2"/>
    <m/>
    <m/>
    <n v="0"/>
    <n v="839375"/>
    <n v="0"/>
    <n v="0"/>
    <n v="0"/>
    <n v="0"/>
    <n v="0"/>
    <n v="0"/>
    <n v="0"/>
    <n v="0"/>
    <n v="0"/>
    <n v="0"/>
    <n v="839375"/>
    <n v="0"/>
    <n v="0"/>
    <n v="0"/>
    <n v="0"/>
    <n v="0"/>
    <n v="0"/>
    <n v="0"/>
    <n v="0"/>
    <n v="0"/>
    <m/>
    <m/>
    <m/>
    <n v="0"/>
    <n v="0"/>
    <n v="0"/>
    <m/>
    <n v="0"/>
    <n v="0"/>
    <s v="It’s a tender based business so when theres new tender sales will increase - confim status from hammad hafeez"/>
    <n v="839375"/>
    <n v="24"/>
    <n v="34973.958333333336"/>
    <n v="-135750"/>
    <n v="-61330.041666666664"/>
    <s v="Sales on track "/>
    <n v="-2555.4184027777778"/>
    <n v="0.4"/>
    <n v="335750"/>
    <n v="0.4"/>
  </r>
  <r>
    <x v="7"/>
    <s v="Laura Semi Automatic"/>
    <n v="15002671"/>
    <s v="Urine Analyzer"/>
    <s v="12- 7-24 demo 8300051872"/>
    <m/>
    <s v="897-1-202110"/>
    <m/>
    <s v="26.07.2022"/>
    <s v="23.10.2023"/>
    <m/>
    <m/>
    <x v="1"/>
    <x v="0"/>
    <s v="Karachi"/>
    <n v="3020001552"/>
    <x v="104"/>
    <m/>
    <s v="Plot # N-118, 1st Floor, Block-2, P.E.C.H.S Karachi"/>
    <s v="021-34331144, 0335-3322085"/>
    <s v="info@mhk.com.pk"/>
    <s v="4267791-2"/>
    <s v="N/A"/>
    <n v="200000"/>
    <n v="27"/>
    <n v="96304"/>
    <m/>
    <m/>
    <m/>
    <m/>
    <m/>
    <m/>
    <m/>
    <m/>
    <m/>
    <m/>
    <m/>
    <m/>
    <m/>
    <m/>
    <m/>
    <m/>
    <m/>
    <m/>
    <e v="#N/A"/>
    <m/>
    <m/>
    <m/>
    <m/>
    <s v="no Sales after feb"/>
    <m/>
    <m/>
    <x v="2"/>
    <x v="2"/>
    <m/>
    <m/>
    <n v="0"/>
    <n v="839375"/>
    <n v="0"/>
    <n v="0"/>
    <n v="0"/>
    <n v="0"/>
    <n v="0"/>
    <n v="0"/>
    <n v="0"/>
    <n v="0"/>
    <n v="0"/>
    <n v="0"/>
    <n v="839375"/>
    <n v="0"/>
    <n v="0"/>
    <n v="0"/>
    <n v="0"/>
    <n v="0"/>
    <n v="0"/>
    <n v="0"/>
    <n v="0"/>
    <n v="0"/>
    <m/>
    <m/>
    <m/>
    <n v="0"/>
    <n v="0"/>
    <n v="0"/>
    <m/>
    <n v="0"/>
    <n v="0"/>
    <s v="Its not at jpmc"/>
    <n v="839375"/>
    <n v="23"/>
    <n v="36494.565217391304"/>
    <n v="-135750"/>
    <n v="-59809.434782608696"/>
    <s v="Sales on track "/>
    <n v="-2600.4102079395084"/>
    <n v="0.4"/>
    <n v="335750"/>
    <n v="0.4"/>
  </r>
  <r>
    <x v="7"/>
    <s v="Laura XL"/>
    <n v="15002673"/>
    <s v="Urine Analyzer"/>
    <n v="3002000042"/>
    <s v="202-X2-120520"/>
    <s v="106-X2-260419"/>
    <m/>
    <s v="26.07.2022"/>
    <s v="23.10.2023"/>
    <m/>
    <m/>
    <x v="1"/>
    <x v="0"/>
    <s v="Karachi"/>
    <n v="3020001552"/>
    <x v="104"/>
    <m/>
    <s v="Plot # N-118, 1st Floor, Block-2, P.E.C.H.S Karachi"/>
    <m/>
    <m/>
    <s v="4267791-2"/>
    <s v="N/A"/>
    <n v="1600000"/>
    <n v="27"/>
    <n v="109972"/>
    <m/>
    <m/>
    <m/>
    <m/>
    <m/>
    <m/>
    <m/>
    <m/>
    <m/>
    <m/>
    <m/>
    <m/>
    <m/>
    <m/>
    <m/>
    <m/>
    <m/>
    <m/>
    <e v="#N/A"/>
    <m/>
    <m/>
    <m/>
    <m/>
    <m/>
    <m/>
    <m/>
    <x v="2"/>
    <x v="2"/>
    <m/>
    <m/>
    <m/>
    <m/>
    <m/>
    <m/>
    <m/>
    <m/>
    <m/>
    <m/>
    <m/>
    <m/>
    <m/>
    <m/>
    <n v="0"/>
    <m/>
    <m/>
    <n v="0"/>
    <m/>
    <n v="0"/>
    <m/>
    <n v="0"/>
    <n v="0"/>
    <n v="0"/>
    <m/>
    <m/>
    <m/>
    <n v="0"/>
    <n v="0"/>
    <n v="0"/>
    <m/>
    <n v="0"/>
    <n v="0"/>
    <s v="Tender based busi"/>
    <n v="0"/>
    <m/>
    <e v="#DIV/0!"/>
    <n v="1600000"/>
    <m/>
    <m/>
    <e v="#DIV/0!"/>
    <n v="0.4"/>
    <n v="0"/>
    <m/>
  </r>
  <r>
    <x v="7"/>
    <s v="Laura XL"/>
    <n v="15002673"/>
    <s v="Urine Analyzer"/>
    <n v="3002000049"/>
    <s v="202-X2-120520"/>
    <s v="202-X2-120520"/>
    <m/>
    <m/>
    <m/>
    <m/>
    <m/>
    <x v="1"/>
    <x v="0"/>
    <s v="Karachi"/>
    <n v="3020001552"/>
    <x v="104"/>
    <m/>
    <s v="Plot # N-118, 1st Floor, Block-2, P.E.C.H.S Karachi"/>
    <m/>
    <m/>
    <s v="4267791-2"/>
    <s v="N/A"/>
    <n v="3378744"/>
    <n v="37"/>
    <n v="365779"/>
    <m/>
    <m/>
    <m/>
    <m/>
    <m/>
    <m/>
    <m/>
    <m/>
    <m/>
    <m/>
    <m/>
    <m/>
    <m/>
    <m/>
    <m/>
    <m/>
    <m/>
    <m/>
    <e v="#N/A"/>
    <m/>
    <m/>
    <m/>
    <m/>
    <m/>
    <m/>
    <m/>
    <x v="2"/>
    <x v="2"/>
    <m/>
    <m/>
    <m/>
    <m/>
    <m/>
    <m/>
    <m/>
    <m/>
    <m/>
    <m/>
    <m/>
    <m/>
    <m/>
    <m/>
    <n v="0"/>
    <m/>
    <m/>
    <n v="0"/>
    <m/>
    <n v="0"/>
    <m/>
    <n v="0"/>
    <n v="0"/>
    <n v="0"/>
    <m/>
    <m/>
    <m/>
    <n v="0"/>
    <n v="0"/>
    <n v="0"/>
    <m/>
    <n v="0"/>
    <n v="0"/>
    <s v="Tender based busi"/>
    <n v="0"/>
    <m/>
    <e v="#DIV/0!"/>
    <n v="3378744"/>
    <m/>
    <m/>
    <e v="#DIV/0!"/>
    <n v="0.4"/>
    <n v="0"/>
    <m/>
  </r>
  <r>
    <x v="4"/>
    <s v="STA Compact Max"/>
    <n v="15003000"/>
    <s v="Coagulation Analyzer"/>
    <n v="3002000058"/>
    <m/>
    <n v="8657"/>
    <m/>
    <s v="30.11.2023"/>
    <s v="07.12.2023"/>
    <s v="Available"/>
    <m/>
    <x v="1"/>
    <x v="0"/>
    <s v="Karachi"/>
    <n v="3020001552"/>
    <x v="105"/>
    <m/>
    <s v="Plot # N-118, 1st Floor, Block-2, P.E.C.H.S Karachi"/>
    <s v="021-34331144, 0335-3322085"/>
    <s v="info@mhk.com.pk"/>
    <s v="4267791-2"/>
    <s v="N/A"/>
    <n v="5274883"/>
    <n v="36"/>
    <n v="1615386"/>
    <m/>
    <m/>
    <m/>
    <m/>
    <m/>
    <m/>
    <m/>
    <m/>
    <m/>
    <m/>
    <m/>
    <m/>
    <m/>
    <m/>
    <m/>
    <m/>
    <m/>
    <m/>
    <e v="#N/A"/>
    <m/>
    <m/>
    <m/>
    <m/>
    <s v="No Sales after Feb-24"/>
    <m/>
    <m/>
    <x v="36"/>
    <x v="2"/>
    <m/>
    <m/>
    <m/>
    <n v="3585000"/>
    <n v="0"/>
    <n v="0"/>
    <n v="0"/>
    <n v="0"/>
    <n v="0"/>
    <n v="0"/>
    <n v="0"/>
    <n v="0"/>
    <n v="0"/>
    <n v="0"/>
    <n v="3585000"/>
    <n v="0"/>
    <n v="0"/>
    <n v="0"/>
    <n v="0"/>
    <n v="0"/>
    <n v="0"/>
    <n v="0"/>
    <n v="0"/>
    <n v="0"/>
    <n v="0"/>
    <m/>
    <m/>
    <n v="0"/>
    <m/>
    <m/>
    <m/>
    <n v="0"/>
    <n v="0"/>
    <s v="Tender will be issued this month and paymen expected to be in the mid of dec"/>
    <n v="3585000"/>
    <n v="17"/>
    <n v="210882.35294117648"/>
    <n v="3840883"/>
    <n v="-1404503.6470588236"/>
    <s v="Sales behind track"/>
    <n v="-82617.861591695502"/>
    <n v="0.4"/>
    <n v="1434000"/>
    <n v="0.4"/>
  </r>
  <r>
    <x v="0"/>
    <s v="IFlash 1800 "/>
    <n v="15002462"/>
    <s v="Immunoassay"/>
    <s v="E-mail forwarded to Mr. Asim &amp; Mr. Abdul Khalid for CAPEX appropriation requested because demo performed from 3200 Plant Lahore (mail attached)"/>
    <s v="N/A"/>
    <s v="IA00096724 "/>
    <s v="21.09.2023"/>
    <s v="14.06.2023"/>
    <s v="06.07.2023"/>
    <s v="Available"/>
    <m/>
    <x v="1"/>
    <x v="1"/>
    <s v="Sialkot"/>
    <n v="3020001659"/>
    <x v="106"/>
    <s v="N/A"/>
    <s v="2-Km Daska Raod, "/>
    <s v="0324-8787299, 052-3574812"/>
    <s v=" info.iih@smcs.edu.pk"/>
    <s v="8892361-1"/>
    <m/>
    <n v="4497465"/>
    <n v="34"/>
    <n v="592145"/>
    <m/>
    <m/>
    <m/>
    <m/>
    <m/>
    <m/>
    <e v="#N/A"/>
    <e v="#N/A"/>
    <m/>
    <m/>
    <s v=" "/>
    <s v=" "/>
    <m/>
    <m/>
    <m/>
    <m/>
    <m/>
    <m/>
    <s v="Machine is not installed at customer site and it will be pulled back from customer to shift the machine at Test zone Lab till 10th-15th April."/>
    <m/>
    <m/>
    <m/>
    <m/>
    <s v="Machine is on demo here"/>
    <m/>
    <m/>
    <x v="4"/>
    <x v="2"/>
    <m/>
    <m/>
    <m/>
    <m/>
    <m/>
    <m/>
    <m/>
    <m/>
    <m/>
    <m/>
    <m/>
    <m/>
    <m/>
    <m/>
    <n v="0"/>
    <m/>
    <m/>
    <m/>
    <m/>
    <m/>
    <m/>
    <m/>
    <m/>
    <m/>
    <m/>
    <n v="0"/>
    <m/>
    <n v="0"/>
    <m/>
    <m/>
    <m/>
    <n v="0"/>
    <n v="0"/>
    <s v="The machine is pull back from imran idress and placed at test zone."/>
    <n v="0"/>
    <s v="-"/>
    <e v="#VALUE!"/>
    <n v="4497465"/>
    <e v="#VALUE!"/>
    <s v="Sales not started yet/closed"/>
    <e v="#VALUE!"/>
    <n v="0.4"/>
    <n v="0"/>
    <n v="0.4"/>
  </r>
  <r>
    <x v="0"/>
    <s v="iFlash 1200"/>
    <n v="15002553"/>
    <s v="Immunoassay"/>
    <m/>
    <m/>
    <s v="ID00175747"/>
    <m/>
    <m/>
    <s v="20.12.2024"/>
    <m/>
    <m/>
    <x v="0"/>
    <x v="0"/>
    <s v="Quetta"/>
    <n v="3020001748"/>
    <x v="107"/>
    <m/>
    <m/>
    <s v="0336-3557475"/>
    <s v="ahmed_ullah26@yahoo.com"/>
    <s v="5132026-1"/>
    <s v="54400-1404155-1"/>
    <n v="2587355"/>
    <n v="35"/>
    <n v="223571"/>
    <m/>
    <m/>
    <m/>
    <m/>
    <m/>
    <m/>
    <m/>
    <m/>
    <m/>
    <m/>
    <m/>
    <m/>
    <m/>
    <m/>
    <m/>
    <m/>
    <m/>
    <m/>
    <s v="Revise case submitted"/>
    <m/>
    <m/>
    <m/>
    <m/>
    <m/>
    <m/>
    <m/>
    <x v="0"/>
    <x v="56"/>
    <n v="1"/>
    <s v="Placed"/>
    <m/>
    <m/>
    <m/>
    <m/>
    <m/>
    <m/>
    <m/>
    <m/>
    <m/>
    <m/>
    <m/>
    <m/>
    <n v="0"/>
    <n v="123186"/>
    <n v="1367339"/>
    <m/>
    <n v="0"/>
    <n v="859806"/>
    <m/>
    <n v="373472"/>
    <n v="514242"/>
    <n v="3201023"/>
    <n v="3372670"/>
    <n v="539515"/>
    <n v="4130990"/>
    <n v="14482243"/>
    <n v="205240"/>
    <n v="424978"/>
    <n v="79312.5"/>
    <n v="709530.5"/>
    <n v="1458784.25"/>
    <m/>
    <n v="15191773.5"/>
    <n v="14"/>
    <n v="1085126.6785714286"/>
    <n v="-3489354.4000000004"/>
    <n v="861555.67857142864"/>
    <s v="Sales behind track"/>
    <n v="61539.691326530614"/>
    <n v="0.4"/>
    <n v="6076709.4000000004"/>
    <n v="0.4"/>
  </r>
  <r>
    <x v="2"/>
    <s v="Vitros ECiQ Analyzer"/>
    <n v="15002760"/>
    <s v="Immunoassay"/>
    <s v="AR # 300403"/>
    <m/>
    <n v="30006366"/>
    <s v="19.02.2025"/>
    <m/>
    <s v="12.03.2024"/>
    <m/>
    <m/>
    <x v="0"/>
    <x v="0"/>
    <s v="Quetta"/>
    <n v="3020001748"/>
    <x v="108"/>
    <m/>
    <m/>
    <s v="0336-3557475"/>
    <s v="ahmed_ullah26@yahoo.com"/>
    <s v="5132026-1"/>
    <s v="54400-1404155-1"/>
    <n v="18824399"/>
    <n v="34"/>
    <n v="1550725"/>
    <m/>
    <m/>
    <m/>
    <m/>
    <m/>
    <m/>
    <m/>
    <m/>
    <m/>
    <m/>
    <m/>
    <m/>
    <m/>
    <m/>
    <m/>
    <m/>
    <m/>
    <m/>
    <m/>
    <m/>
    <m/>
    <m/>
    <m/>
    <m/>
    <m/>
    <m/>
    <x v="14"/>
    <x v="57"/>
    <n v="1"/>
    <s v="Placed"/>
    <m/>
    <m/>
    <m/>
    <m/>
    <m/>
    <m/>
    <m/>
    <m/>
    <m/>
    <m/>
    <m/>
    <m/>
    <n v="0"/>
    <m/>
    <m/>
    <n v="1089608"/>
    <n v="578220"/>
    <n v="1859355.5561303066"/>
    <n v="0"/>
    <n v="350113"/>
    <n v="210000"/>
    <n v="425000"/>
    <m/>
    <n v="167883.5"/>
    <m/>
    <n v="4680180.0561303068"/>
    <n v="24300"/>
    <n v="328038.5"/>
    <n v="126481"/>
    <n v="478819.5"/>
    <n v="161675.75"/>
    <m/>
    <n v="5158999.5561303068"/>
    <n v="6"/>
    <n v="859833.25935505109"/>
    <n v="16760799.177547878"/>
    <n v="-690891.74064494891"/>
    <s v="Sales behind track"/>
    <n v="-115148.62344082481"/>
    <n v="0.4"/>
    <n v="2063599.8224521228"/>
    <n v="0.35"/>
  </r>
  <r>
    <x v="2"/>
    <s v="Vitros ECiQ Analyzer"/>
    <n v="15002760"/>
    <s v="Immunoassay"/>
    <n v="3002000089"/>
    <m/>
    <n v="30006362"/>
    <s v="29.08.2024"/>
    <m/>
    <s v="12.09.2024"/>
    <m/>
    <m/>
    <x v="0"/>
    <x v="0"/>
    <s v="Quetta"/>
    <n v="3020001748"/>
    <x v="109"/>
    <m/>
    <m/>
    <s v="0336-3557475"/>
    <s v="ahmed_ullah26@yahoo.com"/>
    <s v="5132026-1"/>
    <s v="54400-1404155-1"/>
    <n v="8002112"/>
    <n v="48"/>
    <n v="497587"/>
    <m/>
    <m/>
    <m/>
    <m/>
    <m/>
    <m/>
    <m/>
    <m/>
    <m/>
    <m/>
    <m/>
    <m/>
    <m/>
    <m/>
    <m/>
    <m/>
    <m/>
    <m/>
    <m/>
    <m/>
    <m/>
    <m/>
    <m/>
    <m/>
    <m/>
    <m/>
    <x v="14"/>
    <x v="57"/>
    <n v="1"/>
    <s v="Placed"/>
    <m/>
    <m/>
    <m/>
    <m/>
    <m/>
    <m/>
    <m/>
    <m/>
    <m/>
    <m/>
    <m/>
    <m/>
    <n v="0"/>
    <m/>
    <n v="170450"/>
    <n v="386349"/>
    <n v="80000"/>
    <n v="585500"/>
    <n v="72000"/>
    <n v="188000"/>
    <n v="120000"/>
    <n v="398000"/>
    <m/>
    <n v="167883.5"/>
    <m/>
    <n v="2168182.5"/>
    <n v="24300"/>
    <n v="328038.5"/>
    <n v="126481"/>
    <n v="478819.5"/>
    <n v="161675.75"/>
    <m/>
    <n v="2647002"/>
    <n v="8"/>
    <n v="330875.25"/>
    <n v="6943311.2000000002"/>
    <n v="-166711.75"/>
    <s v="Sales behind track"/>
    <n v="-20838.96875"/>
    <n v="0.4"/>
    <n v="1058800.8"/>
    <n v="0.35"/>
  </r>
  <r>
    <x v="0"/>
    <s v="iFlash 1200"/>
    <n v="15002553"/>
    <s v="Immunoassay"/>
    <s v="AR # 300362"/>
    <m/>
    <s v="ID00176348"/>
    <m/>
    <m/>
    <s v="20.12.2024"/>
    <m/>
    <m/>
    <x v="1"/>
    <x v="0"/>
    <s v="Quetta"/>
    <n v="3020001748"/>
    <x v="110"/>
    <m/>
    <m/>
    <s v="0336-3557475"/>
    <s v="ahmed_ullah26@yahoo.com"/>
    <s v="5132026-1"/>
    <s v="54400-1404155-1"/>
    <n v="2587355"/>
    <n v="35"/>
    <n v="223571"/>
    <m/>
    <m/>
    <m/>
    <m/>
    <m/>
    <m/>
    <m/>
    <m/>
    <m/>
    <m/>
    <m/>
    <m/>
    <m/>
    <m/>
    <m/>
    <m/>
    <m/>
    <m/>
    <s v="Revise case submitted"/>
    <m/>
    <m/>
    <m/>
    <m/>
    <m/>
    <m/>
    <m/>
    <x v="2"/>
    <x v="2"/>
    <n v="1"/>
    <m/>
    <m/>
    <m/>
    <m/>
    <m/>
    <m/>
    <m/>
    <m/>
    <m/>
    <m/>
    <m/>
    <m/>
    <m/>
    <n v="0"/>
    <n v="30796.5"/>
    <n v="341834.75"/>
    <n v="0"/>
    <n v="0"/>
    <n v="225000"/>
    <n v="870000"/>
    <n v="95000"/>
    <n v="130000"/>
    <n v="166475"/>
    <n v="843167.5"/>
    <n v="134878.75"/>
    <m/>
    <n v="2837152.5"/>
    <m/>
    <m/>
    <m/>
    <n v="0"/>
    <n v="489023.125"/>
    <m/>
    <n v="2837152.5"/>
    <n v="11"/>
    <n v="257922.95454545456"/>
    <n v="1452494"/>
    <n v="34351.954545454559"/>
    <s v="Sales behind track"/>
    <n v="3122.9049586776873"/>
    <n v="0.4"/>
    <n v="1134861"/>
    <n v="0.4"/>
  </r>
  <r>
    <x v="0"/>
    <s v="iFlash 1200"/>
    <n v="15002553"/>
    <s v="Immunoassay"/>
    <n v="3002000109"/>
    <m/>
    <s v="ID00093734"/>
    <m/>
    <m/>
    <s v="25.04.2025"/>
    <m/>
    <m/>
    <x v="1"/>
    <x v="0"/>
    <s v="Quetta"/>
    <n v="3020001748"/>
    <x v="111"/>
    <m/>
    <m/>
    <s v="0336-3557475"/>
    <s v="ahmed_ullah26@yahoo.com"/>
    <s v="5132026-1"/>
    <s v="54400-1404155-1"/>
    <n v="2587355"/>
    <n v="31"/>
    <n v="302952"/>
    <m/>
    <m/>
    <m/>
    <m/>
    <m/>
    <m/>
    <m/>
    <m/>
    <m/>
    <m/>
    <m/>
    <m/>
    <m/>
    <m/>
    <m/>
    <m/>
    <m/>
    <m/>
    <s v="Revise case submitted"/>
    <m/>
    <m/>
    <m/>
    <m/>
    <m/>
    <m/>
    <m/>
    <x v="2"/>
    <x v="2"/>
    <n v="1"/>
    <m/>
    <m/>
    <m/>
    <m/>
    <m/>
    <m/>
    <m/>
    <m/>
    <m/>
    <m/>
    <m/>
    <m/>
    <m/>
    <n v="0"/>
    <n v="30796.5"/>
    <n v="341834.75"/>
    <n v="0"/>
    <n v="0"/>
    <n v="198000"/>
    <n v="246000"/>
    <n v="136000"/>
    <n v="142000"/>
    <n v="201000"/>
    <n v="843167.5"/>
    <n v="134878.75"/>
    <m/>
    <n v="2273677.5"/>
    <m/>
    <m/>
    <m/>
    <n v="0"/>
    <n v="489023.125"/>
    <s v="Demo Machine will transfer to Capex"/>
    <n v="2273677.5"/>
    <n v="11"/>
    <n v="206697.95454545456"/>
    <n v="1677884"/>
    <n v="-96254.045454545441"/>
    <s v="Sales behind track"/>
    <n v="-8750.3677685950406"/>
    <n v="0.4"/>
    <n v="909471"/>
    <n v="0.4"/>
  </r>
  <r>
    <x v="0"/>
    <s v="iFlash 1200"/>
    <n v="15002553"/>
    <s v="Immunoassay"/>
    <n v="3002000108"/>
    <m/>
    <s v="ID00082632"/>
    <m/>
    <m/>
    <s v="25.04.2025"/>
    <m/>
    <m/>
    <x v="1"/>
    <x v="0"/>
    <s v="Quetta"/>
    <n v="3020001748"/>
    <x v="112"/>
    <m/>
    <m/>
    <s v="0336-3557475"/>
    <s v="ahmed_ullah26@yahoo.com"/>
    <s v="5132026-1"/>
    <s v="54400-1404155-1"/>
    <n v="2587355"/>
    <n v="30"/>
    <n v="291732"/>
    <m/>
    <m/>
    <m/>
    <m/>
    <m/>
    <m/>
    <m/>
    <m/>
    <m/>
    <m/>
    <m/>
    <m/>
    <m/>
    <m/>
    <m/>
    <m/>
    <m/>
    <m/>
    <s v="Revise case submitted"/>
    <m/>
    <m/>
    <m/>
    <m/>
    <m/>
    <m/>
    <m/>
    <x v="2"/>
    <x v="2"/>
    <n v="1"/>
    <m/>
    <m/>
    <m/>
    <m/>
    <m/>
    <m/>
    <m/>
    <m/>
    <m/>
    <m/>
    <m/>
    <m/>
    <m/>
    <n v="0"/>
    <n v="30796.5"/>
    <n v="341834.75"/>
    <n v="0"/>
    <n v="0"/>
    <n v="229806"/>
    <n v="299331"/>
    <n v="0"/>
    <n v="92242"/>
    <n v="214000"/>
    <n v="843167.5"/>
    <n v="134878.75"/>
    <m/>
    <n v="2186056.5"/>
    <m/>
    <m/>
    <m/>
    <n v="0"/>
    <n v="489023.125"/>
    <s v="Demo Machine will transfer to Capex"/>
    <n v="2186056.5"/>
    <n v="11"/>
    <n v="198732.40909090909"/>
    <n v="1712932.4"/>
    <n v="-92999.590909090912"/>
    <s v="Sales behind track"/>
    <n v="-8454.508264462811"/>
    <n v="0.4"/>
    <n v="874422.60000000009"/>
    <n v="0.4"/>
  </r>
  <r>
    <x v="2"/>
    <s v="Vitros Eciq Immunoassay"/>
    <n v="15002758"/>
    <s v="Immunoassay"/>
    <n v="3002000025"/>
    <s v="N/A"/>
    <n v="36000907"/>
    <s v="04.01.2023"/>
    <s v="06.12.2022"/>
    <s v="06.12.2022"/>
    <s v="Available"/>
    <m/>
    <x v="7"/>
    <x v="0"/>
    <s v="Quetta"/>
    <n v="3020001748"/>
    <x v="113"/>
    <s v="Dr. Fayaz butt"/>
    <s v="Jinnah Road Quetta"/>
    <s v="0812-822360"/>
    <s v="Not Available"/>
    <s v="5132026-1"/>
    <s v="54400-1404155-1"/>
    <n v="10856400"/>
    <n v="29"/>
    <n v="1266339"/>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x v="2"/>
    <x v="2"/>
    <m/>
    <m/>
    <n v="301920"/>
    <n v="604500"/>
    <n v="602950"/>
    <n v="0"/>
    <n v="432564"/>
    <n v="1646505"/>
    <n v="625224"/>
    <n v="334868"/>
    <n v="160290"/>
    <n v="103427"/>
    <n v="617018.57999999996"/>
    <n v="744021"/>
    <n v="6173287.5800000001"/>
    <n v="405650"/>
    <m/>
    <m/>
    <m/>
    <m/>
    <m/>
    <m/>
    <m/>
    <m/>
    <m/>
    <m/>
    <m/>
    <n v="405650"/>
    <m/>
    <m/>
    <m/>
    <n v="0"/>
    <n v="0"/>
    <m/>
    <n v="6578937.5800000001"/>
    <n v="25"/>
    <n v="263157.50319999998"/>
    <n v="8224824.9680000003"/>
    <n v="-1003181.4968000001"/>
    <s v="Sales behind track, sales every month"/>
    <n v="-40127.259872000002"/>
    <n v="0.4"/>
    <n v="2631575.0320000001"/>
    <n v="0.35"/>
  </r>
  <r>
    <x v="2"/>
    <s v="Vitros ECiQ Immunodiagnostic System"/>
    <n v="15002760"/>
    <s v="Immunoassay"/>
    <n v="3002000021"/>
    <s v="N/A"/>
    <n v="30006248"/>
    <s v="01.10.2022"/>
    <s v="23.09.2022"/>
    <s v="26.09.2022"/>
    <s v="Available"/>
    <m/>
    <x v="7"/>
    <x v="0"/>
    <s v="Quetta"/>
    <n v="3020001748"/>
    <x v="114"/>
    <s v="Installed through Trader Jamal Brothers"/>
    <s v="Saleem Medical Complex, Quetta, Pakistan-87300"/>
    <s v="0336-3557475"/>
    <s v="ahmed_ullah26@yahoo.com"/>
    <s v="5132026-1"/>
    <s v="54400-1404155-1"/>
    <n v="9297200"/>
    <n v="30"/>
    <n v="1002975"/>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2"/>
    <x v="2"/>
    <m/>
    <m/>
    <n v="208000"/>
    <n v="452532"/>
    <n v="411355"/>
    <n v="0"/>
    <n v="405250"/>
    <n v="1372088"/>
    <n v="729428"/>
    <n v="298852"/>
    <n v="280510"/>
    <n v="120665"/>
    <n v="594166.04"/>
    <n v="637733"/>
    <n v="5510579.04"/>
    <n v="376675"/>
    <m/>
    <m/>
    <m/>
    <m/>
    <m/>
    <m/>
    <m/>
    <m/>
    <m/>
    <m/>
    <m/>
    <n v="376675"/>
    <m/>
    <m/>
    <m/>
    <n v="0"/>
    <n v="0"/>
    <m/>
    <n v="5887254.04"/>
    <n v="25"/>
    <n v="235490.16159999999"/>
    <n v="6942298.3839999996"/>
    <n v="-767484.83840000001"/>
    <s v="behind track, sales every month"/>
    <n v="-30699.393536"/>
    <n v="0.4"/>
    <n v="2354901.6159999999"/>
    <n v="0.35"/>
  </r>
  <r>
    <x v="2"/>
    <s v="Vitros ECiQ Immunodiagnostic System"/>
    <n v="15002760"/>
    <s v="Immunoassay"/>
    <n v="3002000020"/>
    <s v="N/A"/>
    <n v="30006249"/>
    <s v="01.10.2022"/>
    <s v="26.09.2022"/>
    <s v="26.09.2022"/>
    <s v="Available"/>
    <m/>
    <x v="7"/>
    <x v="0"/>
    <s v="Quetta"/>
    <n v="3020001748"/>
    <x v="115"/>
    <s v="Installed through Trader Jamal Brothers"/>
    <s v="Art School Rd, Quetta, Balochistan 83200"/>
    <s v="0336-3557475"/>
    <s v="ahmed_ullah26@yahoo.com"/>
    <s v="5132026-1"/>
    <s v="54400-1404155-1"/>
    <n v="9297200"/>
    <n v="30"/>
    <n v="1380048"/>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2"/>
    <x v="2"/>
    <m/>
    <m/>
    <n v="221000"/>
    <n v="425300"/>
    <n v="425361"/>
    <n v="0"/>
    <n v="412580"/>
    <n v="1317204"/>
    <n v="573122"/>
    <n v="286810"/>
    <n v="240438"/>
    <n v="94809"/>
    <n v="525723.42000000004"/>
    <n v="584588"/>
    <n v="5106935.42"/>
    <n v="318725"/>
    <m/>
    <m/>
    <m/>
    <m/>
    <m/>
    <m/>
    <m/>
    <m/>
    <m/>
    <m/>
    <m/>
    <n v="318725"/>
    <m/>
    <m/>
    <m/>
    <n v="0"/>
    <n v="0"/>
    <m/>
    <n v="5425660.4199999999"/>
    <n v="25"/>
    <n v="217026.41680000001"/>
    <n v="7126935.8320000004"/>
    <n v="-1163021.5832"/>
    <s v="behind track, sales every month"/>
    <n v="-46520.863327999999"/>
    <n v="0.4"/>
    <n v="2170264.1680000001"/>
    <n v="0.35"/>
  </r>
  <r>
    <x v="2"/>
    <s v="Vitros ECiQ Immunodiagnostic System"/>
    <n v="15002760"/>
    <s v="Immunoassay"/>
    <n v="3002000022"/>
    <s v="N/A"/>
    <n v="30006240"/>
    <s v="29.10.2022"/>
    <s v="19.10.2022"/>
    <s v="19.10.2022"/>
    <s v="Available"/>
    <m/>
    <x v="7"/>
    <x v="0"/>
    <s v="Quetta"/>
    <n v="3020001748"/>
    <x v="116"/>
    <s v="Dr. Hanif Mangel"/>
    <s v="52Q5+VJ4, Patel Road, Patel Bagh Quetta, Balochistan"/>
    <s v="0336-3557475"/>
    <s v="ahmed_ullah26@yahoo.com"/>
    <s v="5132026-1"/>
    <s v="54400-1404155-1"/>
    <n v="9297200"/>
    <n v="29"/>
    <n v="1059783"/>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2"/>
    <x v="2"/>
    <m/>
    <m/>
    <n v="208820"/>
    <n v="384000"/>
    <n v="458717"/>
    <n v="0"/>
    <n v="380600"/>
    <n v="1152556"/>
    <n v="677326"/>
    <n v="323429"/>
    <n v="120257"/>
    <n v="112046"/>
    <n v="548460.96"/>
    <n v="690877"/>
    <n v="5057088.96"/>
    <n v="347700"/>
    <m/>
    <m/>
    <m/>
    <m/>
    <m/>
    <m/>
    <m/>
    <m/>
    <m/>
    <m/>
    <m/>
    <n v="347700"/>
    <m/>
    <m/>
    <m/>
    <n v="0"/>
    <n v="0"/>
    <m/>
    <n v="5404788.96"/>
    <n v="25"/>
    <n v="216191.55840000001"/>
    <n v="7135284.4159999993"/>
    <n v="-843591.44160000002"/>
    <s v="behind track, sales every month"/>
    <n v="-33743.657663999998"/>
    <n v="0.4"/>
    <n v="2161915.5840000003"/>
    <n v="0.35"/>
  </r>
  <r>
    <x v="2"/>
    <s v="Vitros Eciq Immunoassay"/>
    <n v="15002760"/>
    <s v="Immunoassay"/>
    <n v="3002000090"/>
    <s v="N/A"/>
    <n v="30006326"/>
    <s v="04.01.2023"/>
    <s v="06.12.2022"/>
    <s v="25.04.2025"/>
    <s v="Available"/>
    <m/>
    <x v="8"/>
    <x v="0"/>
    <s v="Quetta"/>
    <n v="3020001748"/>
    <x v="113"/>
    <s v="Dr. Fayaz butt"/>
    <s v="Jinnah Road Quetta"/>
    <s v="0812-822360"/>
    <s v="Not Available"/>
    <s v="5132026-1"/>
    <s v="54400-1404155-1"/>
    <n v="8595000"/>
    <n v="45"/>
    <n v="529967"/>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x v="14"/>
    <x v="37"/>
    <n v="1"/>
    <s v="Not funtional - At customer site"/>
    <n v="301920"/>
    <n v="604500"/>
    <n v="602950"/>
    <n v="0"/>
    <n v="432564"/>
    <n v="1646505"/>
    <n v="625224"/>
    <n v="334868"/>
    <n v="160290"/>
    <n v="103427"/>
    <n v="617018.57999999996"/>
    <n v="744021"/>
    <n v="6173287.5800000001"/>
    <n v="405650"/>
    <n v="317365"/>
    <n v="416000"/>
    <n v="96500"/>
    <n v="676000"/>
    <n v="120000"/>
    <n v="190000"/>
    <n v="176000"/>
    <n v="340000"/>
    <m/>
    <m/>
    <m/>
    <n v="2737515"/>
    <m/>
    <m/>
    <m/>
    <n v="0"/>
    <n v="0"/>
    <m/>
    <n v="8910802.5800000001"/>
    <n v="31"/>
    <n v="287445.24451612902"/>
    <n v="5030678.9680000003"/>
    <n v="-242521.75548387098"/>
    <s v="behind track, sales every month"/>
    <n v="-7823.2824349635803"/>
    <n v="0.4"/>
    <n v="3564321.0320000001"/>
    <n v="0.35"/>
  </r>
  <r>
    <x v="2"/>
    <s v="Vitros ECiQ Immunodiagnostic System"/>
    <n v="15002760"/>
    <s v="Immunoassay"/>
    <n v="3002000021"/>
    <s v="N/A"/>
    <n v="30006248"/>
    <s v="01.10.2022"/>
    <s v="23.09.2022"/>
    <s v="25.04.2025"/>
    <s v="Available"/>
    <m/>
    <x v="8"/>
    <x v="0"/>
    <s v="Quetta"/>
    <n v="3020001748"/>
    <x v="114"/>
    <s v="Installed through Trader Jamal Brothers"/>
    <s v="Saleem Medical Complex, Quetta, Pakistan-87300"/>
    <s v="0336-3557475"/>
    <s v="ahmed_ullah26@yahoo.com"/>
    <s v="5132026-1"/>
    <s v="54400-1404155-1"/>
    <n v="9412200"/>
    <n v="55"/>
    <n v="50462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14"/>
    <x v="37"/>
    <n v="1"/>
    <s v="Not funtional - At customer site"/>
    <n v="208000"/>
    <n v="452532"/>
    <n v="411355"/>
    <n v="0"/>
    <n v="405250"/>
    <n v="1372088"/>
    <n v="729428"/>
    <n v="298852"/>
    <n v="280510"/>
    <n v="120665"/>
    <n v="594166.04"/>
    <n v="637733"/>
    <n v="5510579.04"/>
    <n v="376675"/>
    <n v="387000"/>
    <n v="437000"/>
    <n v="93000"/>
    <n v="720000"/>
    <n v="127084"/>
    <n v="245000"/>
    <n v="249000"/>
    <n v="375730"/>
    <m/>
    <m/>
    <m/>
    <n v="3010489"/>
    <m/>
    <m/>
    <m/>
    <n v="0"/>
    <n v="0"/>
    <m/>
    <n v="8521068.0399999991"/>
    <n v="31"/>
    <n v="274873.16258064512"/>
    <n v="6003772.784"/>
    <n v="-229755.83741935488"/>
    <s v="Sales on track "/>
    <n v="-7411.4786264308023"/>
    <n v="0.4"/>
    <n v="3408427.216"/>
    <n v="0.35"/>
  </r>
  <r>
    <x v="2"/>
    <s v="Vitros ECiQ Immunodiagnostic System"/>
    <n v="15002760"/>
    <s v="Immunoassay"/>
    <n v="3002000020"/>
    <s v="N/A"/>
    <n v="30006249"/>
    <s v="01.10.2022"/>
    <s v="26.09.2022"/>
    <s v="25.04.2025"/>
    <s v="Available"/>
    <m/>
    <x v="8"/>
    <x v="0"/>
    <s v="Quetta"/>
    <n v="3020001748"/>
    <x v="115"/>
    <s v="Installed through Trader Jamal Brothers"/>
    <s v="Art School Rd, Quetta, Balochistan 83200"/>
    <s v="0336-3557475"/>
    <s v="ahmed_ullah26@yahoo.com"/>
    <s v="5132026-1"/>
    <s v="54400-1404155-1"/>
    <n v="9412200"/>
    <n v="58"/>
    <n v="50747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14"/>
    <x v="37"/>
    <n v="1"/>
    <s v="Not funtional - At customer site"/>
    <n v="221000"/>
    <n v="425300"/>
    <n v="425361"/>
    <n v="0"/>
    <n v="412580"/>
    <n v="1317204"/>
    <n v="573122"/>
    <n v="286810"/>
    <n v="240438"/>
    <n v="94809"/>
    <n v="525723.42000000004"/>
    <n v="584588"/>
    <n v="5106935.42"/>
    <n v="318725"/>
    <n v="369174"/>
    <n v="522000"/>
    <n v="106000"/>
    <n v="1040000"/>
    <n v="150000"/>
    <n v="250000"/>
    <n v="222500"/>
    <n v="387500"/>
    <m/>
    <m/>
    <m/>
    <n v="3365899"/>
    <m/>
    <m/>
    <m/>
    <n v="0"/>
    <n v="0"/>
    <m/>
    <n v="8472834.4199999999"/>
    <n v="31"/>
    <n v="273317.23935483873"/>
    <n v="6023066.2319999998"/>
    <n v="-234161.76064516127"/>
    <s v="Sales behind track"/>
    <n v="-7553.6051821019764"/>
    <n v="0.4"/>
    <n v="3389133.7680000002"/>
    <n v="0.35"/>
  </r>
  <r>
    <x v="2"/>
    <s v="Vitros ECiQ Immunodiagnostic System"/>
    <n v="15002760"/>
    <s v="Immunoassay"/>
    <n v="3002000022"/>
    <s v="N/A"/>
    <n v="30006240"/>
    <s v="29.10.2022"/>
    <s v="19.10.2022"/>
    <s v="25.04.2025"/>
    <s v="Available"/>
    <m/>
    <x v="8"/>
    <x v="0"/>
    <s v="Quetta"/>
    <n v="3020001748"/>
    <x v="116"/>
    <s v="Dr. Hanif Mangel"/>
    <s v="52Q5+VJ4, Patel Road, Patel Bagh Quetta, Balochistan"/>
    <s v="0336-3557475"/>
    <s v="ahmed_ullah26@yahoo.com"/>
    <s v="5132026-1"/>
    <s v="54400-1404155-1"/>
    <n v="8595000"/>
    <n v="55"/>
    <n v="424250"/>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x v="14"/>
    <x v="37"/>
    <n v="1"/>
    <s v="Not funtional - At customer site"/>
    <n v="208820"/>
    <n v="384000"/>
    <n v="458717"/>
    <n v="0"/>
    <n v="380600"/>
    <n v="1152556"/>
    <n v="677326"/>
    <n v="323429"/>
    <n v="120257"/>
    <n v="112046"/>
    <n v="548460.96"/>
    <n v="690877"/>
    <n v="5057088.96"/>
    <n v="347700"/>
    <n v="698335"/>
    <n v="479000"/>
    <n v="107017"/>
    <n v="791114"/>
    <n v="115000"/>
    <n v="287000"/>
    <n v="81039"/>
    <n v="154000"/>
    <m/>
    <m/>
    <m/>
    <n v="3060205"/>
    <m/>
    <m/>
    <m/>
    <n v="0"/>
    <n v="0"/>
    <m/>
    <n v="8117293.96"/>
    <n v="31"/>
    <n v="261848.19225806452"/>
    <n v="5348082.4159999993"/>
    <n v="-162401.80774193548"/>
    <s v="Sales on track"/>
    <n v="-5238.7679916753377"/>
    <n v="0.4"/>
    <n v="3246917.5840000003"/>
    <n v="0.35"/>
  </r>
  <r>
    <x v="0"/>
    <s v="iFlash 1800"/>
    <n v="15002462"/>
    <s v="Immunoassay"/>
    <n v="3002000098"/>
    <m/>
    <s v="IA00093422"/>
    <m/>
    <m/>
    <s v="14.05.2025"/>
    <m/>
    <m/>
    <x v="0"/>
    <x v="1"/>
    <s v="D.G Khan"/>
    <n v="3020001809"/>
    <x v="117"/>
    <m/>
    <m/>
    <m/>
    <m/>
    <m/>
    <m/>
    <n v="3100000"/>
    <n v="33"/>
    <n v="29400"/>
    <m/>
    <m/>
    <m/>
    <m/>
    <m/>
    <m/>
    <m/>
    <m/>
    <m/>
    <m/>
    <m/>
    <m/>
    <m/>
    <m/>
    <m/>
    <m/>
    <m/>
    <m/>
    <m/>
    <m/>
    <m/>
    <m/>
    <m/>
    <m/>
    <m/>
    <m/>
    <x v="37"/>
    <x v="58"/>
    <n v="1"/>
    <s v="Placed"/>
    <m/>
    <m/>
    <m/>
    <m/>
    <m/>
    <m/>
    <m/>
    <m/>
    <m/>
    <n v="2491525.5"/>
    <m/>
    <m/>
    <n v="2491525.5"/>
    <m/>
    <m/>
    <m/>
    <m/>
    <m/>
    <m/>
    <m/>
    <m/>
    <n v="0"/>
    <n v="0"/>
    <n v="0"/>
    <m/>
    <n v="0"/>
    <n v="0"/>
    <n v="0"/>
    <n v="0"/>
    <n v="0"/>
    <n v="0"/>
    <m/>
    <n v="2491525.5"/>
    <n v="13"/>
    <n v="191655.80769230769"/>
    <n v="2103389.7999999998"/>
    <n v="162255.80769230769"/>
    <m/>
    <n v="12481.215976331361"/>
    <n v="0.4"/>
    <n v="996610.20000000007"/>
    <n v="0.4"/>
  </r>
  <r>
    <x v="2"/>
    <s v="Vitros ECiQ Analyzer"/>
    <n v="15002760"/>
    <s v="Immunoassay"/>
    <m/>
    <m/>
    <m/>
    <m/>
    <m/>
    <s v="23.06.2025"/>
    <m/>
    <m/>
    <x v="1"/>
    <x v="2"/>
    <s v="Islamabad"/>
    <n v="3020001811"/>
    <x v="118"/>
    <m/>
    <s v="1-674, Street No 7, Murree Road Committee Chowk"/>
    <s v="051-5132096/0333-5483970"/>
    <s v="mjunaidpirzada@gmail.com"/>
    <m/>
    <s v="37405-8532137-1"/>
    <n v="13726374"/>
    <n v="35"/>
    <n v="979837"/>
    <m/>
    <m/>
    <m/>
    <m/>
    <m/>
    <m/>
    <m/>
    <m/>
    <m/>
    <m/>
    <m/>
    <m/>
    <m/>
    <m/>
    <m/>
    <m/>
    <m/>
    <m/>
    <m/>
    <m/>
    <m/>
    <m/>
    <m/>
    <m/>
    <m/>
    <m/>
    <x v="4"/>
    <x v="2"/>
    <m/>
    <m/>
    <m/>
    <m/>
    <m/>
    <m/>
    <n v="1710000"/>
    <m/>
    <m/>
    <m/>
    <m/>
    <m/>
    <m/>
    <m/>
    <n v="1710000"/>
    <m/>
    <m/>
    <m/>
    <m/>
    <m/>
    <m/>
    <n v="316962"/>
    <n v="0"/>
    <n v="0"/>
    <m/>
    <m/>
    <m/>
    <n v="316962"/>
    <m/>
    <m/>
    <m/>
    <n v="0"/>
    <n v="0"/>
    <m/>
    <n v="2026962"/>
    <n v="4"/>
    <n v="506740.5"/>
    <n v="12915589.199999999"/>
    <n v="-882971"/>
    <s v="Sales behind track"/>
    <n v="-220742.75"/>
    <n v="0.4"/>
    <n v="810784.8"/>
    <n v="0.4"/>
  </r>
  <r>
    <x v="2"/>
    <s v="Vitros ECiQ"/>
    <n v="15002760"/>
    <s v="Immunoassay"/>
    <s v="AR # 300405"/>
    <s v="Received from GAMCA Peshawar"/>
    <n v="30006409"/>
    <m/>
    <m/>
    <s v="04.07.2025"/>
    <m/>
    <m/>
    <x v="0"/>
    <x v="2"/>
    <s v="Peshawar"/>
    <n v="3020001102"/>
    <x v="119"/>
    <m/>
    <m/>
    <m/>
    <m/>
    <m/>
    <m/>
    <n v="14446400"/>
    <n v="28"/>
    <n v="855600"/>
    <m/>
    <m/>
    <m/>
    <m/>
    <m/>
    <m/>
    <m/>
    <m/>
    <m/>
    <m/>
    <m/>
    <m/>
    <m/>
    <m/>
    <m/>
    <m/>
    <m/>
    <m/>
    <m/>
    <m/>
    <m/>
    <m/>
    <m/>
    <m/>
    <m/>
    <m/>
    <x v="14"/>
    <x v="59"/>
    <n v="1"/>
    <s v="Placed"/>
    <m/>
    <m/>
    <m/>
    <m/>
    <m/>
    <m/>
    <m/>
    <m/>
    <m/>
    <m/>
    <m/>
    <m/>
    <n v="0"/>
    <m/>
    <m/>
    <m/>
    <m/>
    <m/>
    <m/>
    <n v="469000"/>
    <m/>
    <n v="0"/>
    <m/>
    <m/>
    <m/>
    <n v="469000"/>
    <n v="647500"/>
    <m/>
    <m/>
    <n v="647500"/>
    <n v="647500"/>
    <m/>
    <n v="1116500"/>
    <n v="9"/>
    <n v="124055.55555555556"/>
    <n v="14446400"/>
    <n v="-731544.4444444445"/>
    <m/>
    <n v="-81282.716049382725"/>
    <m/>
    <n v="0"/>
    <n v="0"/>
  </r>
  <r>
    <x v="7"/>
    <s v="EC90"/>
    <n v="15002674"/>
    <s v="Electrolyte Analyzer"/>
    <s v="AR # 1900381"/>
    <s v="Shifted from demo 8300061998 18.08.2025"/>
    <s v="9254-2-202402"/>
    <m/>
    <m/>
    <s v="14.07.2025"/>
    <m/>
    <m/>
    <x v="0"/>
    <x v="0"/>
    <s v="Quetta"/>
    <n v="3020001748"/>
    <x v="120"/>
    <m/>
    <m/>
    <m/>
    <m/>
    <m/>
    <m/>
    <n v="532660"/>
    <n v="24"/>
    <n v="68306"/>
    <m/>
    <m/>
    <m/>
    <m/>
    <m/>
    <m/>
    <m/>
    <m/>
    <m/>
    <m/>
    <m/>
    <m/>
    <m/>
    <m/>
    <m/>
    <m/>
    <m/>
    <m/>
    <m/>
    <m/>
    <m/>
    <m/>
    <m/>
    <m/>
    <m/>
    <m/>
    <x v="38"/>
    <x v="60"/>
    <n v="1"/>
    <s v="Active"/>
    <n v="50000"/>
    <n v="580000"/>
    <n v="550000"/>
    <m/>
    <m/>
    <n v="182500"/>
    <n v="50000"/>
    <n v="1093220.45"/>
    <m/>
    <n v="-582966.1"/>
    <m/>
    <n v="207100"/>
    <n v="2129854.35"/>
    <n v="201400"/>
    <n v="319200"/>
    <m/>
    <n v="532000"/>
    <n v="901000"/>
    <n v="0"/>
    <m/>
    <m/>
    <n v="873200"/>
    <n v="1087200"/>
    <n v="350000"/>
    <m/>
    <n v="4264000"/>
    <n v="0"/>
    <n v="217600"/>
    <n v="106400"/>
    <n v="324000"/>
    <n v="352240"/>
    <m/>
    <n v="6717854.3499999996"/>
    <m/>
    <e v="#DIV/0!"/>
    <m/>
    <e v="#DIV/0!"/>
    <m/>
    <e v="#DIV/0!"/>
    <m/>
    <n v="0"/>
    <n v="0"/>
  </r>
  <r>
    <x v="0"/>
    <s v="IFLASH 1200"/>
    <n v="15002553"/>
    <s v="Immunoassay"/>
    <m/>
    <m/>
    <s v="ID00093734"/>
    <m/>
    <m/>
    <s v="25.11.2025"/>
    <m/>
    <m/>
    <x v="0"/>
    <x v="0"/>
    <s v="Quetta"/>
    <n v="3020001748"/>
    <x v="121"/>
    <m/>
    <m/>
    <m/>
    <m/>
    <m/>
    <m/>
    <n v="4910685"/>
    <n v="30"/>
    <n v="674745"/>
    <m/>
    <m/>
    <m/>
    <m/>
    <m/>
    <m/>
    <m/>
    <m/>
    <m/>
    <m/>
    <m/>
    <m/>
    <m/>
    <m/>
    <m/>
    <m/>
    <m/>
    <m/>
    <m/>
    <m/>
    <m/>
    <m/>
    <m/>
    <m/>
    <m/>
    <m/>
    <x v="0"/>
    <x v="56"/>
    <n v="1"/>
    <s v="Placed"/>
    <m/>
    <m/>
    <m/>
    <m/>
    <m/>
    <m/>
    <m/>
    <m/>
    <m/>
    <m/>
    <m/>
    <m/>
    <n v="0"/>
    <m/>
    <m/>
    <m/>
    <m/>
    <m/>
    <m/>
    <m/>
    <m/>
    <m/>
    <m/>
    <m/>
    <n v="1032747.5"/>
    <n v="1032747.5"/>
    <n v="205240"/>
    <n v="424978"/>
    <n v="79312.5"/>
    <n v="709530.5"/>
    <n v="435569.5"/>
    <m/>
    <n v="1742278"/>
    <n v="1"/>
    <n v="1742278"/>
    <m/>
    <n v="1067533"/>
    <m/>
    <n v="1067533"/>
    <m/>
    <n v="0"/>
    <n v="0"/>
  </r>
  <r>
    <x v="0"/>
    <s v="IFLASH 1800"/>
    <n v="15002462"/>
    <s v="Immunoassay"/>
    <m/>
    <m/>
    <m/>
    <m/>
    <m/>
    <s v="25.11.2025"/>
    <m/>
    <m/>
    <x v="0"/>
    <x v="0"/>
    <s v="Quetta"/>
    <n v="3020001748"/>
    <x v="122"/>
    <m/>
    <m/>
    <m/>
    <m/>
    <m/>
    <m/>
    <n v="4910685"/>
    <n v="35"/>
    <n v="472477"/>
    <m/>
    <m/>
    <m/>
    <m/>
    <m/>
    <m/>
    <m/>
    <m/>
    <m/>
    <m/>
    <m/>
    <m/>
    <m/>
    <m/>
    <m/>
    <m/>
    <m/>
    <m/>
    <m/>
    <m/>
    <m/>
    <m/>
    <m/>
    <m/>
    <m/>
    <m/>
    <x v="0"/>
    <x v="56"/>
    <n v="1"/>
    <s v="Placed"/>
    <m/>
    <m/>
    <m/>
    <m/>
    <m/>
    <m/>
    <m/>
    <m/>
    <m/>
    <m/>
    <m/>
    <m/>
    <n v="0"/>
    <m/>
    <m/>
    <m/>
    <m/>
    <m/>
    <m/>
    <m/>
    <m/>
    <m/>
    <m/>
    <m/>
    <n v="1032747.5"/>
    <n v="1032747.5"/>
    <n v="205240"/>
    <n v="424978"/>
    <n v="79312.5"/>
    <n v="709530.5"/>
    <n v="435569.5"/>
    <m/>
    <n v="1742278"/>
    <n v="1"/>
    <n v="1742278"/>
    <m/>
    <n v="1269801"/>
    <m/>
    <n v="1269801"/>
    <m/>
    <n v="0"/>
    <n v="0"/>
  </r>
  <r>
    <x v="4"/>
    <s v="STA Compact Max"/>
    <n v="15003000"/>
    <s v="Coagulation Analyzer"/>
    <m/>
    <m/>
    <m/>
    <m/>
    <m/>
    <s v="27.06.2025"/>
    <m/>
    <m/>
    <x v="1"/>
    <x v="1"/>
    <s v="Lahore"/>
    <m/>
    <x v="123"/>
    <m/>
    <m/>
    <m/>
    <m/>
    <m/>
    <m/>
    <n v="7823998"/>
    <n v="34"/>
    <n v="500398"/>
    <m/>
    <m/>
    <m/>
    <m/>
    <m/>
    <m/>
    <m/>
    <m/>
    <m/>
    <m/>
    <m/>
    <m/>
    <m/>
    <m/>
    <m/>
    <m/>
    <m/>
    <m/>
    <m/>
    <m/>
    <m/>
    <m/>
    <m/>
    <m/>
    <m/>
    <m/>
    <x v="2"/>
    <x v="2"/>
    <m/>
    <s v="Not Placed"/>
    <m/>
    <m/>
    <m/>
    <m/>
    <m/>
    <m/>
    <m/>
    <m/>
    <m/>
    <m/>
    <m/>
    <m/>
    <n v="0"/>
    <m/>
    <m/>
    <m/>
    <m/>
    <m/>
    <m/>
    <m/>
    <m/>
    <m/>
    <m/>
    <m/>
    <m/>
    <n v="0"/>
    <m/>
    <m/>
    <m/>
    <n v="0"/>
    <n v="0"/>
    <m/>
    <n v="0"/>
    <m/>
    <e v="#DIV/0!"/>
    <m/>
    <e v="#DIV/0!"/>
    <m/>
    <e v="#DIV/0!"/>
    <m/>
    <n v="0"/>
    <n v="0"/>
  </r>
  <r>
    <x v="2"/>
    <s v="Vitros ECiQ"/>
    <n v="15002760"/>
    <s v="Immunoassay"/>
    <n v="3002000121"/>
    <m/>
    <n v="30006374"/>
    <m/>
    <m/>
    <s v="04.07.2025"/>
    <m/>
    <m/>
    <x v="0"/>
    <x v="2"/>
    <s v="Peshawar"/>
    <n v="3020001086"/>
    <x v="124"/>
    <m/>
    <m/>
    <m/>
    <m/>
    <m/>
    <m/>
    <n v="14446400"/>
    <n v="28"/>
    <n v="855600"/>
    <m/>
    <m/>
    <m/>
    <m/>
    <m/>
    <m/>
    <m/>
    <m/>
    <m/>
    <m/>
    <m/>
    <m/>
    <m/>
    <m/>
    <m/>
    <m/>
    <m/>
    <m/>
    <m/>
    <m/>
    <m/>
    <m/>
    <m/>
    <m/>
    <m/>
    <m/>
    <x v="2"/>
    <x v="59"/>
    <n v="1"/>
    <s v="Placed"/>
    <m/>
    <m/>
    <m/>
    <m/>
    <m/>
    <m/>
    <m/>
    <m/>
    <m/>
    <m/>
    <m/>
    <m/>
    <n v="0"/>
    <m/>
    <m/>
    <m/>
    <m/>
    <m/>
    <m/>
    <m/>
    <n v="443000"/>
    <m/>
    <m/>
    <m/>
    <m/>
    <n v="443000"/>
    <n v="556000"/>
    <m/>
    <m/>
    <n v="556000"/>
    <n v="556000"/>
    <m/>
    <n v="999000"/>
    <n v="9"/>
    <n v="111000"/>
    <n v="14446400"/>
    <n v="-744600"/>
    <m/>
    <n v="-82733.333333333328"/>
    <m/>
    <n v="0"/>
    <n v="0"/>
  </r>
  <r>
    <x v="2"/>
    <s v="Vitros ECiQ"/>
    <n v="15002760"/>
    <s v="Immunoassay"/>
    <m/>
    <m/>
    <m/>
    <m/>
    <m/>
    <s v="12.08.2025"/>
    <m/>
    <m/>
    <x v="1"/>
    <x v="2"/>
    <s v="Timmergara"/>
    <m/>
    <x v="125"/>
    <m/>
    <m/>
    <m/>
    <m/>
    <m/>
    <m/>
    <n v="7635000"/>
    <n v="36"/>
    <n v="656506"/>
    <m/>
    <m/>
    <m/>
    <m/>
    <m/>
    <m/>
    <m/>
    <m/>
    <m/>
    <m/>
    <m/>
    <m/>
    <m/>
    <m/>
    <m/>
    <m/>
    <m/>
    <m/>
    <m/>
    <m/>
    <m/>
    <m/>
    <m/>
    <m/>
    <m/>
    <m/>
    <x v="13"/>
    <x v="2"/>
    <m/>
    <s v="Pulling back"/>
    <m/>
    <m/>
    <m/>
    <m/>
    <m/>
    <m/>
    <m/>
    <m/>
    <m/>
    <m/>
    <m/>
    <m/>
    <n v="0"/>
    <m/>
    <m/>
    <m/>
    <m/>
    <m/>
    <m/>
    <m/>
    <m/>
    <m/>
    <m/>
    <m/>
    <m/>
    <n v="0"/>
    <m/>
    <m/>
    <m/>
    <n v="0"/>
    <n v="0"/>
    <m/>
    <n v="0"/>
    <m/>
    <e v="#DIV/0!"/>
    <m/>
    <e v="#DIV/0!"/>
    <m/>
    <e v="#DIV/0!"/>
    <m/>
    <n v="0"/>
    <n v="0"/>
  </r>
  <r>
    <x v="2"/>
    <s v="Vitros ECiQ"/>
    <n v="15002760"/>
    <s v="Immunoassay"/>
    <m/>
    <m/>
    <m/>
    <m/>
    <m/>
    <s v="26.08.2025"/>
    <m/>
    <m/>
    <x v="1"/>
    <x v="0"/>
    <s v="Karachi"/>
    <m/>
    <x v="126"/>
    <m/>
    <m/>
    <m/>
    <m/>
    <m/>
    <m/>
    <n v="8085000"/>
    <n v="36"/>
    <n v="598711"/>
    <m/>
    <m/>
    <m/>
    <m/>
    <m/>
    <m/>
    <m/>
    <m/>
    <m/>
    <m/>
    <m/>
    <m/>
    <m/>
    <m/>
    <m/>
    <m/>
    <m/>
    <m/>
    <m/>
    <m/>
    <m/>
    <m/>
    <m/>
    <m/>
    <m/>
    <m/>
    <x v="2"/>
    <x v="2"/>
    <m/>
    <s v="Not Placed"/>
    <m/>
    <m/>
    <m/>
    <m/>
    <m/>
    <m/>
    <m/>
    <m/>
    <m/>
    <m/>
    <m/>
    <m/>
    <n v="0"/>
    <m/>
    <m/>
    <m/>
    <m/>
    <m/>
    <m/>
    <m/>
    <m/>
    <m/>
    <m/>
    <m/>
    <m/>
    <n v="0"/>
    <m/>
    <m/>
    <m/>
    <n v="0"/>
    <n v="0"/>
    <m/>
    <n v="0"/>
    <m/>
    <e v="#DIV/0!"/>
    <m/>
    <e v="#DIV/0!"/>
    <m/>
    <e v="#DIV/0!"/>
    <m/>
    <n v="0"/>
    <n v="0"/>
  </r>
  <r>
    <x v="3"/>
    <s v="Swelab Alfa Plus"/>
    <n v="15001967"/>
    <s v="Hematology "/>
    <s v="AR # 300424"/>
    <m/>
    <n v="128455"/>
    <m/>
    <m/>
    <m/>
    <m/>
    <m/>
    <x v="4"/>
    <x v="1"/>
    <s v="Sahiwal"/>
    <n v="3020000896"/>
    <x v="127"/>
    <m/>
    <m/>
    <m/>
    <m/>
    <m/>
    <m/>
    <n v="3382372"/>
    <n v="36"/>
    <n v="421334"/>
    <m/>
    <m/>
    <m/>
    <m/>
    <m/>
    <m/>
    <m/>
    <m/>
    <m/>
    <m/>
    <m/>
    <m/>
    <m/>
    <m/>
    <m/>
    <m/>
    <m/>
    <m/>
    <m/>
    <m/>
    <m/>
    <m/>
    <m/>
    <m/>
    <m/>
    <m/>
    <x v="0"/>
    <x v="3"/>
    <n v="1"/>
    <s v="Placed"/>
    <m/>
    <m/>
    <m/>
    <m/>
    <m/>
    <m/>
    <m/>
    <m/>
    <m/>
    <m/>
    <m/>
    <m/>
    <n v="0"/>
    <m/>
    <m/>
    <m/>
    <m/>
    <m/>
    <m/>
    <m/>
    <m/>
    <m/>
    <m/>
    <m/>
    <n v="1525424"/>
    <n v="1525424"/>
    <m/>
    <n v="3050848"/>
    <n v="0"/>
    <n v="3050848"/>
    <n v="1525424"/>
    <m/>
    <n v="4576272"/>
    <m/>
    <e v="#DIV/0!"/>
    <m/>
    <e v="#DIV/0!"/>
    <s v="No Sales in March'26"/>
    <e v="#DIV/0!"/>
    <m/>
    <n v="0"/>
    <n v="0"/>
  </r>
  <r>
    <x v="3"/>
    <s v="Swelab-Autoloader"/>
    <m/>
    <s v="Hematology"/>
    <m/>
    <m/>
    <m/>
    <m/>
    <m/>
    <s v="24.11.2025"/>
    <m/>
    <m/>
    <x v="2"/>
    <x v="0"/>
    <s v="Sehwan"/>
    <m/>
    <x v="128"/>
    <m/>
    <m/>
    <m/>
    <m/>
    <m/>
    <m/>
    <n v="1960000"/>
    <n v="36"/>
    <n v="175449"/>
    <m/>
    <m/>
    <m/>
    <m/>
    <m/>
    <m/>
    <m/>
    <m/>
    <m/>
    <m/>
    <m/>
    <m/>
    <m/>
    <m/>
    <m/>
    <m/>
    <m/>
    <m/>
    <m/>
    <m/>
    <m/>
    <m/>
    <m/>
    <m/>
    <m/>
    <m/>
    <x v="39"/>
    <x v="61"/>
    <m/>
    <s v="Placed"/>
    <m/>
    <m/>
    <m/>
    <m/>
    <m/>
    <m/>
    <m/>
    <m/>
    <m/>
    <m/>
    <m/>
    <m/>
    <n v="0"/>
    <m/>
    <m/>
    <m/>
    <m/>
    <m/>
    <m/>
    <m/>
    <m/>
    <m/>
    <m/>
    <m/>
    <m/>
    <n v="0"/>
    <m/>
    <m/>
    <m/>
    <n v="0"/>
    <n v="0"/>
    <m/>
    <n v="0"/>
    <m/>
    <e v="#DIV/0!"/>
    <m/>
    <e v="#DIV/0!"/>
    <m/>
    <e v="#DIV/0!"/>
    <m/>
    <n v="0"/>
    <n v="0"/>
  </r>
  <r>
    <x v="1"/>
    <s v="Microlab 300"/>
    <n v="15000003"/>
    <s v="Clinical Chemistry"/>
    <m/>
    <m/>
    <m/>
    <m/>
    <m/>
    <s v="27.08.2025"/>
    <m/>
    <m/>
    <x v="2"/>
    <x v="0"/>
    <s v="Sui Balochistan"/>
    <m/>
    <x v="129"/>
    <m/>
    <m/>
    <m/>
    <m/>
    <m/>
    <m/>
    <n v="477000"/>
    <m/>
    <n v="327855"/>
    <m/>
    <m/>
    <m/>
    <m/>
    <m/>
    <m/>
    <m/>
    <m/>
    <m/>
    <m/>
    <m/>
    <m/>
    <m/>
    <m/>
    <m/>
    <m/>
    <m/>
    <m/>
    <m/>
    <m/>
    <m/>
    <m/>
    <m/>
    <m/>
    <m/>
    <m/>
    <x v="35"/>
    <x v="54"/>
    <n v="1"/>
    <s v="Placed"/>
    <m/>
    <m/>
    <m/>
    <m/>
    <m/>
    <m/>
    <m/>
    <m/>
    <m/>
    <m/>
    <m/>
    <m/>
    <n v="0"/>
    <m/>
    <m/>
    <m/>
    <m/>
    <m/>
    <m/>
    <m/>
    <m/>
    <m/>
    <m/>
    <m/>
    <m/>
    <n v="0"/>
    <m/>
    <m/>
    <m/>
    <n v="0"/>
    <n v="0"/>
    <m/>
    <n v="0"/>
    <m/>
    <e v="#DIV/0!"/>
    <m/>
    <e v="#DIV/0!"/>
    <m/>
    <e v="#DIV/0!"/>
    <m/>
    <n v="0"/>
    <n v="0"/>
  </r>
  <r>
    <x v="3"/>
    <s v="Swelab Alfa Plus Standard"/>
    <n v="15001967"/>
    <s v="Hematology"/>
    <m/>
    <m/>
    <m/>
    <s v="24.11.2025"/>
    <m/>
    <s v="24.11.2025"/>
    <m/>
    <m/>
    <x v="4"/>
    <x v="1"/>
    <s v="Faisalabad Medical University"/>
    <n v="3020000393"/>
    <x v="30"/>
    <m/>
    <m/>
    <m/>
    <m/>
    <m/>
    <m/>
    <n v="1186483.33333333"/>
    <n v="25"/>
    <n v="108475"/>
    <m/>
    <m/>
    <m/>
    <m/>
    <m/>
    <m/>
    <m/>
    <m/>
    <m/>
    <m/>
    <m/>
    <m/>
    <m/>
    <m/>
    <m/>
    <m/>
    <m/>
    <m/>
    <m/>
    <m/>
    <m/>
    <m/>
    <m/>
    <m/>
    <m/>
    <m/>
    <x v="0"/>
    <x v="3"/>
    <m/>
    <s v="Placed"/>
    <m/>
    <m/>
    <m/>
    <m/>
    <m/>
    <m/>
    <m/>
    <m/>
    <m/>
    <m/>
    <m/>
    <m/>
    <n v="0"/>
    <m/>
    <m/>
    <m/>
    <m/>
    <m/>
    <m/>
    <m/>
    <m/>
    <m/>
    <m/>
    <m/>
    <m/>
    <n v="0"/>
    <n v="0"/>
    <n v="700022.02"/>
    <n v="208452.33333333334"/>
    <n v="908474.35333333339"/>
    <n v="302824.78444444446"/>
    <m/>
    <n v="908474.33333333337"/>
    <n v="2"/>
    <n v="454237.16666666669"/>
    <m/>
    <n v="345762.16666666669"/>
    <m/>
    <n v="172881.08333333334"/>
    <m/>
    <n v="0"/>
    <n v="0"/>
  </r>
  <r>
    <x v="3"/>
    <s v="Swelab Alfa Plus Standard"/>
    <n v="15001967"/>
    <s v="Hematology"/>
    <m/>
    <m/>
    <m/>
    <s v="24.11.2025"/>
    <m/>
    <s v="24.11.2025"/>
    <m/>
    <m/>
    <x v="4"/>
    <x v="1"/>
    <s v="Faisalabad Medical University"/>
    <n v="3020000393"/>
    <x v="30"/>
    <m/>
    <m/>
    <m/>
    <m/>
    <m/>
    <m/>
    <n v="1186483.33333333"/>
    <n v="25"/>
    <n v="108475"/>
    <m/>
    <m/>
    <m/>
    <m/>
    <m/>
    <m/>
    <m/>
    <m/>
    <m/>
    <m/>
    <m/>
    <m/>
    <m/>
    <m/>
    <m/>
    <m/>
    <m/>
    <m/>
    <m/>
    <m/>
    <m/>
    <m/>
    <m/>
    <m/>
    <m/>
    <m/>
    <x v="0"/>
    <x v="3"/>
    <m/>
    <s v="Placed"/>
    <m/>
    <m/>
    <m/>
    <m/>
    <m/>
    <m/>
    <m/>
    <m/>
    <m/>
    <m/>
    <m/>
    <m/>
    <n v="0"/>
    <m/>
    <m/>
    <m/>
    <m/>
    <m/>
    <m/>
    <m/>
    <m/>
    <m/>
    <m/>
    <m/>
    <m/>
    <n v="0"/>
    <n v="0"/>
    <n v="700022.02"/>
    <n v="208452.33333333334"/>
    <n v="908474.35333333339"/>
    <n v="302824.78444444446"/>
    <m/>
    <n v="908474.33333333337"/>
    <n v="2"/>
    <n v="454237.16666666669"/>
    <m/>
    <n v="345762.16666666669"/>
    <m/>
    <n v="172881.08333333334"/>
    <m/>
    <n v="0"/>
    <n v="0"/>
  </r>
  <r>
    <x v="0"/>
    <s v="IFLASH 1200"/>
    <n v="15002553"/>
    <s v="Immunoassay"/>
    <m/>
    <m/>
    <m/>
    <m/>
    <m/>
    <s v="26.12.2025"/>
    <m/>
    <m/>
    <x v="0"/>
    <x v="2"/>
    <s v="Rawalpindi"/>
    <n v="3020000685"/>
    <x v="130"/>
    <m/>
    <m/>
    <m/>
    <m/>
    <m/>
    <m/>
    <n v="3047232"/>
    <n v="36"/>
    <n v="455552"/>
    <m/>
    <m/>
    <m/>
    <m/>
    <m/>
    <m/>
    <m/>
    <m/>
    <m/>
    <m/>
    <m/>
    <m/>
    <m/>
    <m/>
    <m/>
    <m/>
    <m/>
    <m/>
    <m/>
    <m/>
    <m/>
    <m/>
    <m/>
    <m/>
    <m/>
    <m/>
    <x v="40"/>
    <x v="62"/>
    <m/>
    <s v="Placed"/>
    <m/>
    <m/>
    <m/>
    <m/>
    <m/>
    <m/>
    <m/>
    <m/>
    <m/>
    <m/>
    <m/>
    <m/>
    <n v="0"/>
    <m/>
    <m/>
    <m/>
    <m/>
    <m/>
    <m/>
    <n v="402610"/>
    <n v="140000"/>
    <n v="109500"/>
    <m/>
    <n v="416420"/>
    <m/>
    <n v="1068530"/>
    <m/>
    <m/>
    <m/>
    <n v="0"/>
    <n v="416420"/>
    <m/>
    <n v="1068530"/>
    <n v="9"/>
    <n v="118725.55555555556"/>
    <m/>
    <n v="-336826.44444444444"/>
    <m/>
    <n v="-37425.160493827163"/>
    <m/>
    <n v="0"/>
    <n v="0"/>
  </r>
  <r>
    <x v="2"/>
    <s v="Vitros ECiQ"/>
    <m/>
    <s v="Immunoassay"/>
    <m/>
    <m/>
    <m/>
    <m/>
    <m/>
    <s v="14.10.2025"/>
    <m/>
    <m/>
    <x v="4"/>
    <x v="1"/>
    <s v="Multan"/>
    <n v="3020000633"/>
    <x v="37"/>
    <m/>
    <m/>
    <m/>
    <m/>
    <m/>
    <m/>
    <n v="12513969"/>
    <n v="19"/>
    <n v="1442723.5"/>
    <m/>
    <m/>
    <m/>
    <m/>
    <m/>
    <m/>
    <m/>
    <m/>
    <m/>
    <m/>
    <m/>
    <m/>
    <m/>
    <m/>
    <m/>
    <m/>
    <m/>
    <m/>
    <m/>
    <m/>
    <m/>
    <m/>
    <m/>
    <m/>
    <m/>
    <m/>
    <x v="14"/>
    <x v="60"/>
    <m/>
    <m/>
    <m/>
    <m/>
    <m/>
    <m/>
    <m/>
    <m/>
    <m/>
    <m/>
    <m/>
    <m/>
    <m/>
    <m/>
    <n v="0"/>
    <m/>
    <m/>
    <n v="168750.52499999999"/>
    <n v="0"/>
    <n v="116339.01000000001"/>
    <n v="557370"/>
    <n v="687105.67999999993"/>
    <n v="0"/>
    <n v="6160"/>
    <n v="0"/>
    <n v="0"/>
    <n v="924903"/>
    <n v="2460628.2149999999"/>
    <n v="0"/>
    <n v="770631"/>
    <m/>
    <n v="770631"/>
    <n v="339106.8"/>
    <m/>
    <n v="3231259.2149999999"/>
    <m/>
    <e v="#DIV/0!"/>
    <m/>
    <e v="#DIV/0!"/>
    <m/>
    <e v="#DIV/0!"/>
    <m/>
    <n v="0"/>
    <n v="0"/>
  </r>
  <r>
    <x v="2"/>
    <s v="Vitros ECiQ"/>
    <m/>
    <s v="Immunoassay"/>
    <m/>
    <m/>
    <m/>
    <m/>
    <m/>
    <s v="14.10.2025"/>
    <m/>
    <m/>
    <x v="4"/>
    <x v="1"/>
    <s v="Multan"/>
    <n v="3020000633"/>
    <x v="37"/>
    <m/>
    <m/>
    <m/>
    <m/>
    <m/>
    <m/>
    <n v="12513969"/>
    <n v="19"/>
    <n v="1442723.5"/>
    <m/>
    <m/>
    <m/>
    <m/>
    <m/>
    <m/>
    <m/>
    <m/>
    <m/>
    <m/>
    <m/>
    <m/>
    <m/>
    <m/>
    <m/>
    <m/>
    <m/>
    <m/>
    <m/>
    <m/>
    <m/>
    <m/>
    <m/>
    <m/>
    <m/>
    <m/>
    <x v="14"/>
    <x v="60"/>
    <m/>
    <m/>
    <m/>
    <m/>
    <m/>
    <m/>
    <m/>
    <m/>
    <m/>
    <m/>
    <m/>
    <m/>
    <m/>
    <m/>
    <n v="0"/>
    <m/>
    <m/>
    <n v="168750.52499999999"/>
    <n v="0"/>
    <n v="116339.01000000001"/>
    <n v="557370"/>
    <n v="687105.67999999993"/>
    <n v="0"/>
    <n v="6160"/>
    <n v="0"/>
    <n v="0"/>
    <n v="924903"/>
    <n v="2460628.2149999999"/>
    <n v="0"/>
    <n v="770631"/>
    <m/>
    <n v="770631"/>
    <n v="339106.8"/>
    <m/>
    <n v="3231259.2149999999"/>
    <m/>
    <e v="#DIV/0!"/>
    <m/>
    <e v="#DIV/0!"/>
    <m/>
    <e v="#DIV/0!"/>
    <m/>
    <n v="0"/>
    <n v="0"/>
  </r>
  <r>
    <x v="5"/>
    <s v="DYMIND DH-76"/>
    <n v="15003243"/>
    <s v="Hematology "/>
    <m/>
    <m/>
    <s v="DM11052437003"/>
    <m/>
    <m/>
    <s v="26.12.2025"/>
    <m/>
    <m/>
    <x v="4"/>
    <x v="2"/>
    <s v="Peshawar"/>
    <n v="3020001115"/>
    <x v="131"/>
    <m/>
    <m/>
    <m/>
    <m/>
    <m/>
    <m/>
    <n v="21992876"/>
    <n v="35"/>
    <n v="1808443"/>
    <m/>
    <m/>
    <m/>
    <m/>
    <m/>
    <m/>
    <m/>
    <m/>
    <m/>
    <m/>
    <m/>
    <m/>
    <m/>
    <m/>
    <m/>
    <m/>
    <m/>
    <m/>
    <m/>
    <m/>
    <m/>
    <m/>
    <m/>
    <m/>
    <m/>
    <m/>
    <x v="28"/>
    <x v="63"/>
    <m/>
    <s v="Placed"/>
    <m/>
    <m/>
    <m/>
    <m/>
    <m/>
    <m/>
    <m/>
    <m/>
    <m/>
    <m/>
    <m/>
    <m/>
    <n v="0"/>
    <m/>
    <m/>
    <m/>
    <m/>
    <m/>
    <m/>
    <m/>
    <m/>
    <n v="143500"/>
    <m/>
    <m/>
    <n v="41600"/>
    <n v="185100"/>
    <n v="0"/>
    <n v="0"/>
    <m/>
    <n v="0"/>
    <n v="13866.666666666666"/>
    <m/>
    <n v="185100"/>
    <n v="6"/>
    <n v="30850"/>
    <m/>
    <n v="-1777593"/>
    <m/>
    <n v="-296265.5"/>
    <m/>
    <n v="0"/>
    <n v="0"/>
  </r>
  <r>
    <x v="0"/>
    <s v="IFLASH 1200"/>
    <m/>
    <s v="Immunoassay"/>
    <m/>
    <m/>
    <m/>
    <m/>
    <m/>
    <s v="25.11.2025"/>
    <m/>
    <m/>
    <x v="0"/>
    <x v="0"/>
    <s v="Quetta"/>
    <n v="3020001748"/>
    <x v="132"/>
    <m/>
    <m/>
    <m/>
    <m/>
    <m/>
    <m/>
    <n v="3276255"/>
    <n v="36"/>
    <n v="386629"/>
    <m/>
    <m/>
    <m/>
    <m/>
    <m/>
    <m/>
    <m/>
    <m/>
    <m/>
    <m/>
    <m/>
    <m/>
    <m/>
    <m/>
    <m/>
    <m/>
    <m/>
    <m/>
    <m/>
    <m/>
    <m/>
    <m/>
    <m/>
    <m/>
    <m/>
    <m/>
    <x v="0"/>
    <x v="56"/>
    <m/>
    <s v="Placed"/>
    <m/>
    <m/>
    <m/>
    <m/>
    <n v="1710000"/>
    <m/>
    <m/>
    <m/>
    <m/>
    <m/>
    <m/>
    <m/>
    <n v="1710000"/>
    <m/>
    <m/>
    <m/>
    <m/>
    <m/>
    <m/>
    <m/>
    <m/>
    <m/>
    <m/>
    <m/>
    <n v="1032747.5"/>
    <n v="1032747.5"/>
    <n v="205240"/>
    <n v="424978"/>
    <n v="79312.5"/>
    <n v="709530.5"/>
    <n v="435569.5"/>
    <m/>
    <n v="3452278"/>
    <n v="1"/>
    <n v="3452278"/>
    <m/>
    <n v="3065649"/>
    <m/>
    <n v="3065649"/>
    <m/>
    <n v="0"/>
    <n v="0"/>
  </r>
  <r>
    <x v="0"/>
    <s v="IFLASH 1200"/>
    <m/>
    <s v="Immunoassay"/>
    <m/>
    <m/>
    <m/>
    <m/>
    <m/>
    <s v="25.11.2025"/>
    <m/>
    <m/>
    <x v="0"/>
    <x v="2"/>
    <s v="Rawalpindi"/>
    <n v="3020000176"/>
    <x v="133"/>
    <m/>
    <m/>
    <m/>
    <m/>
    <m/>
    <m/>
    <n v="2998200"/>
    <n v="36"/>
    <n v="320078"/>
    <m/>
    <m/>
    <m/>
    <m/>
    <m/>
    <m/>
    <m/>
    <m/>
    <m/>
    <m/>
    <m/>
    <m/>
    <m/>
    <m/>
    <m/>
    <m/>
    <m/>
    <m/>
    <m/>
    <m/>
    <m/>
    <m/>
    <m/>
    <m/>
    <m/>
    <m/>
    <x v="0"/>
    <x v="3"/>
    <m/>
    <s v="Placed"/>
    <m/>
    <m/>
    <m/>
    <m/>
    <m/>
    <m/>
    <m/>
    <m/>
    <m/>
    <m/>
    <m/>
    <m/>
    <n v="0"/>
    <m/>
    <m/>
    <m/>
    <m/>
    <m/>
    <m/>
    <m/>
    <m/>
    <m/>
    <m/>
    <m/>
    <m/>
    <n v="0"/>
    <n v="229400"/>
    <n v="236500"/>
    <n v="995700"/>
    <n v="1461600"/>
    <n v="487200"/>
    <m/>
    <n v="1461600"/>
    <n v="3"/>
    <n v="487200"/>
    <m/>
    <n v="167122"/>
    <m/>
    <n v="55707.333333333336"/>
    <m/>
    <n v="0"/>
    <n v="0"/>
  </r>
  <r>
    <x v="0"/>
    <s v="iFlash 1800"/>
    <m/>
    <m/>
    <n v="3002000072"/>
    <s v="Machine transfer from Suhail"/>
    <s v="iA00093422"/>
    <m/>
    <m/>
    <m/>
    <m/>
    <m/>
    <x v="2"/>
    <x v="3"/>
    <m/>
    <n v="3020000998"/>
    <x v="134"/>
    <m/>
    <m/>
    <m/>
    <m/>
    <m/>
    <m/>
    <m/>
    <m/>
    <m/>
    <m/>
    <m/>
    <m/>
    <m/>
    <m/>
    <m/>
    <m/>
    <m/>
    <m/>
    <m/>
    <m/>
    <m/>
    <m/>
    <m/>
    <m/>
    <m/>
    <m/>
    <m/>
    <m/>
    <m/>
    <m/>
    <m/>
    <m/>
    <m/>
    <m/>
    <m/>
    <x v="2"/>
    <x v="3"/>
    <m/>
    <m/>
    <n v="0"/>
    <m/>
    <m/>
    <m/>
    <m/>
    <m/>
    <m/>
    <m/>
    <m/>
    <m/>
    <m/>
    <m/>
    <m/>
    <m/>
    <m/>
    <m/>
    <m/>
    <m/>
    <m/>
    <m/>
    <m/>
    <m/>
    <m/>
    <m/>
    <m/>
    <m/>
    <m/>
    <m/>
    <n v="66700"/>
    <m/>
    <n v="66700"/>
    <m/>
    <m/>
    <m/>
    <m/>
    <m/>
    <m/>
    <m/>
    <m/>
    <m/>
    <m/>
    <m/>
  </r>
  <r>
    <x v="3"/>
    <s v="Swelab Alfa Plus Standard"/>
    <n v="15001967"/>
    <s v="Hematology "/>
    <n v="3002000120"/>
    <m/>
    <n v="126055"/>
    <m/>
    <m/>
    <s v="17.07.2025"/>
    <m/>
    <s v="2 machines"/>
    <x v="0"/>
    <x v="1"/>
    <s v="Lahore"/>
    <n v="3020000206"/>
    <x v="17"/>
    <m/>
    <s v="294, Block H-3, M.A Johar Town, Lahore"/>
    <s v="042-35313166, 0300-6458181"/>
    <s v="manager@mughallabs.com"/>
    <s v="1293625-1"/>
    <s v="1293625-1"/>
    <n v="1191010"/>
    <n v="29"/>
    <n v="92028.5"/>
    <m/>
    <m/>
    <m/>
    <m/>
    <m/>
    <m/>
    <m/>
    <m/>
    <m/>
    <m/>
    <m/>
    <m/>
    <m/>
    <m/>
    <m/>
    <m/>
    <m/>
    <m/>
    <m/>
    <m/>
    <m/>
    <m/>
    <m/>
    <m/>
    <m/>
    <m/>
    <x v="0"/>
    <x v="8"/>
    <n v="1"/>
    <s v="Placed"/>
    <m/>
    <m/>
    <m/>
    <m/>
    <m/>
    <m/>
    <m/>
    <m/>
    <m/>
    <m/>
    <m/>
    <m/>
    <n v="0"/>
    <m/>
    <m/>
    <m/>
    <m/>
    <m/>
    <m/>
    <m/>
    <n v="114000"/>
    <n v="190000"/>
    <m/>
    <m/>
    <n v="72000"/>
    <n v="376000"/>
    <n v="0"/>
    <n v="532000"/>
    <n v="234000"/>
    <n v="766000"/>
    <n v="209500"/>
    <m/>
    <n v="1142000"/>
    <n v="8"/>
    <n v="142750"/>
    <m/>
    <n v="50721.5"/>
    <m/>
    <n v="6340.1875"/>
    <m/>
    <n v="0"/>
    <n v="0"/>
  </r>
  <r>
    <x v="0"/>
    <s v="IFLASH 3000R"/>
    <m/>
    <s v="Immunoassay"/>
    <m/>
    <m/>
    <m/>
    <m/>
    <m/>
    <s v="13.01.2026"/>
    <m/>
    <m/>
    <x v="0"/>
    <x v="0"/>
    <s v="Karachi"/>
    <n v="3020000664"/>
    <x v="135"/>
    <m/>
    <m/>
    <m/>
    <m/>
    <m/>
    <m/>
    <n v="5490000"/>
    <n v="36"/>
    <n v="413290"/>
    <m/>
    <m/>
    <m/>
    <m/>
    <m/>
    <m/>
    <m/>
    <m/>
    <m/>
    <m/>
    <m/>
    <m/>
    <m/>
    <m/>
    <m/>
    <m/>
    <m/>
    <m/>
    <m/>
    <m/>
    <m/>
    <m/>
    <m/>
    <m/>
    <m/>
    <m/>
    <x v="10"/>
    <x v="64"/>
    <m/>
    <s v="Placed"/>
    <m/>
    <m/>
    <m/>
    <m/>
    <m/>
    <m/>
    <m/>
    <m/>
    <m/>
    <m/>
    <m/>
    <m/>
    <n v="0"/>
    <m/>
    <m/>
    <m/>
    <m/>
    <m/>
    <m/>
    <m/>
    <m/>
    <m/>
    <m/>
    <m/>
    <m/>
    <n v="0"/>
    <n v="0"/>
    <n v="377100"/>
    <n v="296600"/>
    <n v="673700"/>
    <n v="224566.66666666666"/>
    <m/>
    <n v="673700"/>
    <m/>
    <e v="#DIV/0!"/>
    <m/>
    <e v="#DIV/0!"/>
    <m/>
    <e v="#DIV/0!"/>
    <m/>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Hammad Noor"/>
    <x v="0"/>
    <s v="iFlash 1800"/>
    <n v="15002462"/>
    <s v="Immunoassay"/>
    <n v="3002000010"/>
    <s v="N/A"/>
    <s v="IA00093222"/>
    <s v="26.09.2023"/>
    <s v="11.09.2023"/>
    <s v="11.09.2023"/>
    <s v="Available"/>
    <m/>
    <x v="0"/>
    <x v="0"/>
    <s v="Karachi"/>
    <n v="3020000013"/>
    <x v="0"/>
    <s v="N/A"/>
    <s v="St-19, KDA Scheme, Abul Asar Hafeez,"/>
    <s v="021-111-300-999, 0311-3060540"/>
    <s v=" rubina.sabir@lcmddsh.com.pk"/>
    <s v="2517101-1"/>
    <m/>
    <n v="2868545"/>
    <n v="29"/>
    <n v="586886"/>
    <m/>
    <m/>
    <m/>
    <m/>
    <m/>
    <m/>
    <m/>
    <m/>
    <m/>
    <m/>
    <s v="equipment installed &amp; Validation Done"/>
    <s v="We'll receive their first PO within this week"/>
    <m/>
    <m/>
    <m/>
    <m/>
    <m/>
    <m/>
    <s v="Sales are on track"/>
    <m/>
    <s v="Sales will be on track in next two months"/>
    <m/>
    <m/>
    <s v="No sales in june"/>
    <m/>
    <m/>
    <s v="on Track"/>
    <s v="on track - no sales in March"/>
    <n v="1"/>
    <s v="Placed"/>
    <n v="261866"/>
    <n v="759548.4"/>
    <n v="450046.8"/>
    <n v="230685.51"/>
    <n v="1817060.11"/>
    <n v="0"/>
    <n v="2496748.33"/>
    <n v="314131.19"/>
    <n v="0"/>
    <n v="1208280"/>
    <n v="1281910"/>
    <n v="1289650"/>
    <n v="10109926.34"/>
    <n v="524840"/>
    <n v="0"/>
    <n v="712890"/>
    <n v="1228210"/>
    <n v="484650"/>
    <n v="784342"/>
    <n v="137760"/>
    <n v="1348290"/>
    <n v="896470"/>
    <n v="147358"/>
    <n v="1219060"/>
    <n v="964490"/>
    <n v="8448360"/>
    <n v="597810"/>
    <n v="442650"/>
    <m/>
    <n v="1040460"/>
    <n v="674273.6"/>
    <m/>
    <n v="19598746.34"/>
    <n v="23"/>
    <n v="852119.4060869565"/>
    <n v="-4970953.5360000003"/>
    <n v="265233.4060869565"/>
    <s v="Sales on track"/>
    <n v="11531.887221172021"/>
    <n v="0.4"/>
    <n v="7839498.5360000003"/>
    <n v="0.4"/>
  </r>
  <r>
    <s v="Hammad Noor"/>
    <x v="1"/>
    <s v="Selectra PRO M Lite"/>
    <n v="15002128"/>
    <s v="Clinical Chemistry"/>
    <n v="3002000003"/>
    <s v="N/A"/>
    <s v="21-4087"/>
    <s v="26.10.2021"/>
    <s v="22.04.2022"/>
    <s v="22.04.2022"/>
    <s v="Available"/>
    <m/>
    <x v="0"/>
    <x v="0"/>
    <s v="Karachi"/>
    <n v="3020000022"/>
    <x v="1"/>
    <s v="Farhan Essa"/>
    <s v="B-122, Block H North Nazimabad Town, Karachi, Karachi City, Sindh"/>
    <s v="0333-2220711"/>
    <s v="ltcdrasgharali@gmail.com"/>
    <s v="0982474-0"/>
    <s v="42501-8253375-1"/>
    <n v="2606483"/>
    <n v="18"/>
    <n v="250000"/>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s v="Work load decreased, it is advisable to revist the case"/>
    <s v="Customer promised to shift workload on our equipment from other branches to cover the gap."/>
    <s v="We've received order of 122,000 in August 2023 "/>
    <s v="We've got the order of 400,000 in September 2023 to cover the deficit of August 2023. Furthermore, we've covered 94% of ROI in this case."/>
    <s v="We've received order of 400,000 in Sep 2023 "/>
    <s v="Working with customer to get the desired orders as per comittment"/>
    <m/>
    <m/>
    <m/>
    <m/>
    <s v="Due to shifting of Lab, wordload is down."/>
    <s v="From on wards will receive commited value PO "/>
    <s v="Improvement in sales expected"/>
    <m/>
    <s v="Under discussion with Essa lab for price revision or replacement of machine with Mach 5"/>
    <s v="New Quoation has been submitted, under discussion with management of Essa Lab"/>
    <m/>
    <m/>
    <m/>
    <m/>
    <s v="behind track (followup by sales team)"/>
    <s v="follow up done it will be on track "/>
    <n v="1"/>
    <s v="Placed"/>
    <n v="293210.25"/>
    <n v="141695.46"/>
    <n v="114322.96"/>
    <n v="230296.74"/>
    <n v="253481.28"/>
    <n v="0"/>
    <n v="167380.73000000001"/>
    <n v="406400"/>
    <n v="84600"/>
    <n v="0"/>
    <n v="196100"/>
    <n v="236400"/>
    <n v="2123887.42"/>
    <n v="0"/>
    <n v="0"/>
    <n v="380500"/>
    <n v="97500"/>
    <n v="247800"/>
    <n v="17200"/>
    <n v="99800"/>
    <n v="53300"/>
    <n v="313800"/>
    <n v="271000"/>
    <n v="265200"/>
    <m/>
    <n v="1746100"/>
    <n v="24000"/>
    <n v="0"/>
    <n v="262200"/>
    <n v="286200"/>
    <n v="164480"/>
    <m/>
    <n v="4156187.42"/>
    <n v="45"/>
    <n v="92359.720444444436"/>
    <n v="736198.66100000008"/>
    <n v="-157640.27955555555"/>
    <s v="Sales behind track"/>
    <n v="-3503.11732345679"/>
    <n v="0.45"/>
    <n v="1870284.3389999999"/>
    <n v="0.35"/>
  </r>
  <r>
    <s v="Jahangir Jalil"/>
    <x v="2"/>
    <s v="Vitros ECiQ Immunodiagnostic System"/>
    <n v="15002760"/>
    <s v="Immunoassay"/>
    <n v="3002000034"/>
    <s v="N/A"/>
    <n v="30006181"/>
    <s v="20.07.2023"/>
    <s v="11.08.2023"/>
    <s v="11.08.2023"/>
    <s v="Available"/>
    <m/>
    <x v="1"/>
    <x v="1"/>
    <s v="Lahore"/>
    <n v="3020000072"/>
    <x v="2"/>
    <s v="N/A"/>
    <s v="561-A, Edhi Street, Faisal Town, Opposite Jinnah Hospital Emergency Gate, Lahore"/>
    <s v="0331-9699586"/>
    <s v=" kjabran87@gmail.com"/>
    <s v="0224883-2"/>
    <m/>
    <n v="7385000"/>
    <n v="39"/>
    <n v="755925"/>
    <m/>
    <m/>
    <m/>
    <m/>
    <m/>
    <m/>
    <e v="#N/A"/>
    <e v="#N/A"/>
    <s v="Waiting for Inventory &amp; then invoice execution "/>
    <m/>
    <s v="New PO has been Recieved Amount Subject to Invoice "/>
    <s v="Parameter Woking Planning to shift from Roche "/>
    <m/>
    <s v="Parameter Woking Planning to shift from Roche "/>
    <s v="One PO is proceeded and waiting for another PO"/>
    <s v="Follow up "/>
    <s v="Consumables and electricity cost issue."/>
    <m/>
    <s v="in process to terminate the contract. Instrument will be placed at Ghulab devi."/>
    <m/>
    <s v="Will be returned by end April"/>
    <m/>
    <m/>
    <s v="Machine pull back and place at ridhan ( machine will be on demo) "/>
    <m/>
    <m/>
    <m/>
    <m/>
    <m/>
    <s v="Closed"/>
    <n v="40943"/>
    <n v="141500"/>
    <n v="31500"/>
    <m/>
    <m/>
    <m/>
    <m/>
    <m/>
    <m/>
    <m/>
    <m/>
    <m/>
    <n v="213943"/>
    <m/>
    <m/>
    <m/>
    <m/>
    <m/>
    <m/>
    <m/>
    <m/>
    <m/>
    <m/>
    <m/>
    <m/>
    <n v="0"/>
    <n v="0"/>
    <n v="0"/>
    <m/>
    <n v="0"/>
    <n v="0"/>
    <s v="Machine move to Ridhan. It will pull back from ridhan as well because theres no business case."/>
    <n v="213943"/>
    <n v="15"/>
    <n v="14262.866666666667"/>
    <n v="7299422.7999999998"/>
    <n v="-741662.1333333333"/>
    <s v="Sales behind track"/>
    <n v="-49444.142222222217"/>
    <n v="0.4"/>
    <n v="85577.200000000012"/>
    <n v="0.35"/>
  </r>
  <r>
    <s v="Hammad Noor"/>
    <x v="0"/>
    <s v="iFlash 1800"/>
    <n v="15002462"/>
    <s v="Immunoassay"/>
    <n v="3002000097"/>
    <m/>
    <s v="IA00146846"/>
    <s v="28.04.2025"/>
    <m/>
    <s v="10.04.2025"/>
    <m/>
    <m/>
    <x v="0"/>
    <x v="0"/>
    <s v="Karachi"/>
    <n v="3020000084"/>
    <x v="3"/>
    <m/>
    <s v="Rafique (HJ), Shaheed road,Saddar Town,Karachi"/>
    <s v="0300-2607223"/>
    <s v="mursaleen.khan@nicvd.org"/>
    <s v="4867225-3"/>
    <m/>
    <n v="4171088"/>
    <n v="32"/>
    <n v="1012173"/>
    <m/>
    <m/>
    <m/>
    <m/>
    <m/>
    <m/>
    <m/>
    <m/>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on track"/>
    <n v="28431.137860082297"/>
    <n v="0.4"/>
    <n v="4564991.666666667"/>
    <n v="0.4"/>
  </r>
  <r>
    <s v="Hammad Noor"/>
    <x v="0"/>
    <s v="iFlash 3000"/>
    <n v="15003241"/>
    <s v="Immunoassay"/>
    <m/>
    <m/>
    <s v="FC10330839"/>
    <s v="06.05.2025"/>
    <m/>
    <s v="10.04.2025"/>
    <m/>
    <m/>
    <x v="0"/>
    <x v="0"/>
    <s v="Hyderabad"/>
    <n v="3020000084"/>
    <x v="4"/>
    <m/>
    <s v="Rafique (HJ), Shaheed road,Saddar Town,Karachi"/>
    <s v="0300-2607223"/>
    <s v="mursaleen.khan@nicvd.org"/>
    <s v="4867225-3"/>
    <m/>
    <n v="4171088"/>
    <n v="32"/>
    <n v="1012173"/>
    <m/>
    <m/>
    <m/>
    <m/>
    <m/>
    <m/>
    <m/>
    <m/>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behind track"/>
    <n v="28431.137860082297"/>
    <n v="0.4"/>
    <n v="4564991.666666667"/>
    <n v="0.4"/>
  </r>
  <r>
    <s v="Hammad Noor"/>
    <x v="0"/>
    <s v="iFlash 3000"/>
    <n v="15003241"/>
    <s v="Immunoassay"/>
    <m/>
    <m/>
    <s v="FC10330939"/>
    <s v="06.05.2025"/>
    <m/>
    <s v="10.04.2025"/>
    <m/>
    <m/>
    <x v="0"/>
    <x v="0"/>
    <s v="TMK (Tando Muhammad Khan)"/>
    <n v="3020000084"/>
    <x v="5"/>
    <m/>
    <s v="Rafique (HJ), Shaheed road,Saddar Town,Karachi"/>
    <s v="0300-2607223"/>
    <s v="mursaleen.khan@nicvd.org"/>
    <s v="4867225-3"/>
    <m/>
    <n v="4171088"/>
    <n v="32"/>
    <n v="1012173"/>
    <m/>
    <m/>
    <m/>
    <m/>
    <m/>
    <m/>
    <m/>
    <m/>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n v="9"/>
    <n v="1268053.2407407407"/>
    <n v="-393903.66666666698"/>
    <n v="255880.24074074067"/>
    <s v="Sales behind track"/>
    <n v="28431.137860082297"/>
    <n v="0.4"/>
    <n v="4564991.666666667"/>
    <n v="0.4"/>
  </r>
  <r>
    <s v="Hammad Noor"/>
    <x v="0"/>
    <s v="iflash1800"/>
    <n v="15003241"/>
    <s v="Immunoassay"/>
    <m/>
    <m/>
    <m/>
    <m/>
    <m/>
    <s v="10.11.2025"/>
    <m/>
    <m/>
    <x v="0"/>
    <x v="0"/>
    <s v="Sukkur"/>
    <n v="3020000084"/>
    <x v="5"/>
    <m/>
    <s v="Rafique (HJ), Shaheed road,Saddar Town,Karachi"/>
    <s v="0300-2607223"/>
    <s v="mursaleen.khan@nicvd.org"/>
    <s v="4867225-3"/>
    <m/>
    <n v="18188372"/>
    <n v="28"/>
    <n v="1484753"/>
    <m/>
    <m/>
    <m/>
    <m/>
    <m/>
    <m/>
    <m/>
    <m/>
    <m/>
    <m/>
    <m/>
    <m/>
    <m/>
    <m/>
    <m/>
    <m/>
    <m/>
    <m/>
    <m/>
    <m/>
    <m/>
    <m/>
    <m/>
    <m/>
    <m/>
    <m/>
    <s v="on Track"/>
    <s v="on Track"/>
    <n v="1"/>
    <s v="Placed"/>
    <m/>
    <m/>
    <m/>
    <m/>
    <n v="1710000"/>
    <m/>
    <m/>
    <m/>
    <m/>
    <m/>
    <m/>
    <m/>
    <n v="1710000"/>
    <m/>
    <m/>
    <m/>
    <m/>
    <m/>
    <m/>
    <m/>
    <m/>
    <m/>
    <m/>
    <n v="900000"/>
    <n v="2909812.5"/>
    <n v="3809812.5"/>
    <m/>
    <n v="1740000"/>
    <n v="635000"/>
    <n v="2375000"/>
    <n v="1546203.125"/>
    <m/>
    <n v="7894812.5"/>
    <n v="3"/>
    <n v="2631604.1666666665"/>
    <m/>
    <n v="1146851.1666666665"/>
    <m/>
    <n v="382283.72222222219"/>
    <m/>
    <n v="0"/>
    <n v="0"/>
  </r>
  <r>
    <s v="Hammad Noor"/>
    <x v="1"/>
    <s v="Selectra PRO M Lite"/>
    <n v="15002128"/>
    <s v="Clinical Chemistry"/>
    <n v="3002000081"/>
    <m/>
    <s v="24-4068"/>
    <m/>
    <m/>
    <s v="08.12.2024"/>
    <s v="Available"/>
    <m/>
    <x v="0"/>
    <x v="0"/>
    <s v="Karachi"/>
    <n v="3020000084"/>
    <x v="3"/>
    <m/>
    <s v="Rafique (HJ), Shaheed road,Saddar Town,Karachi"/>
    <s v="0300-2607223"/>
    <s v="mursaleen.khan@nicvd.org"/>
    <s v="4867225-3"/>
    <m/>
    <n v="4115000"/>
    <n v="24"/>
    <n v="283560"/>
    <m/>
    <m/>
    <m/>
    <m/>
    <m/>
    <m/>
    <m/>
    <m/>
    <m/>
    <m/>
    <m/>
    <m/>
    <m/>
    <m/>
    <m/>
    <m/>
    <m/>
    <m/>
    <e v="#N/A"/>
    <m/>
    <m/>
    <m/>
    <m/>
    <m/>
    <m/>
    <m/>
    <s v="on Track"/>
    <s v="on Track"/>
    <n v="1"/>
    <s v="Placed"/>
    <m/>
    <m/>
    <m/>
    <m/>
    <m/>
    <m/>
    <m/>
    <n v="1065505"/>
    <n v="0"/>
    <n v="78277"/>
    <n v="1540420"/>
    <n v="561386"/>
    <n v="3245588"/>
    <n v="1223011"/>
    <n v="1253286"/>
    <n v="113082.75"/>
    <n v="119298"/>
    <n v="1486333.75"/>
    <n v="264025"/>
    <n v="624061.5"/>
    <n v="491460.5"/>
    <n v="1210939.75"/>
    <n v="575090"/>
    <n v="1430316.75"/>
    <n v="959210"/>
    <n v="9750115"/>
    <n v="688263"/>
    <n v="237745"/>
    <n v="125317.5"/>
    <n v="1051325.5"/>
    <n v="669323.70833333337"/>
    <m/>
    <n v="14047028.5"/>
    <n v="19"/>
    <n v="739317.28947368416"/>
    <n v="-2206162.8250000002"/>
    <n v="455757.28947368416"/>
    <s v="Sales on track"/>
    <n v="23987.22576177285"/>
    <n v="0.45"/>
    <n v="6321162.8250000002"/>
    <m/>
  </r>
  <r>
    <s v="Hammad Noor"/>
    <x v="1"/>
    <s v="Selectra PRO M Lite"/>
    <n v="15002128"/>
    <s v="Clinical Chemistry"/>
    <n v="3002000076"/>
    <m/>
    <s v="24-4078"/>
    <s v="11.02.2025"/>
    <m/>
    <s v="20.12.2024"/>
    <s v="Available"/>
    <m/>
    <x v="0"/>
    <x v="0"/>
    <s v="Hyderabad"/>
    <n v="3020000084"/>
    <x v="4"/>
    <m/>
    <s v="Rafique (HJ), Shaheed road,Saddar Town,Karachi"/>
    <s v="0300-2607223"/>
    <s v="mursaleen.khan@nicvd.org"/>
    <s v="4867225-3"/>
    <m/>
    <n v="4115000"/>
    <n v="34"/>
    <n v="216625"/>
    <m/>
    <m/>
    <m/>
    <m/>
    <m/>
    <m/>
    <m/>
    <m/>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54906.51785714284"/>
    <s v="Sales on track"/>
    <n v="39636.179846938772"/>
    <n v="0.45"/>
    <n v="4860648.5625"/>
    <n v="0.45"/>
  </r>
  <r>
    <s v="Hammad Noor"/>
    <x v="1"/>
    <s v="Selectra PRO M Lite"/>
    <n v="15002128"/>
    <s v="Clinical Chemistry"/>
    <n v="3002000073"/>
    <m/>
    <s v="24-4069"/>
    <s v="25.03.2025"/>
    <m/>
    <s v="20.12.2024"/>
    <s v="Available"/>
    <m/>
    <x v="0"/>
    <x v="0"/>
    <s v="larkana"/>
    <n v="3020000084"/>
    <x v="6"/>
    <m/>
    <s v="Rafique (HJ), Shaheed road,Saddar Town,Karachi"/>
    <s v="0300-2607223"/>
    <s v="mursaleen.khan@nicvd.org"/>
    <s v="4867225-3"/>
    <m/>
    <n v="4115000"/>
    <n v="36"/>
    <n v="195417"/>
    <m/>
    <m/>
    <m/>
    <m/>
    <m/>
    <m/>
    <m/>
    <m/>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76114.51785714284"/>
    <s v="Sales on track"/>
    <n v="41151.036989795917"/>
    <n v="0.45"/>
    <n v="4860648.5625"/>
    <n v="0.45"/>
  </r>
  <r>
    <s v="Hammad Noor"/>
    <x v="1"/>
    <s v="Selectra PRO M Lite"/>
    <n v="15002128"/>
    <s v="Clinical Chemistry"/>
    <s v=" 3002000113"/>
    <m/>
    <s v="23-4166"/>
    <s v="11.02.2025"/>
    <m/>
    <s v="20.12.2024"/>
    <s v="Available"/>
    <m/>
    <x v="0"/>
    <x v="0"/>
    <s v="TMK (Tando Muhammad Khan)"/>
    <n v="3020000084"/>
    <x v="5"/>
    <m/>
    <s v="Rafique (HJ), Shaheed road,Saddar Town,Karachi"/>
    <s v="0300-2607223"/>
    <s v="mursaleen.khan@nicvd.org"/>
    <s v="4867225-3"/>
    <m/>
    <n v="4115000"/>
    <n v="34"/>
    <n v="220363"/>
    <m/>
    <m/>
    <m/>
    <m/>
    <m/>
    <m/>
    <m/>
    <m/>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n v="14"/>
    <n v="771531.51785714284"/>
    <n v="-745648.5625"/>
    <n v="551168.51785714284"/>
    <s v="Sales on track"/>
    <n v="39369.179846938772"/>
    <n v="0.45"/>
    <n v="4860648.5625"/>
    <n v="0.45"/>
  </r>
  <r>
    <s v="Hammad Noor"/>
    <x v="3"/>
    <s v="Swelab Alfa Plus Standard"/>
    <n v="15001967"/>
    <s v="Hematology "/>
    <n v="3002000097"/>
    <m/>
    <n v="123213"/>
    <m/>
    <m/>
    <m/>
    <m/>
    <m/>
    <x v="0"/>
    <x v="0"/>
    <s v="Karachi"/>
    <n v="3020000084"/>
    <x v="3"/>
    <m/>
    <s v="Rafique (HJ), Shaheed road,Saddar Town,Karachi"/>
    <s v="0300-2607223"/>
    <s v="mursaleen.khan@nicvd.org"/>
    <s v="4867225-3"/>
    <m/>
    <n v="1071000"/>
    <n v="25"/>
    <n v="98797"/>
    <m/>
    <m/>
    <m/>
    <m/>
    <m/>
    <m/>
    <m/>
    <m/>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n v="18"/>
    <n v="97375"/>
    <n v="369900"/>
    <n v="-1422"/>
    <s v="Sales behind track"/>
    <n v="-79"/>
    <n v="0.4"/>
    <n v="701100"/>
    <n v="0.4"/>
  </r>
  <r>
    <s v="Hammad Noor"/>
    <x v="3"/>
    <s v="Swelab Alfa Plus Standard"/>
    <n v="15001967"/>
    <s v="Hematology "/>
    <n v="3002000064"/>
    <m/>
    <n v="121497"/>
    <m/>
    <m/>
    <s v="27.12.2024"/>
    <m/>
    <m/>
    <x v="0"/>
    <x v="0"/>
    <s v="Hyderabad"/>
    <n v="3020000084"/>
    <x v="4"/>
    <m/>
    <s v="Rafique (HJ), Shaheed road,Saddar Town,Karachi"/>
    <s v="0300-2607223"/>
    <s v="mursaleen.khan@nicvd.org"/>
    <s v="4867225-3"/>
    <m/>
    <n v="1065000"/>
    <n v="36"/>
    <n v="88427"/>
    <m/>
    <m/>
    <m/>
    <m/>
    <m/>
    <m/>
    <m/>
    <m/>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n v="18"/>
    <n v="97375"/>
    <n v="363900"/>
    <n v="8948"/>
    <s v="Sales behind track"/>
    <n v="497.11111111111109"/>
    <n v="0.4"/>
    <n v="701100"/>
    <n v="0.4"/>
  </r>
  <r>
    <s v="Hammad Noor"/>
    <x v="3"/>
    <s v="Swelab Alfa Plus Standard"/>
    <n v="15001967"/>
    <s v="Hematology "/>
    <s v=" 3002000111"/>
    <m/>
    <n v="123120"/>
    <m/>
    <m/>
    <m/>
    <m/>
    <m/>
    <x v="0"/>
    <x v="0"/>
    <s v="Sukkur"/>
    <n v="3020000084"/>
    <x v="7"/>
    <m/>
    <s v="Rafique (HJ), Shaheed road,Saddar Town,Karachi"/>
    <s v="0300-2607223"/>
    <s v="mursaleen.khan@nicvd.org"/>
    <s v="4867225-3"/>
    <m/>
    <n v="1055000"/>
    <n v="36"/>
    <n v="88427"/>
    <m/>
    <m/>
    <m/>
    <m/>
    <m/>
    <m/>
    <m/>
    <m/>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n v="18"/>
    <n v="97375"/>
    <n v="353900"/>
    <n v="8948"/>
    <s v="Sales behind track"/>
    <n v="497.11111111111109"/>
    <n v="0.4"/>
    <n v="701100"/>
    <n v="0.4"/>
  </r>
  <r>
    <s v="Hammad Noor"/>
    <x v="3"/>
    <s v="Swelab Alfa Plus Standard"/>
    <n v="15001967"/>
    <s v="Hematology "/>
    <n v="3002000048"/>
    <m/>
    <n v="121496"/>
    <m/>
    <m/>
    <s v="27.12.2024"/>
    <m/>
    <m/>
    <x v="0"/>
    <x v="0"/>
    <s v="TMK (Tando Muhammad Khan)"/>
    <n v="3020000084"/>
    <x v="5"/>
    <m/>
    <s v="Rafique (HJ), Shaheed road,Saddar Town,Karachi"/>
    <s v="0300-2607223"/>
    <s v="mursaleen.khan@nicvd.org"/>
    <s v="4867225-3"/>
    <m/>
    <n v="1065000"/>
    <n v="36"/>
    <n v="87448"/>
    <m/>
    <m/>
    <m/>
    <m/>
    <m/>
    <m/>
    <m/>
    <m/>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n v="18"/>
    <n v="97375"/>
    <n v="363900"/>
    <n v="9927"/>
    <s v="Sales behind track"/>
    <n v="551.5"/>
    <n v="0.4"/>
    <n v="701100"/>
    <n v="0.4"/>
  </r>
  <r>
    <s v="Hammad Noor"/>
    <x v="3"/>
    <s v="Swelab Alfa Plus Standard"/>
    <n v="15001967"/>
    <s v="Hematology"/>
    <m/>
    <m/>
    <m/>
    <m/>
    <m/>
    <s v="15.12.2025"/>
    <m/>
    <m/>
    <x v="0"/>
    <x v="0"/>
    <s v="larkana"/>
    <n v="3020000084"/>
    <x v="8"/>
    <m/>
    <s v="Rafique (HJ), Shaheed road,Saddar Town,Karachi"/>
    <s v="0300-2607223"/>
    <s v="mursaleen.khan@nicvd.org"/>
    <s v="4867225-3"/>
    <m/>
    <n v="1194415"/>
    <n v="36"/>
    <n v="125415"/>
    <m/>
    <m/>
    <m/>
    <m/>
    <m/>
    <m/>
    <m/>
    <m/>
    <m/>
    <m/>
    <m/>
    <m/>
    <m/>
    <m/>
    <m/>
    <m/>
    <m/>
    <m/>
    <m/>
    <m/>
    <m/>
    <m/>
    <m/>
    <m/>
    <m/>
    <m/>
    <s v="New Installation"/>
    <s v="Fasi will update the order detail"/>
    <n v="1"/>
    <s v="Placed"/>
    <m/>
    <m/>
    <m/>
    <m/>
    <n v="1710000"/>
    <m/>
    <m/>
    <m/>
    <m/>
    <m/>
    <m/>
    <m/>
    <n v="1710000"/>
    <m/>
    <m/>
    <m/>
    <m/>
    <m/>
    <m/>
    <m/>
    <m/>
    <m/>
    <m/>
    <m/>
    <m/>
    <n v="0"/>
    <n v="0"/>
    <n v="0"/>
    <n v="0"/>
    <n v="0"/>
    <n v="0"/>
    <m/>
    <n v="1710000"/>
    <n v="2"/>
    <n v="855000"/>
    <m/>
    <n v="729585"/>
    <m/>
    <n v="364792.5"/>
    <m/>
    <n v="0"/>
    <n v="0"/>
  </r>
  <r>
    <s v="Hammad Noor"/>
    <x v="3"/>
    <s v="Swelab Alfa Plus Standard"/>
    <n v="15001967"/>
    <s v="Hematology"/>
    <m/>
    <m/>
    <m/>
    <m/>
    <m/>
    <s v="15.12.2025"/>
    <m/>
    <m/>
    <x v="0"/>
    <x v="0"/>
    <s v="Nawabshah"/>
    <n v="3020000084"/>
    <x v="9"/>
    <m/>
    <s v="Rafique (HJ), Shaheed road,Saddar Town,Karachi"/>
    <s v="0300-2607223"/>
    <s v="mursaleen.khan@nicvd.org"/>
    <s v="4867225-3"/>
    <m/>
    <n v="1194415"/>
    <n v="36"/>
    <n v="125415"/>
    <m/>
    <m/>
    <m/>
    <m/>
    <m/>
    <m/>
    <m/>
    <m/>
    <m/>
    <m/>
    <m/>
    <m/>
    <m/>
    <m/>
    <m/>
    <m/>
    <m/>
    <m/>
    <m/>
    <m/>
    <m/>
    <m/>
    <m/>
    <m/>
    <m/>
    <m/>
    <s v="New Installation"/>
    <s v="Fasi will update the order detail"/>
    <m/>
    <s v="Placed"/>
    <m/>
    <m/>
    <m/>
    <m/>
    <m/>
    <m/>
    <m/>
    <m/>
    <m/>
    <m/>
    <m/>
    <m/>
    <n v="0"/>
    <m/>
    <m/>
    <m/>
    <m/>
    <m/>
    <m/>
    <m/>
    <m/>
    <m/>
    <m/>
    <m/>
    <m/>
    <n v="0"/>
    <n v="0"/>
    <n v="0"/>
    <n v="0"/>
    <n v="0"/>
    <n v="0"/>
    <m/>
    <n v="0"/>
    <m/>
    <e v="#DIV/0!"/>
    <m/>
    <e v="#DIV/0!"/>
    <m/>
    <e v="#DIV/0!"/>
    <m/>
    <n v="0"/>
    <n v="0"/>
  </r>
  <r>
    <s v="Jahangir Jalil"/>
    <x v="4"/>
    <s v="STA SATELLITE MAX"/>
    <n v="15003000"/>
    <s v="Coagulation Analyzer"/>
    <n v="3002000091"/>
    <m/>
    <n v="1590"/>
    <m/>
    <m/>
    <s v="15.01.2024"/>
    <m/>
    <m/>
    <x v="1"/>
    <x v="0"/>
    <s v="Karachi"/>
    <n v="3020000088"/>
    <x v="10"/>
    <m/>
    <s v="ST 2/A, Block 17, KDA Scheme 24, Gulshan-e-Iqbal"/>
    <s v="0346-2819961/021-111-120-140"/>
    <s v="fawad_sad@hotmail.com"/>
    <s v="4572246-8"/>
    <m/>
    <n v="3592655"/>
    <n v="36"/>
    <n v="228801"/>
    <m/>
    <m/>
    <m/>
    <m/>
    <m/>
    <m/>
    <m/>
    <m/>
    <m/>
    <m/>
    <m/>
    <m/>
    <m/>
    <m/>
    <m/>
    <m/>
    <m/>
    <m/>
    <m/>
    <m/>
    <m/>
    <m/>
    <m/>
    <m/>
    <m/>
    <m/>
    <s v="Closed"/>
    <m/>
    <m/>
    <m/>
    <m/>
    <m/>
    <m/>
    <m/>
    <m/>
    <m/>
    <m/>
    <n v="597600"/>
    <m/>
    <m/>
    <m/>
    <m/>
    <n v="597600"/>
    <m/>
    <m/>
    <m/>
    <m/>
    <m/>
    <m/>
    <m/>
    <m/>
    <m/>
    <m/>
    <m/>
    <m/>
    <n v="0"/>
    <m/>
    <m/>
    <m/>
    <n v="0"/>
    <n v="0"/>
    <m/>
    <n v="597600"/>
    <m/>
    <e v="#DIV/0!"/>
    <m/>
    <e v="#DIV/0!"/>
    <m/>
    <e v="#DIV/0!"/>
    <m/>
    <n v="0"/>
    <n v="0"/>
  </r>
  <r>
    <s v="Hammad Noor"/>
    <x v="5"/>
    <s v="DYMIND DH-76"/>
    <n v="15003243"/>
    <s v="Hematology "/>
    <s v="AR # 300377"/>
    <m/>
    <s v="DM11052437004"/>
    <m/>
    <m/>
    <s v="12.20.2024"/>
    <m/>
    <m/>
    <x v="0"/>
    <x v="0"/>
    <s v="Nawabshah"/>
    <n v="3020000114"/>
    <x v="11"/>
    <m/>
    <s v="House no 11b- 1208, mohallah issarpura sindh Nawabshah"/>
    <s v="0333-7025190"/>
    <s v="hsmedicalsolution@gmail.com"/>
    <m/>
    <s v="45402-2509337-9"/>
    <n v="2076170"/>
    <n v="34"/>
    <n v="113459"/>
    <m/>
    <m/>
    <m/>
    <m/>
    <m/>
    <m/>
    <m/>
    <m/>
    <m/>
    <m/>
    <m/>
    <m/>
    <m/>
    <m/>
    <m/>
    <m/>
    <m/>
    <m/>
    <m/>
    <m/>
    <m/>
    <m/>
    <m/>
    <m/>
    <m/>
    <m/>
    <s v="SOP Revise"/>
    <s v="Supply issue due to DRAP"/>
    <n v="1"/>
    <s v="Placed"/>
    <m/>
    <m/>
    <m/>
    <m/>
    <m/>
    <m/>
    <m/>
    <m/>
    <m/>
    <m/>
    <m/>
    <m/>
    <n v="0"/>
    <n v="0"/>
    <n v="0"/>
    <n v="386360.55"/>
    <n v="0"/>
    <n v="0"/>
    <n v="0"/>
    <n v="441381"/>
    <n v="204305"/>
    <n v="0"/>
    <m/>
    <m/>
    <n v="203075"/>
    <n v="1235121.55"/>
    <n v="0"/>
    <n v="0"/>
    <m/>
    <n v="0"/>
    <n v="67691.666666666672"/>
    <m/>
    <n v="1235121.55"/>
    <n v="8"/>
    <n v="154390.19375000001"/>
    <n v="1582121.38"/>
    <n v="40931.193750000006"/>
    <s v="Sales on track"/>
    <n v="5116.3992187500007"/>
    <n v="0.4"/>
    <n v="494048.62000000005"/>
    <n v="0.4"/>
  </r>
  <r>
    <s v="Hammad Noor"/>
    <x v="1"/>
    <s v="Selectra Mach 5"/>
    <n v="15002463"/>
    <s v="Clinical Chemistry"/>
    <m/>
    <m/>
    <m/>
    <m/>
    <m/>
    <s v="06.10.2025"/>
    <m/>
    <m/>
    <x v="1"/>
    <x v="1"/>
    <s v="Lahore"/>
    <n v="3020000125"/>
    <x v="12"/>
    <s v="wakeel ahmed"/>
    <s v="Basement shabnam center opposite shyalimar hospital, link road"/>
    <n v="3004102701"/>
    <m/>
    <m/>
    <s v="35201-4676413-5"/>
    <n v="7617629"/>
    <n v="33"/>
    <n v="441785"/>
    <m/>
    <m/>
    <m/>
    <m/>
    <m/>
    <m/>
    <m/>
    <m/>
    <m/>
    <m/>
    <m/>
    <m/>
    <m/>
    <m/>
    <m/>
    <m/>
    <m/>
    <m/>
    <m/>
    <m/>
    <m/>
    <m/>
    <m/>
    <m/>
    <m/>
    <m/>
    <s v="Closed"/>
    <m/>
    <m/>
    <s v="Not Placed"/>
    <m/>
    <m/>
    <m/>
    <m/>
    <m/>
    <m/>
    <m/>
    <m/>
    <m/>
    <m/>
    <m/>
    <m/>
    <n v="0"/>
    <m/>
    <m/>
    <m/>
    <m/>
    <m/>
    <m/>
    <m/>
    <m/>
    <m/>
    <m/>
    <m/>
    <m/>
    <n v="0"/>
    <m/>
    <m/>
    <m/>
    <n v="0"/>
    <n v="0"/>
    <m/>
    <n v="0"/>
    <m/>
    <e v="#DIV/0!"/>
    <m/>
    <e v="#DIV/0!"/>
    <m/>
    <e v="#DIV/0!"/>
    <m/>
    <n v="0"/>
    <n v="0"/>
  </r>
  <r>
    <s v="Hammad Noor"/>
    <x v="3"/>
    <s v="Swelab Alfa Plus Standard"/>
    <n v="15001967"/>
    <s v="Hematology"/>
    <n v="3002000052"/>
    <s v="N/A"/>
    <n v="123019"/>
    <m/>
    <s v="26.12.2023"/>
    <s v="15.01.2024"/>
    <s v="Not Available"/>
    <m/>
    <x v="0"/>
    <x v="1"/>
    <s v="Bahawalpur"/>
    <n v="3020000166"/>
    <x v="13"/>
    <s v="Government Institution"/>
    <s v="Circular Road, Bahswalpur Cantt"/>
    <s v="062-9250411-21"/>
    <s v="info.establishment@gamc.edu.pk"/>
    <s v="9020100-7"/>
    <m/>
    <n v="1724486"/>
    <n v="21"/>
    <n v="203678.4"/>
    <m/>
    <m/>
    <m/>
    <m/>
    <m/>
    <m/>
    <m/>
    <m/>
    <m/>
    <m/>
    <m/>
    <m/>
    <m/>
    <m/>
    <m/>
    <m/>
    <m/>
    <m/>
    <m/>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s v="Hammad Noor"/>
    <x v="3"/>
    <s v="Swelab Alfa Plus Standard"/>
    <n v="15001967"/>
    <s v="Hematology"/>
    <n v="3002000053"/>
    <m/>
    <n v="123108"/>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s v="Hammad Noor"/>
    <x v="3"/>
    <s v="Swelab Alfa Plus Standard"/>
    <n v="15001967"/>
    <s v="Hematology"/>
    <n v="3002000054"/>
    <m/>
    <n v="123109"/>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s v="Hammad Noor"/>
    <x v="3"/>
    <s v="Swelab Alfa Plus Standard"/>
    <n v="15001967"/>
    <s v="Hematology"/>
    <n v="3002000055"/>
    <m/>
    <n v="123200"/>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s v="Hammad Noor"/>
    <x v="3"/>
    <s v="Swelab Alfa Plus Standard"/>
    <n v="15001967"/>
    <s v="Hematology"/>
    <n v="3002000056"/>
    <m/>
    <n v="123217"/>
    <m/>
    <s v="26.12.2023"/>
    <s v="15.01.2024"/>
    <s v="Not Available"/>
    <m/>
    <x v="0"/>
    <x v="1"/>
    <s v="Bahawalpur"/>
    <n v="3020000166"/>
    <x v="13"/>
    <s v="Government Institution"/>
    <s v="Circular Road, Bahswalpur Cantt"/>
    <s v="062-9250411-21"/>
    <s v="info.establishment@gamc.edu.pk"/>
    <s v="9020100-7"/>
    <m/>
    <n v="1724486"/>
    <n v="21"/>
    <n v="203678.4"/>
    <m/>
    <m/>
    <m/>
    <m/>
    <m/>
    <m/>
    <m/>
    <m/>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n v="22"/>
    <n v="363280.86327272723"/>
    <n v="-1472385.5967999999"/>
    <n v="159602.46327272724"/>
    <s v="Sales on track"/>
    <n v="7254.6574214876018"/>
    <n v="0.4"/>
    <n v="3196871.5967999999"/>
    <n v="0.4"/>
  </r>
  <r>
    <s v="Hammad Noor"/>
    <x v="3"/>
    <s v="Swelab Alfa Plus AutoSampler"/>
    <n v="15001968"/>
    <s v="Hematology"/>
    <s v="AR # 300409"/>
    <m/>
    <n v="127709"/>
    <m/>
    <m/>
    <s v="14.05.2025"/>
    <m/>
    <m/>
    <x v="2"/>
    <x v="1"/>
    <s v="Bahawalpur"/>
    <n v="3020000166"/>
    <x v="14"/>
    <s v="Government Institution"/>
    <s v="Circular Road, Bahswalpur Cantt"/>
    <s v="062-9250411-21"/>
    <s v="info.establishment@gamc.edu.pk"/>
    <s v="9020100-7"/>
    <m/>
    <n v="1500000"/>
    <n v="37"/>
    <n v="100771"/>
    <m/>
    <m/>
    <m/>
    <m/>
    <m/>
    <m/>
    <m/>
    <m/>
    <m/>
    <m/>
    <m/>
    <m/>
    <m/>
    <m/>
    <m/>
    <m/>
    <m/>
    <m/>
    <m/>
    <m/>
    <m/>
    <m/>
    <m/>
    <m/>
    <m/>
    <m/>
    <s v="New Installation"/>
    <s v="Installed from Jan"/>
    <n v="1"/>
    <s v="Placed"/>
    <m/>
    <m/>
    <m/>
    <m/>
    <m/>
    <m/>
    <m/>
    <m/>
    <m/>
    <m/>
    <m/>
    <m/>
    <n v="0"/>
    <m/>
    <m/>
    <m/>
    <m/>
    <n v="0"/>
    <m/>
    <m/>
    <m/>
    <m/>
    <m/>
    <m/>
    <m/>
    <n v="0"/>
    <n v="0"/>
    <n v="0"/>
    <n v="0"/>
    <n v="0"/>
    <n v="0"/>
    <m/>
    <n v="0"/>
    <m/>
    <e v="#DIV/0!"/>
    <n v="1500000"/>
    <e v="#DIV/0!"/>
    <m/>
    <e v="#DIV/0!"/>
    <n v="0.4"/>
    <n v="0"/>
    <n v="0.4"/>
  </r>
  <r>
    <s v="Jahangir Jalil"/>
    <x v="4"/>
    <s v="STA SATELLITE MAX"/>
    <n v="15003000"/>
    <s v="Coagulation Analyzer"/>
    <n v="3002000112"/>
    <m/>
    <n v="1746"/>
    <m/>
    <m/>
    <m/>
    <s v="Available"/>
    <m/>
    <x v="0"/>
    <x v="2"/>
    <s v="Islamabad"/>
    <n v="3020001814"/>
    <x v="15"/>
    <m/>
    <s v="9 B-1 Satellite town, Chandni Chowk, Punjab"/>
    <s v="051-4906401"/>
    <s v="raazihospital@gmail.com"/>
    <s v="2569250-0"/>
    <m/>
    <n v="3592655"/>
    <n v="29"/>
    <n v="356735"/>
    <m/>
    <m/>
    <m/>
    <m/>
    <m/>
    <m/>
    <m/>
    <m/>
    <m/>
    <m/>
    <m/>
    <m/>
    <m/>
    <m/>
    <m/>
    <m/>
    <m/>
    <m/>
    <e v="#N/A"/>
    <m/>
    <m/>
    <m/>
    <m/>
    <m/>
    <m/>
    <m/>
    <s v="on Track"/>
    <s v="on Track"/>
    <n v="1"/>
    <s v="Placed"/>
    <m/>
    <m/>
    <m/>
    <m/>
    <m/>
    <m/>
    <m/>
    <m/>
    <m/>
    <m/>
    <m/>
    <m/>
    <n v="0"/>
    <m/>
    <m/>
    <m/>
    <m/>
    <m/>
    <m/>
    <n v="692600"/>
    <n v="366000"/>
    <n v="318400"/>
    <n v="247800"/>
    <n v="69000"/>
    <n v="578400"/>
    <n v="2272200"/>
    <n v="390600"/>
    <n v="499100"/>
    <n v="0"/>
    <n v="889700"/>
    <n v="297483.33333333331"/>
    <s v="Shipment will be delievered this month."/>
    <n v="3161900"/>
    <n v="9"/>
    <n v="351322.22222222225"/>
    <n v="2327895"/>
    <n v="-5412.7777777777519"/>
    <s v="Sales behind track"/>
    <n v="-601.4197530864169"/>
    <n v="0.4"/>
    <n v="1264760"/>
    <n v="0.4"/>
  </r>
  <r>
    <s v="Jahangir Jalil"/>
    <x v="6"/>
    <s v="Nova Prime Plus"/>
    <n v="15002711"/>
    <s v="Arterial Blood Gas Analyzer"/>
    <n v="3002000031"/>
    <s v="N/A"/>
    <s v="PP13230140C"/>
    <s v="26.05.2023"/>
    <s v="15.05.2022"/>
    <s v="19.05.2023"/>
    <s v="Available"/>
    <m/>
    <x v="3"/>
    <x v="2"/>
    <s v="Islamabad"/>
    <n v="3020000190"/>
    <x v="16"/>
    <s v="Dr. Badar Alam"/>
    <s v="Al-Khair Plaza, Fazal-e-Haq Road, Blue Area, Islamabad"/>
    <s v="0333-8555611, 0301-5086177 &amp; 0321-5181280"/>
    <s v="info@citi-lab.com                   "/>
    <s v="4814745-2"/>
    <m/>
    <n v="3005386"/>
    <n v="39"/>
    <n v="228413"/>
    <m/>
    <m/>
    <m/>
    <m/>
    <s v="invoice under process"/>
    <m/>
    <s v="LC awaited "/>
    <s v="LC awaited "/>
    <s v="Due to the delay in supply customer is not willing to work on our machine "/>
    <s v="Meeting is planned with Dr. Jameel Nasir CEO of Citi Lab "/>
    <s v="meeting is pending with CEO"/>
    <s v="meeting is pending with CEO"/>
    <m/>
    <s v="meeting is pending with CEO"/>
    <s v="Machine is planned to be pulledback from customer site, approved by Nawaz Abid"/>
    <s v="Machine is planned to be pulledback from customer site, approved by Nawaz Abid"/>
    <m/>
    <m/>
    <s v="Returned back in stock"/>
    <m/>
    <m/>
    <m/>
    <m/>
    <m/>
    <m/>
    <m/>
    <m/>
    <m/>
    <m/>
    <m/>
    <m/>
    <m/>
    <m/>
    <m/>
    <n v="0"/>
    <m/>
    <m/>
    <m/>
    <m/>
    <m/>
    <m/>
    <m/>
    <n v="0"/>
    <m/>
    <m/>
    <m/>
    <m/>
    <m/>
    <m/>
    <m/>
    <m/>
    <m/>
    <m/>
    <m/>
    <m/>
    <n v="0"/>
    <m/>
    <m/>
    <m/>
    <n v="0"/>
    <n v="0"/>
    <s v="No Sales after Aug 23"/>
    <n v="0"/>
    <n v="14"/>
    <n v="0"/>
    <n v="3005386"/>
    <n v="-228413"/>
    <s v="Sales behind track (No sales after Aug)"/>
    <n v="-16315.214285714286"/>
    <n v="0.25"/>
    <n v="0"/>
    <n v="0.25"/>
  </r>
  <r>
    <s v="Hammad Noor"/>
    <x v="3"/>
    <s v="Swelab Alfa Plus Standard"/>
    <n v="15001967"/>
    <s v="Hematology "/>
    <n v="3002000119"/>
    <m/>
    <n v="126054"/>
    <m/>
    <m/>
    <s v="17.07.2025"/>
    <m/>
    <s v="2 machines"/>
    <x v="0"/>
    <x v="1"/>
    <s v="Lahore"/>
    <n v="3020000206"/>
    <x v="17"/>
    <m/>
    <s v="294, Block H-3, M.A Johar Town, Lahore"/>
    <s v="042-35313166, 0300-6458181"/>
    <s v="manager@mughallabs.com"/>
    <s v="1293625-1"/>
    <s v="1293625-1"/>
    <n v="1191010"/>
    <n v="29"/>
    <n v="92028.5"/>
    <m/>
    <m/>
    <m/>
    <m/>
    <m/>
    <m/>
    <m/>
    <m/>
    <m/>
    <m/>
    <m/>
    <m/>
    <m/>
    <m/>
    <m/>
    <m/>
    <m/>
    <m/>
    <m/>
    <m/>
    <m/>
    <m/>
    <m/>
    <m/>
    <m/>
    <m/>
    <s v="on Track"/>
    <s v="on Track - Sales Rafay"/>
    <n v="1"/>
    <s v="Placed"/>
    <m/>
    <m/>
    <m/>
    <m/>
    <m/>
    <m/>
    <m/>
    <m/>
    <m/>
    <m/>
    <m/>
    <m/>
    <n v="0"/>
    <m/>
    <m/>
    <m/>
    <m/>
    <m/>
    <m/>
    <m/>
    <n v="114000"/>
    <n v="190000"/>
    <m/>
    <m/>
    <n v="72000"/>
    <n v="376000"/>
    <n v="0"/>
    <n v="532000"/>
    <n v="234000"/>
    <n v="766000"/>
    <n v="209500"/>
    <m/>
    <n v="1142000"/>
    <n v="8"/>
    <n v="142750"/>
    <m/>
    <n v="50721.5"/>
    <m/>
    <n v="6340.1875"/>
    <m/>
    <n v="0"/>
    <n v="0"/>
  </r>
  <r>
    <s v="Jahangir Jalil"/>
    <x v="2"/>
    <s v="Vitros ECiQ Immunodiagnostic System (Refurb)"/>
    <n v="15002760"/>
    <s v="Immunoassay"/>
    <s v="AR # 300396"/>
    <m/>
    <n v="30006183"/>
    <m/>
    <s v="15.12,2023"/>
    <s v="15.12.2023"/>
    <s v="Available"/>
    <m/>
    <x v="0"/>
    <x v="1"/>
    <s v="lahore "/>
    <n v="3020000206"/>
    <x v="17"/>
    <m/>
    <s v="294, Block H-3, M.A Johar Town, Lahore"/>
    <s v="042-35313166, 0300-6458181"/>
    <s v="manager@mughallabs.com"/>
    <s v="1293625-1"/>
    <s v="1293625-1"/>
    <n v="7420000"/>
    <n v="61"/>
    <n v="824400"/>
    <m/>
    <m/>
    <m/>
    <m/>
    <m/>
    <m/>
    <m/>
    <m/>
    <m/>
    <m/>
    <m/>
    <m/>
    <m/>
    <m/>
    <m/>
    <m/>
    <m/>
    <m/>
    <e v="#N/A"/>
    <m/>
    <m/>
    <m/>
    <m/>
    <m/>
    <s v="Machine is Shifted to Cancer Hospital"/>
    <m/>
    <s v="To be trf to GAMCA "/>
    <s v="will be moved to PIC, April 30"/>
    <n v="1"/>
    <s v="Not funtional - At customer site"/>
    <n v="187600"/>
    <n v="217900"/>
    <n v="342225"/>
    <n v="126700"/>
    <n v="671000"/>
    <n v="304800"/>
    <n v="160200"/>
    <n v="1138700"/>
    <n v="655600"/>
    <n v="0"/>
    <n v="360200"/>
    <n v="675400"/>
    <n v="4840325"/>
    <n v="519200"/>
    <n v="412100"/>
    <n v="-84500"/>
    <n v="282424"/>
    <n v="1689052.55"/>
    <n v="0"/>
    <n v="0"/>
    <n v="716366"/>
    <n v="424300"/>
    <m/>
    <m/>
    <m/>
    <n v="3958942.55"/>
    <n v="0"/>
    <n v="0"/>
    <n v="0"/>
    <n v="0"/>
    <n v="0"/>
    <m/>
    <n v="8799267.5500000007"/>
    <n v="23"/>
    <n v="382576.85000000003"/>
    <n v="3900292.9799999995"/>
    <n v="-441823.14999999997"/>
    <s v="Sales behind track"/>
    <n v="-19209.702173913043"/>
    <n v="0.4"/>
    <n v="3519707.0200000005"/>
    <n v="0.4"/>
  </r>
  <r>
    <s v="Hammad Noor"/>
    <x v="5"/>
    <s v="DYMIND DH-76"/>
    <n v="15003243"/>
    <s v="Hematology "/>
    <m/>
    <m/>
    <m/>
    <m/>
    <m/>
    <s v="17.07.2025"/>
    <m/>
    <m/>
    <x v="2"/>
    <x v="1"/>
    <s v="Lahore"/>
    <n v="3020000206"/>
    <x v="17"/>
    <s v="Irfan akram"/>
    <s v="294, Block H-3, M.A Johar Town, punjab Lahore"/>
    <s v="042-35313166, 0300-6458181"/>
    <s v="manager@mughallabs.com"/>
    <s v="1293625-1"/>
    <s v="1293625-1"/>
    <n v="2324427"/>
    <n v="22"/>
    <n v="149427"/>
    <m/>
    <m/>
    <m/>
    <m/>
    <m/>
    <m/>
    <m/>
    <m/>
    <m/>
    <m/>
    <m/>
    <m/>
    <m/>
    <m/>
    <m/>
    <m/>
    <m/>
    <m/>
    <m/>
    <m/>
    <m/>
    <m/>
    <m/>
    <m/>
    <m/>
    <m/>
    <s v="Supply issue due to DRAP registration followup"/>
    <s v="Supply issue due to DRAP"/>
    <n v="1"/>
    <s v="Placed"/>
    <m/>
    <m/>
    <m/>
    <m/>
    <m/>
    <m/>
    <m/>
    <m/>
    <m/>
    <m/>
    <m/>
    <m/>
    <n v="0"/>
    <m/>
    <m/>
    <m/>
    <m/>
    <m/>
    <m/>
    <m/>
    <m/>
    <m/>
    <m/>
    <m/>
    <m/>
    <n v="0"/>
    <n v="0"/>
    <n v="0"/>
    <n v="0"/>
    <n v="0"/>
    <n v="0"/>
    <m/>
    <n v="0"/>
    <m/>
    <e v="#DIV/0!"/>
    <m/>
    <e v="#DIV/0!"/>
    <m/>
    <e v="#DIV/0!"/>
    <m/>
    <n v="0"/>
    <n v="0"/>
  </r>
  <r>
    <s v="Hammad Noor"/>
    <x v="0"/>
    <s v="iFlash 1200"/>
    <n v="15002553"/>
    <s v="Immunoassay"/>
    <m/>
    <m/>
    <m/>
    <m/>
    <m/>
    <s v="25.11.2025"/>
    <m/>
    <m/>
    <x v="4"/>
    <x v="1"/>
    <s v="Lahore"/>
    <n v="3020000206"/>
    <x v="18"/>
    <m/>
    <s v="294, Block H-3, M.A Johar Town, Lahore"/>
    <s v="042-35313166, 0300-6458181"/>
    <s v="manager@mughallabs.com"/>
    <s v="1293625-1"/>
    <s v="1293625-1"/>
    <n v="3460830"/>
    <n v="36"/>
    <n v="259561"/>
    <m/>
    <m/>
    <m/>
    <m/>
    <m/>
    <m/>
    <m/>
    <m/>
    <m/>
    <m/>
    <m/>
    <m/>
    <m/>
    <m/>
    <m/>
    <m/>
    <m/>
    <m/>
    <m/>
    <m/>
    <m/>
    <m/>
    <m/>
    <m/>
    <m/>
    <m/>
    <s v="Under Installation"/>
    <s v="Under Installation"/>
    <m/>
    <s v="Not Placed"/>
    <m/>
    <m/>
    <m/>
    <m/>
    <m/>
    <m/>
    <m/>
    <m/>
    <m/>
    <m/>
    <m/>
    <m/>
    <n v="0"/>
    <m/>
    <m/>
    <m/>
    <m/>
    <m/>
    <m/>
    <m/>
    <m/>
    <m/>
    <m/>
    <m/>
    <m/>
    <n v="0"/>
    <m/>
    <n v="746733"/>
    <n v="914320"/>
    <n v="1661053"/>
    <n v="830526.5"/>
    <m/>
    <n v="1661053"/>
    <m/>
    <e v="#DIV/0!"/>
    <m/>
    <e v="#DIV/0!"/>
    <m/>
    <e v="#DIV/0!"/>
    <m/>
    <n v="0"/>
    <n v="0"/>
  </r>
  <r>
    <s v="Jahangir Jalil"/>
    <x v="2"/>
    <s v="Vitros ECiQ"/>
    <n v="15002760"/>
    <s v="Immunoassay"/>
    <s v="demo"/>
    <m/>
    <m/>
    <m/>
    <m/>
    <s v="31.07.2025"/>
    <m/>
    <m/>
    <x v="1"/>
    <x v="1"/>
    <s v="Lahore"/>
    <n v="3020000206"/>
    <x v="19"/>
    <m/>
    <m/>
    <m/>
    <m/>
    <m/>
    <m/>
    <n v="9115000"/>
    <n v="37"/>
    <n v="716388"/>
    <m/>
    <m/>
    <m/>
    <m/>
    <m/>
    <m/>
    <m/>
    <m/>
    <m/>
    <m/>
    <m/>
    <m/>
    <m/>
    <m/>
    <m/>
    <m/>
    <m/>
    <m/>
    <m/>
    <m/>
    <m/>
    <m/>
    <m/>
    <m/>
    <m/>
    <m/>
    <s v="To be checked only machine active"/>
    <m/>
    <n v="1"/>
    <s v="Replaced from the existing instrument"/>
    <m/>
    <m/>
    <m/>
    <m/>
    <m/>
    <m/>
    <m/>
    <m/>
    <m/>
    <m/>
    <m/>
    <m/>
    <n v="0"/>
    <m/>
    <m/>
    <m/>
    <m/>
    <m/>
    <m/>
    <m/>
    <m/>
    <m/>
    <m/>
    <m/>
    <m/>
    <n v="0"/>
    <m/>
    <m/>
    <m/>
    <n v="0"/>
    <n v="0"/>
    <m/>
    <n v="0"/>
    <m/>
    <e v="#DIV/0!"/>
    <m/>
    <e v="#DIV/0!"/>
    <m/>
    <e v="#DIV/0!"/>
    <m/>
    <n v="0"/>
    <n v="0"/>
  </r>
  <r>
    <s v="Hammad Noor"/>
    <x v="3"/>
    <s v="Swelab Lumi"/>
    <n v="15002248"/>
    <s v="Hematology "/>
    <n v="3002000093"/>
    <m/>
    <s v="TE11042147003"/>
    <m/>
    <m/>
    <s v="25.04.2025"/>
    <s v="Not Available"/>
    <m/>
    <x v="0"/>
    <x v="1"/>
    <s v="Lahore"/>
    <n v="3020000209"/>
    <x v="20"/>
    <s v="N/A"/>
    <s v="1-km defense road, Lahore"/>
    <s v="042-32300865"/>
    <s v="waseem.abbas@admin.uol.edu.pk"/>
    <s v="2237629-1"/>
    <m/>
    <n v="2100000"/>
    <n v="18"/>
    <n v="125042"/>
    <m/>
    <m/>
    <m/>
    <m/>
    <m/>
    <m/>
    <m/>
    <m/>
    <m/>
    <m/>
    <m/>
    <m/>
    <m/>
    <m/>
    <m/>
    <m/>
    <m/>
    <m/>
    <m/>
    <m/>
    <m/>
    <m/>
    <m/>
    <m/>
    <m/>
    <m/>
    <s v="behind track need followup"/>
    <s v="behind track need  further followup"/>
    <n v="1"/>
    <s v="Placed"/>
    <m/>
    <m/>
    <m/>
    <m/>
    <m/>
    <m/>
    <m/>
    <m/>
    <m/>
    <m/>
    <n v="616750"/>
    <n v="29000"/>
    <n v="645750"/>
    <n v="0"/>
    <n v="0"/>
    <n v="0"/>
    <n v="616750"/>
    <n v="0"/>
    <n v="0"/>
    <n v="0"/>
    <n v="0"/>
    <m/>
    <m/>
    <m/>
    <m/>
    <n v="616750"/>
    <n v="0"/>
    <n v="0"/>
    <n v="0"/>
    <n v="0"/>
    <n v="0"/>
    <m/>
    <n v="1262500"/>
    <n v="11"/>
    <n v="114772.72727272728"/>
    <n v="1595000"/>
    <n v="-10269.272727272721"/>
    <s v="Sales on track"/>
    <n v="-933.57024793388371"/>
    <n v="0.4"/>
    <n v="505000"/>
    <n v="0.4"/>
  </r>
  <r>
    <s v="Hammad Noor"/>
    <x v="0"/>
    <s v="iFlash 1200"/>
    <n v="15002553"/>
    <s v="Immunoassay"/>
    <m/>
    <m/>
    <m/>
    <m/>
    <m/>
    <s v="21.10.2024"/>
    <m/>
    <m/>
    <x v="1"/>
    <x v="0"/>
    <s v="Karachi"/>
    <n v="3020000314"/>
    <x v="21"/>
    <m/>
    <s v="Km-75, Jackob line, M.A Jinnah road "/>
    <s v="0331-2245708 &amp; 021-38140600"/>
    <s v="ahashmani@cyber.net.pk"/>
    <s v="4009579-7"/>
    <m/>
    <n v="3058162"/>
    <n v="36"/>
    <n v="520349"/>
    <m/>
    <m/>
    <m/>
    <m/>
    <m/>
    <m/>
    <m/>
    <m/>
    <m/>
    <m/>
    <m/>
    <m/>
    <m/>
    <m/>
    <m/>
    <m/>
    <m/>
    <m/>
    <e v="#N/A"/>
    <m/>
    <m/>
    <m/>
    <m/>
    <m/>
    <m/>
    <m/>
    <m/>
    <m/>
    <m/>
    <m/>
    <m/>
    <m/>
    <m/>
    <m/>
    <m/>
    <m/>
    <m/>
    <m/>
    <m/>
    <m/>
    <m/>
    <m/>
    <n v="0"/>
    <m/>
    <m/>
    <m/>
    <m/>
    <m/>
    <m/>
    <m/>
    <m/>
    <m/>
    <m/>
    <m/>
    <m/>
    <n v="0"/>
    <m/>
    <m/>
    <m/>
    <n v="0"/>
    <n v="0"/>
    <m/>
    <n v="0"/>
    <m/>
    <e v="#DIV/0!"/>
    <n v="3058162"/>
    <e v="#DIV/0!"/>
    <s v="No sales yet"/>
    <e v="#DIV/0!"/>
    <n v="0.4"/>
    <n v="0"/>
    <n v="0.4"/>
  </r>
  <r>
    <s v="Hammad Noor"/>
    <x v="0"/>
    <s v="iFlash 1800"/>
    <n v="15002462"/>
    <s v="Immunoassay"/>
    <m/>
    <m/>
    <s v="IA00146946"/>
    <m/>
    <m/>
    <s v="20.12.2024"/>
    <m/>
    <m/>
    <x v="0"/>
    <x v="0"/>
    <s v="Karachi"/>
    <n v="3020000386"/>
    <x v="22"/>
    <m/>
    <s v="St 02, block T, Qalandaria Chowk, opposite Talib Charman park, Sindh"/>
    <s v="0336-2062268"/>
    <s v="faraz786.hbb@gmail.com"/>
    <s v="1294267-7"/>
    <m/>
    <n v="3650000"/>
    <n v="10"/>
    <n v="1194783"/>
    <m/>
    <m/>
    <m/>
    <m/>
    <m/>
    <m/>
    <m/>
    <m/>
    <m/>
    <m/>
    <m/>
    <m/>
    <m/>
    <m/>
    <m/>
    <m/>
    <m/>
    <m/>
    <e v="#N/A"/>
    <m/>
    <m/>
    <m/>
    <m/>
    <m/>
    <m/>
    <m/>
    <s v="need to check business case"/>
    <s v="under validation - behind track"/>
    <n v="1"/>
    <s v="Placed"/>
    <m/>
    <m/>
    <m/>
    <m/>
    <m/>
    <m/>
    <m/>
    <m/>
    <m/>
    <m/>
    <m/>
    <m/>
    <n v="0"/>
    <m/>
    <m/>
    <m/>
    <m/>
    <m/>
    <n v="146400"/>
    <m/>
    <n v="210560"/>
    <n v="278280"/>
    <n v="431600"/>
    <n v="107800"/>
    <n v="80800"/>
    <n v="1255440"/>
    <n v="191400"/>
    <n v="62000"/>
    <n v="67800"/>
    <n v="321200"/>
    <n v="156900"/>
    <m/>
    <n v="1576640"/>
    <n v="8"/>
    <n v="197080"/>
    <n v="3019344"/>
    <n v="-997703"/>
    <s v="Sales behind track"/>
    <n v="-124712.875"/>
    <n v="0.4"/>
    <n v="630656"/>
    <n v="0.4"/>
  </r>
  <r>
    <s v="Hammad Noor"/>
    <x v="1"/>
    <s v="Selectra Mach 5"/>
    <n v="15002463"/>
    <s v="Clinical Chemistry"/>
    <m/>
    <m/>
    <m/>
    <m/>
    <m/>
    <s v="20.12.2024"/>
    <m/>
    <m/>
    <x v="0"/>
    <x v="0"/>
    <s v="Karachi"/>
    <n v="3020000386"/>
    <x v="22"/>
    <m/>
    <s v="St 02, block T, Qalandaria Chowk, opposite Talib Charman park, Sindh"/>
    <s v="0336-2062268"/>
    <s v="faraz786.hbb@gmail.com"/>
    <s v="1294267-7"/>
    <m/>
    <n v="6941887"/>
    <n v="73"/>
    <n v="882971"/>
    <m/>
    <m/>
    <m/>
    <m/>
    <m/>
    <m/>
    <m/>
    <m/>
    <m/>
    <m/>
    <m/>
    <m/>
    <m/>
    <m/>
    <m/>
    <m/>
    <m/>
    <m/>
    <e v="#N/A"/>
    <m/>
    <m/>
    <m/>
    <m/>
    <m/>
    <m/>
    <m/>
    <s v="need to check business case"/>
    <s v="under validation - behind track"/>
    <n v="1"/>
    <s v="Placed"/>
    <m/>
    <m/>
    <m/>
    <m/>
    <m/>
    <m/>
    <m/>
    <m/>
    <m/>
    <m/>
    <m/>
    <m/>
    <n v="0"/>
    <m/>
    <m/>
    <m/>
    <m/>
    <m/>
    <m/>
    <m/>
    <m/>
    <m/>
    <n v="246700"/>
    <m/>
    <n v="2800"/>
    <n v="249500"/>
    <n v="142222"/>
    <n v="417191.4"/>
    <n v="134582"/>
    <n v="693995.4"/>
    <n v="188699.08000000002"/>
    <m/>
    <n v="943495.4"/>
    <n v="4"/>
    <n v="235873.85"/>
    <n v="6517314.0700000003"/>
    <n v="-647097.15"/>
    <s v="No sales yet"/>
    <n v="-161774.28750000001"/>
    <n v="0.45"/>
    <n v="424572.93"/>
    <n v="0.45"/>
  </r>
  <r>
    <s v="Jahangir Jalil"/>
    <x v="7"/>
    <s v="Laura XL"/>
    <n v="15002673"/>
    <s v="Urine Analyzer"/>
    <m/>
    <m/>
    <m/>
    <m/>
    <m/>
    <s v="04.06.2025"/>
    <m/>
    <m/>
    <x v="0"/>
    <x v="1"/>
    <s v="Chiniot"/>
    <n v="3020000394"/>
    <x v="23"/>
    <m/>
    <m/>
    <m/>
    <m/>
    <m/>
    <m/>
    <n v="5662000"/>
    <n v="33"/>
    <n v="319800"/>
    <m/>
    <m/>
    <m/>
    <m/>
    <m/>
    <m/>
    <m/>
    <m/>
    <m/>
    <m/>
    <m/>
    <m/>
    <m/>
    <m/>
    <m/>
    <m/>
    <m/>
    <m/>
    <m/>
    <m/>
    <m/>
    <m/>
    <m/>
    <m/>
    <m/>
    <m/>
    <s v="on Track"/>
    <s v="no sales in March - Part issue"/>
    <n v="1"/>
    <s v="Placed"/>
    <m/>
    <m/>
    <m/>
    <m/>
    <m/>
    <m/>
    <m/>
    <m/>
    <m/>
    <m/>
    <m/>
    <m/>
    <n v="0"/>
    <m/>
    <m/>
    <m/>
    <m/>
    <m/>
    <m/>
    <n v="430327.8"/>
    <n v="330000"/>
    <n v="215000"/>
    <m/>
    <m/>
    <n v="350000"/>
    <n v="1325327.8"/>
    <n v="0"/>
    <n v="315000"/>
    <n v="0"/>
    <n v="315000"/>
    <n v="166250"/>
    <m/>
    <n v="1640327.8"/>
    <n v="5"/>
    <n v="328065.56"/>
    <n v="5005868.88"/>
    <n v="-75245.67200000002"/>
    <s v="Sales behind track"/>
    <n v="-15049.134400000004"/>
    <n v="0.4"/>
    <n v="656131.12000000011"/>
    <n v="0.4"/>
  </r>
  <r>
    <s v="Jahangir Jalil"/>
    <x v="2"/>
    <s v="Vitros ECiQ Immunodiagnostic System"/>
    <n v="15002760"/>
    <s v="Immunoassay"/>
    <n v="3002000023"/>
    <s v="N/A"/>
    <n v="30004829"/>
    <s v="29.10.2022"/>
    <s v="10.09.2022"/>
    <s v="09.10.2022"/>
    <s v="Available"/>
    <m/>
    <x v="1"/>
    <x v="0"/>
    <s v="Karachi"/>
    <n v="3020000439"/>
    <x v="24"/>
    <s v="N/A"/>
    <s v="plot # GRE/550, Gul meher street, off Jahangir road garden east , Karachi"/>
    <s v="0321-9232142"/>
    <s v="hanif.baig@amdtrust.org "/>
    <s v="4665344-1"/>
    <m/>
    <n v="5847387"/>
    <n v="28"/>
    <n v="545522"/>
    <m/>
    <m/>
    <s v="Reagents Not available"/>
    <s v="Partial items received, already processed the orders"/>
    <s v="working with customer to put workload on our equipment "/>
    <m/>
    <s v="workload decreased"/>
    <s v="Patient flow has been increasing gradullay in the hospital, which will improve our business."/>
    <m/>
    <m/>
    <s v="Revised business case has been sent to Mr, Irfan for further approvals"/>
    <s v="Order for Sep &amp; Oct 2023 has been received"/>
    <m/>
    <m/>
    <m/>
    <m/>
    <m/>
    <m/>
    <s v="Price/workload revision - till 15 April 2024"/>
    <m/>
    <s v="2nd letter is submitted for prices revision."/>
    <m/>
    <m/>
    <m/>
    <m/>
    <m/>
    <s v="OK"/>
    <m/>
    <m/>
    <m/>
    <n v="262916.82"/>
    <n v="284489.45999999996"/>
    <n v="163926.91"/>
    <n v="36327"/>
    <n v="468860.14"/>
    <n v="654734.74"/>
    <n v="167552"/>
    <n v="565713.64"/>
    <n v="111563"/>
    <n v="140865"/>
    <n v="206958"/>
    <n v="0"/>
    <n v="3063906.71"/>
    <n v="0"/>
    <n v="215169"/>
    <n v="0"/>
    <n v="319587"/>
    <m/>
    <m/>
    <m/>
    <m/>
    <m/>
    <m/>
    <m/>
    <m/>
    <n v="534756"/>
    <m/>
    <m/>
    <m/>
    <n v="0"/>
    <n v="0"/>
    <m/>
    <n v="3598662.71"/>
    <n v="31"/>
    <n v="116085.89387096775"/>
    <n v="4407921.9160000002"/>
    <n v="-429436.10612903227"/>
    <s v="Sales behind track"/>
    <n v="-13852.777617065558"/>
    <n v="0.4"/>
    <n v="1439465.084"/>
    <n v="0.35"/>
  </r>
  <r>
    <s v="Jahangir Jalil"/>
    <x v="2"/>
    <s v="Vitros ECiQ Immunodiagnostic System"/>
    <n v="15002760"/>
    <s v="Immunoassay"/>
    <n v="3002000023"/>
    <s v="N/A"/>
    <n v="30004829"/>
    <m/>
    <m/>
    <s v="25.04.2025"/>
    <s v="Available"/>
    <m/>
    <x v="5"/>
    <x v="0"/>
    <s v="Karachi"/>
    <n v="3020000439"/>
    <x v="24"/>
    <s v="N/A"/>
    <s v="plot # GRE/550, Gul meher street, off Jahangir road garden east , Karachi"/>
    <s v="0321-9232142"/>
    <s v="hanif.baig@amdtrust.org "/>
    <s v="4665344-1"/>
    <m/>
    <n v="5962387"/>
    <n v="60"/>
    <n v="469966"/>
    <m/>
    <m/>
    <m/>
    <m/>
    <m/>
    <m/>
    <m/>
    <m/>
    <m/>
    <m/>
    <m/>
    <m/>
    <m/>
    <m/>
    <m/>
    <m/>
    <m/>
    <m/>
    <m/>
    <m/>
    <m/>
    <m/>
    <m/>
    <m/>
    <m/>
    <m/>
    <s v="Pull BAck"/>
    <s v="Pull back by April 30"/>
    <m/>
    <m/>
    <n v="0"/>
    <n v="0"/>
    <n v="0"/>
    <n v="0"/>
    <n v="0"/>
    <n v="0"/>
    <n v="0"/>
    <n v="0"/>
    <n v="0"/>
    <n v="0"/>
    <n v="0"/>
    <n v="0"/>
    <n v="0"/>
    <n v="0"/>
    <n v="0"/>
    <n v="0"/>
    <n v="0"/>
    <n v="915691.58000000007"/>
    <n v="293100.48"/>
    <n v="0"/>
    <n v="639964.52"/>
    <n v="0"/>
    <n v="375282.49"/>
    <n v="0"/>
    <n v="0"/>
    <n v="2224039.0700000003"/>
    <n v="24249.5"/>
    <n v="48499"/>
    <n v="0"/>
    <n v="72748.5"/>
    <n v="74671.831666666665"/>
    <m/>
    <n v="2296787.5700000003"/>
    <n v="34"/>
    <n v="67552.575588235297"/>
    <n v="5043671.9720000001"/>
    <n v="-402413.42441176472"/>
    <s v="Sales behind track"/>
    <n v="-11835.688953287197"/>
    <n v="0.4"/>
    <n v="918715.02800000017"/>
    <n v="0.4"/>
  </r>
  <r>
    <s v="Hammad Noor"/>
    <x v="0"/>
    <s v="iFlash 1800"/>
    <n v="15002462"/>
    <s v="Immunoassay"/>
    <n v="3002000009"/>
    <s v="Moved from Jilani Hospital to Burhani Hospital"/>
    <s v="IA00092922"/>
    <s v="14.12.2023"/>
    <s v="21.11.2023"/>
    <s v="18.12.2023"/>
    <s v="Available"/>
    <m/>
    <x v="0"/>
    <x v="0"/>
    <s v="Karachi"/>
    <n v="3020000447"/>
    <x v="25"/>
    <s v="Asad Ullah"/>
    <s v="Shop # 5, Yet Road, Near M.A. Jinnah Road,"/>
    <s v="0307-3800575 , 081-2826500"/>
    <s v="noor.lab.surgical@gmail.com"/>
    <m/>
    <s v="54400-0524139-1"/>
    <n v="2668545"/>
    <n v="27"/>
    <n v="499567"/>
    <m/>
    <m/>
    <m/>
    <m/>
    <s v="YHLO stock was N/A"/>
    <s v="we will recieve new order from customer as stock is available now "/>
    <s v="Machine was moved from different location without informing HO"/>
    <s v="We've decided to pull back our equipment and it'll be placed to another customer (Jillani Hospital - Quetta). Business Case will be submitted to get approval."/>
    <m/>
    <m/>
    <m/>
    <m/>
    <m/>
    <m/>
    <m/>
    <m/>
    <s v="Move to Khi Burhani Hospital"/>
    <m/>
    <s v="Recently installed "/>
    <m/>
    <s v="Sales on track"/>
    <m/>
    <m/>
    <m/>
    <m/>
    <m/>
    <s v="Behind track"/>
    <s v="on Track"/>
    <n v="1"/>
    <s v="Placed"/>
    <n v="146900"/>
    <n v="740800"/>
    <n v="939900"/>
    <n v="93000"/>
    <n v="764600"/>
    <n v="1053900"/>
    <n v="999900"/>
    <n v="142000"/>
    <n v="0"/>
    <n v="770500"/>
    <n v="425600"/>
    <n v="959600"/>
    <n v="7036700"/>
    <n v="1245700"/>
    <n v="0"/>
    <n v="116000"/>
    <n v="0"/>
    <n v="702500"/>
    <n v="119800"/>
    <n v="635960"/>
    <n v="613250"/>
    <n v="336820"/>
    <n v="519620"/>
    <n v="486400"/>
    <n v="523620"/>
    <n v="5299670"/>
    <n v="269500"/>
    <n v="559660"/>
    <n v="768330"/>
    <n v="1597490"/>
    <n v="521188.33333333331"/>
    <m/>
    <n v="13933860"/>
    <n v="23"/>
    <n v="605820"/>
    <n v="-2904999"/>
    <n v="106253"/>
    <s v="Sales on track"/>
    <n v="4619.695652173913"/>
    <n v="0.4"/>
    <n v="5573544"/>
    <n v="0.4"/>
  </r>
  <r>
    <s v="Jahangir Jalil"/>
    <x v="2"/>
    <s v="Vitros ECiQ Immunodiagnostic System"/>
    <n v="15002760"/>
    <s v="Immunoassay"/>
    <n v="3002000033"/>
    <s v="N/A"/>
    <n v="30006238"/>
    <s v=" 01.03.2023"/>
    <m/>
    <m/>
    <s v="Not Available"/>
    <m/>
    <x v="1"/>
    <x v="0"/>
    <s v="Karachi"/>
    <n v="3020000477"/>
    <x v="26"/>
    <s v="Approved"/>
    <s v="Stadium Road, Karachi"/>
    <s v="021-34930051, 0313-3691916"/>
    <s v=" zain.mansoor@aku.edu"/>
    <s v="0709421-3"/>
    <m/>
    <m/>
    <m/>
    <m/>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s v="Agreemanet pending, in year 2023 many order was holded by Mr Irfan Akram, supplies didnt deliver on time "/>
    <m/>
    <s v="Revised business case submitted, sales will be on track from next month"/>
    <m/>
    <m/>
    <m/>
    <m/>
    <m/>
    <m/>
    <m/>
    <m/>
    <m/>
    <n v="2795137.5"/>
    <n v="149625"/>
    <n v="3848212.5"/>
    <n v="1329613.5"/>
    <n v="0"/>
    <n v="0"/>
    <n v="0"/>
    <n v="0"/>
    <n v="0"/>
    <n v="0"/>
    <n v="0"/>
    <n v="0"/>
    <n v="8122588.5"/>
    <n v="0"/>
    <n v="0"/>
    <m/>
    <m/>
    <m/>
    <m/>
    <m/>
    <m/>
    <m/>
    <m/>
    <m/>
    <m/>
    <n v="0"/>
    <m/>
    <m/>
    <m/>
    <n v="0"/>
    <n v="0"/>
    <m/>
    <n v="8122588.5"/>
    <n v="16"/>
    <n v="507661.78125"/>
    <n v="-3249035.4000000004"/>
    <n v="507661.78125"/>
    <s v="Sales on track"/>
    <n v="31728.861328125"/>
    <n v="0.4"/>
    <n v="3249035.4000000004"/>
    <n v="0.35"/>
  </r>
  <r>
    <s v="Jahangir Jalil"/>
    <x v="2"/>
    <s v="Vitros ECiQ Immunodiagnostic System"/>
    <n v="15002760"/>
    <s v="Immunoassay"/>
    <n v="3002000037"/>
    <s v="N/A"/>
    <n v="30006243"/>
    <s v=" 01.03.2023"/>
    <m/>
    <m/>
    <s v="Not Available"/>
    <m/>
    <x v="1"/>
    <x v="0"/>
    <s v="Karachi"/>
    <n v="3020000477"/>
    <x v="26"/>
    <s v="Available"/>
    <s v="Stadium Road, Karachi"/>
    <s v="021-34930051, 0313-3691916"/>
    <s v=" zain.mansoor@aku.edu"/>
    <s v="0709421-3"/>
    <m/>
    <m/>
    <m/>
    <m/>
    <m/>
    <m/>
    <m/>
    <m/>
    <m/>
    <m/>
    <m/>
    <m/>
    <m/>
    <m/>
    <s v="We've received order of 5.7 million in Sep 2023 "/>
    <s v="Order received as per commitment"/>
    <m/>
    <m/>
    <m/>
    <m/>
    <m/>
    <m/>
    <s v="Agreemanet pending, in year 2023 many order was holded by Mr Irfan Akram, supplies didnt deliver on time "/>
    <m/>
    <s v="Revised business case submitted, sales will be on track from next month"/>
    <m/>
    <m/>
    <m/>
    <m/>
    <m/>
    <m/>
    <m/>
    <m/>
    <m/>
    <n v="2795137.5"/>
    <n v="149625"/>
    <n v="3848212.5"/>
    <n v="1329613.5"/>
    <n v="0"/>
    <n v="0"/>
    <n v="0"/>
    <n v="0"/>
    <n v="0"/>
    <n v="0"/>
    <n v="0"/>
    <n v="0"/>
    <n v="8122588.5"/>
    <n v="0"/>
    <m/>
    <m/>
    <m/>
    <m/>
    <m/>
    <m/>
    <m/>
    <m/>
    <m/>
    <m/>
    <m/>
    <n v="0"/>
    <m/>
    <m/>
    <m/>
    <n v="0"/>
    <n v="0"/>
    <m/>
    <n v="8122588.5"/>
    <n v="16"/>
    <n v="507661.78125"/>
    <n v="-3249035.4000000004"/>
    <n v="507661.78125"/>
    <s v="Sales on track"/>
    <n v="31728.861328125"/>
    <n v="0.4"/>
    <n v="3249035.4000000004"/>
    <n v="0.35"/>
  </r>
  <r>
    <s v="Jahangir Jalil"/>
    <x v="2"/>
    <s v="Vitros ECiQ Immunodiagnostic System"/>
    <n v="15002760"/>
    <s v="Immunoassay"/>
    <n v="3002000033"/>
    <s v="N/A"/>
    <n v="30006238"/>
    <m/>
    <s v="04.05.2024"/>
    <s v="02.04.2024"/>
    <s v="Available"/>
    <m/>
    <x v="5"/>
    <x v="0"/>
    <s v="Karachi"/>
    <n v="3020000477"/>
    <x v="26"/>
    <s v="Approved"/>
    <s v="Stadium Road, Karachi"/>
    <s v="021-34930051, 0313-3691916"/>
    <s v=" zain.mansoor@aku.edu"/>
    <s v="0709421-3"/>
    <m/>
    <n v="9415840"/>
    <n v="36"/>
    <n v="1229963"/>
    <m/>
    <m/>
    <m/>
    <m/>
    <m/>
    <m/>
    <m/>
    <m/>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m/>
    <m/>
    <m/>
    <m/>
    <m/>
    <s v="no sales in july"/>
    <m/>
    <m/>
    <s v="on Track"/>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n v="18"/>
    <n v="2604352.1694444441"/>
    <n v="-9335495.620000001"/>
    <n v="1374389.1694444441"/>
    <s v="Sales from April, Sales on track"/>
    <n v="76354.953858024674"/>
    <n v="0.4"/>
    <n v="18751335.620000001"/>
    <n v="0.35"/>
  </r>
  <r>
    <s v="Jahangir Jalil"/>
    <x v="2"/>
    <s v="Vitros ECiQ Immunodiagnostic System"/>
    <n v="15002760"/>
    <s v="Immunoassay"/>
    <n v="3002000037"/>
    <s v="N/A"/>
    <n v="30006243"/>
    <m/>
    <s v="04.05.2024"/>
    <s v="02.04.2024"/>
    <s v="Available"/>
    <m/>
    <x v="5"/>
    <x v="0"/>
    <s v="Karachi"/>
    <n v="3020000477"/>
    <x v="26"/>
    <s v="Available"/>
    <s v="Stadium Road, Karachi"/>
    <s v="021-34930051, 0313-3691916"/>
    <s v=" zain.mansoor@aku.edu"/>
    <s v="0709421-3"/>
    <m/>
    <n v="9415840"/>
    <n v="36"/>
    <n v="1229963"/>
    <m/>
    <m/>
    <m/>
    <m/>
    <m/>
    <m/>
    <m/>
    <m/>
    <m/>
    <m/>
    <s v="We've received order of 5.7 million in Sep 2023 "/>
    <s v="Order received as per commitment"/>
    <m/>
    <m/>
    <m/>
    <m/>
    <m/>
    <m/>
    <m/>
    <m/>
    <m/>
    <m/>
    <m/>
    <s v="no sales in july"/>
    <m/>
    <m/>
    <s v="on Track"/>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n v="18"/>
    <n v="2604352.1694444441"/>
    <n v="-9335495.620000001"/>
    <n v="1374389.1694444441"/>
    <s v="Sales from April, Sales on track"/>
    <n v="76354.953858024674"/>
    <n v="0.4"/>
    <n v="18751335.620000001"/>
    <n v="0.35"/>
  </r>
  <r>
    <s v="Hammad Noor"/>
    <x v="0"/>
    <s v="iFlash 1800"/>
    <n v="15002462"/>
    <s v="Immunoassay"/>
    <n v="3002000075"/>
    <s v="N/A"/>
    <s v="IA00093322"/>
    <m/>
    <m/>
    <s v="19.03.2024"/>
    <s v="Not Available"/>
    <m/>
    <x v="0"/>
    <x v="1"/>
    <s v="Faisalabad"/>
    <n v="3020000491"/>
    <x v="27"/>
    <m/>
    <s v="Akbarabad, Near Allied Hospital, Faisalabad"/>
    <s v="041-2646707"/>
    <s v="info@alkhidmat.org"/>
    <s v="7600330-1"/>
    <m/>
    <n v="3535471"/>
    <n v="36"/>
    <n v="536481"/>
    <m/>
    <m/>
    <m/>
    <m/>
    <m/>
    <m/>
    <m/>
    <m/>
    <m/>
    <m/>
    <m/>
    <m/>
    <m/>
    <m/>
    <m/>
    <m/>
    <m/>
    <m/>
    <m/>
    <m/>
    <m/>
    <m/>
    <m/>
    <m/>
    <m/>
    <m/>
    <s v="Pull BAck"/>
    <s v="Pull back by April 30"/>
    <m/>
    <s v="Placed"/>
    <n v="235502.5"/>
    <n v="15660"/>
    <n v="165984"/>
    <n v="125262"/>
    <n v="37908.5"/>
    <n v="55880"/>
    <n v="0"/>
    <n v="239596"/>
    <n v="65535"/>
    <n v="64800"/>
    <n v="0"/>
    <n v="154960"/>
    <n v="1161088"/>
    <n v="49960"/>
    <n v="0"/>
    <n v="155411"/>
    <n v="0"/>
    <n v="0"/>
    <n v="0"/>
    <n v="0"/>
    <n v="0"/>
    <n v="0"/>
    <n v="0"/>
    <n v="0"/>
    <m/>
    <n v="205371"/>
    <n v="0"/>
    <n v="0"/>
    <n v="0"/>
    <n v="0"/>
    <n v="0"/>
    <m/>
    <n v="1366459"/>
    <n v="25"/>
    <n v="54658.36"/>
    <n v="2988887.4"/>
    <n v="-481822.64"/>
    <s v="Sales behind track"/>
    <n v="-19272.905600000002"/>
    <n v="0.4"/>
    <n v="546583.6"/>
    <n v="0.4"/>
  </r>
  <r>
    <s v="Hammad Noor"/>
    <x v="0"/>
    <s v="iFlash 1800"/>
    <n v="15002462"/>
    <s v="Immunoassay"/>
    <s v="AR # 300293"/>
    <s v="Transferred from demo"/>
    <s v="IA00093322"/>
    <m/>
    <m/>
    <s v="14.05.2025"/>
    <m/>
    <m/>
    <x v="0"/>
    <x v="1"/>
    <s v="Faisalabad"/>
    <n v="3020000491"/>
    <x v="27"/>
    <m/>
    <s v="Ismail Road, Akbarabad Chowk, Opposite Allied Hospital, Punjab"/>
    <s v="041-2642728 &amp; 0333-6544102"/>
    <s v="info@alkhidmat.org"/>
    <s v="7600330-1"/>
    <m/>
    <n v="3650471"/>
    <n v="35"/>
    <n v="424199"/>
    <m/>
    <m/>
    <m/>
    <m/>
    <m/>
    <m/>
    <m/>
    <m/>
    <m/>
    <m/>
    <m/>
    <m/>
    <m/>
    <m/>
    <m/>
    <m/>
    <m/>
    <m/>
    <m/>
    <m/>
    <m/>
    <m/>
    <m/>
    <m/>
    <m/>
    <m/>
    <s v="Pull BAck"/>
    <s v="Pull back by April 30"/>
    <m/>
    <s v="Placed"/>
    <n v="235502.5"/>
    <n v="15660"/>
    <n v="165984"/>
    <n v="125262"/>
    <n v="37908.5"/>
    <n v="55880"/>
    <n v="0"/>
    <n v="239596"/>
    <n v="65535"/>
    <n v="64800"/>
    <n v="0"/>
    <n v="154960"/>
    <n v="1161088"/>
    <n v="49960"/>
    <n v="0"/>
    <n v="155411"/>
    <n v="0"/>
    <n v="0"/>
    <n v="0"/>
    <n v="0"/>
    <n v="0"/>
    <n v="0"/>
    <n v="0"/>
    <n v="0"/>
    <m/>
    <n v="205371"/>
    <n v="0"/>
    <n v="0"/>
    <n v="0"/>
    <n v="0"/>
    <n v="0"/>
    <m/>
    <n v="1366459"/>
    <n v="25"/>
    <n v="54658.36"/>
    <n v="3103887.4"/>
    <n v="-66585.846153846156"/>
    <s v="Sales behind track"/>
    <n v="-2663.4338461538464"/>
    <n v="0.4"/>
    <n v="546583.6"/>
    <n v="0.4"/>
  </r>
  <r>
    <s v="Hammad Noor"/>
    <x v="3"/>
    <s v="Swelab Alfa Plus Standard"/>
    <n v="15001967"/>
    <s v="Hematology"/>
    <n v="3002000004"/>
    <s v="N/A"/>
    <n v="104282"/>
    <s v="27.11.2021"/>
    <s v="06.01.2021"/>
    <s v="06.01.2021"/>
    <s v="Available"/>
    <m/>
    <x v="0"/>
    <x v="1"/>
    <s v="Faisalabad"/>
    <n v="3020000515"/>
    <x v="28"/>
    <s v="Govt. Hospital"/>
    <s v="Near Pinum Hospital, Faisalabad"/>
    <s v="041-9210082"/>
    <s v="not available"/>
    <s v="9020100-7"/>
    <m/>
    <n v="1262290"/>
    <n v="13"/>
    <n v="450000"/>
    <s v="tender based ,Tender completed "/>
    <s v="instruments will be return after depletion of stocks "/>
    <s v="Sales on track"/>
    <s v="Sales on track"/>
    <s v="sales on track "/>
    <s v="new contract in process"/>
    <m/>
    <s v="Instrument cost covered we are executing new contract for the same analyzer in same institute expected business in Q3 Is Rs. 2.0 Million "/>
    <s v="Contract renewed for three months "/>
    <s v="Initial order of amount Rs 1.8 Million invoiced "/>
    <m/>
    <m/>
    <m/>
    <m/>
    <m/>
    <m/>
    <m/>
    <m/>
    <s v="Cost Covered and will be return back as tender period is ended."/>
    <m/>
    <m/>
    <m/>
    <m/>
    <s v="Need to confirm its status"/>
    <m/>
    <m/>
    <s v="Pull BAck"/>
    <s v="Pull back by April 30"/>
    <n v="1"/>
    <s v="Placed"/>
    <m/>
    <m/>
    <m/>
    <m/>
    <m/>
    <m/>
    <m/>
    <m/>
    <m/>
    <m/>
    <m/>
    <m/>
    <n v="0"/>
    <n v="0"/>
    <n v="0"/>
    <n v="0"/>
    <n v="0"/>
    <n v="1362711.9"/>
    <n v="613000"/>
    <n v="2271186"/>
    <n v="0"/>
    <n v="0"/>
    <m/>
    <n v="3202372.3333333335"/>
    <n v="-204333.33333333334"/>
    <n v="7244936.9000000013"/>
    <n v="0"/>
    <n v="0"/>
    <n v="0"/>
    <n v="0"/>
    <n v="599607.80000000005"/>
    <s v="ASK ABOUT IT"/>
    <n v="7244936.9000000013"/>
    <n v="34"/>
    <n v="213086.37941176473"/>
    <n v="-1635684.7600000007"/>
    <n v="-236913.62058823527"/>
    <s v="Sales are going on, Cost covered"/>
    <n v="-6968.0476643598604"/>
    <n v="0.4"/>
    <n v="2897974.7600000007"/>
    <n v="0.4"/>
  </r>
  <r>
    <s v="Hammad Noor"/>
    <x v="3"/>
    <s v="Swelab Alfa Plus Standard"/>
    <n v="15001967"/>
    <s v="Hematology"/>
    <n v="3002000004"/>
    <m/>
    <n v="116957"/>
    <m/>
    <m/>
    <s v="24.11.2025"/>
    <m/>
    <m/>
    <x v="4"/>
    <x v="1"/>
    <s v="Faisalabad"/>
    <n v="3020000515"/>
    <x v="29"/>
    <m/>
    <s v="Near Pinum Hospital, Faisalabad"/>
    <s v="041-9210082"/>
    <s v="not available"/>
    <s v="9020100-7"/>
    <m/>
    <n v="1186483.5"/>
    <n v="26"/>
    <n v="112945"/>
    <m/>
    <m/>
    <m/>
    <m/>
    <m/>
    <m/>
    <m/>
    <m/>
    <m/>
    <m/>
    <m/>
    <m/>
    <m/>
    <m/>
    <m/>
    <m/>
    <m/>
    <m/>
    <m/>
    <m/>
    <m/>
    <m/>
    <m/>
    <m/>
    <m/>
    <m/>
    <s v="on Track"/>
    <s v="on Track"/>
    <m/>
    <s v="Placed"/>
    <m/>
    <m/>
    <m/>
    <m/>
    <n v="1710000"/>
    <m/>
    <m/>
    <m/>
    <m/>
    <m/>
    <m/>
    <m/>
    <n v="1710000"/>
    <m/>
    <m/>
    <m/>
    <m/>
    <m/>
    <m/>
    <m/>
    <m/>
    <m/>
    <m/>
    <n v="3202372.3333333335"/>
    <n v="-204333.33333333334"/>
    <n v="2998039"/>
    <n v="0"/>
    <n v="0"/>
    <n v="0"/>
    <n v="0"/>
    <n v="599607.80000000005"/>
    <m/>
    <n v="4708039"/>
    <n v="4"/>
    <n v="1177009.75"/>
    <m/>
    <n v="1064064.75"/>
    <m/>
    <n v="266016.1875"/>
    <m/>
    <n v="0"/>
    <n v="0"/>
  </r>
  <r>
    <s v="Hammad Noor"/>
    <x v="3"/>
    <s v="Swelab Alfa Plus Standard"/>
    <n v="15001967"/>
    <s v="Hematology"/>
    <s v="AR # 300321"/>
    <m/>
    <n v="117576"/>
    <s v="24.11.2025"/>
    <m/>
    <m/>
    <m/>
    <m/>
    <x v="4"/>
    <x v="1"/>
    <s v="Faisalabad"/>
    <n v="3020000515"/>
    <x v="29"/>
    <m/>
    <m/>
    <m/>
    <m/>
    <m/>
    <m/>
    <n v="1186483.5"/>
    <n v="26"/>
    <n v="112945"/>
    <m/>
    <m/>
    <m/>
    <m/>
    <m/>
    <m/>
    <m/>
    <m/>
    <m/>
    <m/>
    <m/>
    <m/>
    <m/>
    <m/>
    <m/>
    <m/>
    <m/>
    <m/>
    <m/>
    <m/>
    <m/>
    <m/>
    <m/>
    <m/>
    <m/>
    <m/>
    <s v="on Track"/>
    <s v="on Track"/>
    <m/>
    <s v="Placed"/>
    <m/>
    <m/>
    <m/>
    <m/>
    <m/>
    <m/>
    <m/>
    <m/>
    <m/>
    <m/>
    <m/>
    <m/>
    <n v="0"/>
    <m/>
    <m/>
    <m/>
    <m/>
    <m/>
    <m/>
    <m/>
    <m/>
    <m/>
    <m/>
    <n v="3202372.3333333335"/>
    <n v="-204333.33333333334"/>
    <n v="2998039"/>
    <n v="0"/>
    <n v="0"/>
    <n v="0"/>
    <n v="0"/>
    <n v="599607.80000000005"/>
    <m/>
    <n v="2998039"/>
    <m/>
    <e v="#DIV/0!"/>
    <m/>
    <e v="#DIV/0!"/>
    <m/>
    <e v="#DIV/0!"/>
    <m/>
    <n v="0"/>
    <n v="0"/>
  </r>
  <r>
    <s v="Hammad Noor"/>
    <x v="1"/>
    <s v="Selectra PRO M Lite"/>
    <n v="15002128"/>
    <s v="Clinical Chemistry"/>
    <m/>
    <m/>
    <m/>
    <m/>
    <m/>
    <s v="24.11.2025"/>
    <m/>
    <m/>
    <x v="4"/>
    <x v="1"/>
    <s v="Faisalabad"/>
    <n v="3020000515"/>
    <x v="29"/>
    <m/>
    <s v="Near Pinum Hospital, Faisalabad"/>
    <s v="041-9210082"/>
    <s v="not available"/>
    <s v="9020100-7"/>
    <m/>
    <n v="4620000"/>
    <n v="36"/>
    <n v="1411927"/>
    <m/>
    <m/>
    <m/>
    <m/>
    <m/>
    <m/>
    <m/>
    <m/>
    <m/>
    <m/>
    <m/>
    <m/>
    <m/>
    <m/>
    <m/>
    <m/>
    <m/>
    <m/>
    <m/>
    <m/>
    <m/>
    <m/>
    <m/>
    <m/>
    <m/>
    <m/>
    <s v="on Track"/>
    <s v="on Track"/>
    <m/>
    <s v="Placed"/>
    <m/>
    <m/>
    <m/>
    <m/>
    <n v="1710000"/>
    <m/>
    <m/>
    <m/>
    <m/>
    <m/>
    <m/>
    <m/>
    <n v="1710000"/>
    <m/>
    <m/>
    <m/>
    <m/>
    <m/>
    <m/>
    <m/>
    <m/>
    <m/>
    <m/>
    <n v="3484134.2"/>
    <n v="5106783.6700000027"/>
    <n v="8590917.8700000029"/>
    <n v="1516016"/>
    <m/>
    <m/>
    <n v="1516016"/>
    <n v="3368977.9566666675"/>
    <m/>
    <n v="11816933.870000003"/>
    <n v="3"/>
    <n v="3938977.9566666675"/>
    <m/>
    <n v="2527050.9566666675"/>
    <m/>
    <n v="842350.31888888916"/>
    <m/>
    <n v="0"/>
    <n v="0"/>
  </r>
  <r>
    <s v="Hammad Noor"/>
    <x v="3"/>
    <s v="Swelab Alfa Plus Standard"/>
    <n v="15001967"/>
    <s v="Hematology"/>
    <m/>
    <m/>
    <m/>
    <m/>
    <m/>
    <s v="24.11.2025"/>
    <m/>
    <m/>
    <x v="4"/>
    <x v="1"/>
    <s v="Faisalabad"/>
    <n v="3020000393"/>
    <x v="30"/>
    <m/>
    <s v="Near Pinum Hospital, Faisalabad"/>
    <s v="041-9210082"/>
    <s v="not available"/>
    <s v="9020100-7"/>
    <m/>
    <n v="1186483.33333333"/>
    <n v="26"/>
    <n v="108475"/>
    <m/>
    <m/>
    <m/>
    <m/>
    <m/>
    <m/>
    <m/>
    <m/>
    <m/>
    <m/>
    <m/>
    <m/>
    <m/>
    <m/>
    <m/>
    <m/>
    <m/>
    <m/>
    <m/>
    <m/>
    <m/>
    <m/>
    <m/>
    <m/>
    <m/>
    <m/>
    <s v="on Track"/>
    <s v="on Track"/>
    <m/>
    <s v="Placed"/>
    <m/>
    <m/>
    <m/>
    <m/>
    <m/>
    <m/>
    <m/>
    <m/>
    <m/>
    <m/>
    <m/>
    <m/>
    <n v="0"/>
    <m/>
    <m/>
    <m/>
    <m/>
    <m/>
    <m/>
    <m/>
    <m/>
    <m/>
    <m/>
    <m/>
    <m/>
    <n v="0"/>
    <n v="0"/>
    <n v="700022.02"/>
    <n v="208452.33333333334"/>
    <n v="908474.35333333339"/>
    <n v="302824.78444444446"/>
    <m/>
    <n v="908474.33333333337"/>
    <n v="2"/>
    <n v="454237.16666666669"/>
    <m/>
    <n v="345762.16666666669"/>
    <m/>
    <n v="172881.08333333334"/>
    <m/>
    <n v="0"/>
    <n v="0"/>
  </r>
  <r>
    <s v="Hammad Noor"/>
    <x v="0"/>
    <s v="iFlash 1800"/>
    <n v="15002462"/>
    <s v="Immunoassay"/>
    <n v="3002000014"/>
    <s v="N/A"/>
    <s v="IA00093122"/>
    <s v="03.08.2022"/>
    <s v="06.29.2022"/>
    <s v="20.07.2022"/>
    <s v="Available"/>
    <m/>
    <x v="1"/>
    <x v="0"/>
    <s v="Karachi"/>
    <n v="3020000539"/>
    <x v="31"/>
    <s v="Dr. Burjor"/>
    <s v=" V28F+QFR, Garden Rd, near Makki Masjid، Preedy Quarters Karachi, Karachi"/>
    <s v="0300-8259525"/>
    <s v="gbanklesaria.nursing.home@gmail.com"/>
    <s v="1539892-7"/>
    <m/>
    <n v="2675000"/>
    <n v="16"/>
    <n v="493226.5"/>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s v="Work load decreased, it is advisable to revist the case"/>
    <s v="Complete workload is on our equipment as they don’t have any back up equipment in their lab. Supplies issue has been resolved now, and business will be improved."/>
    <s v="We've received order of 286,000 in August 2023 "/>
    <s v="Need to revise the business case as per Average Reagent Sales"/>
    <s v="Revised business case has been sent to Mr, Ebad for further approvals"/>
    <s v="Order received for Oct 2023 and its on hold."/>
    <m/>
    <m/>
    <m/>
    <m/>
    <s v="Prices will revies"/>
    <s v="Under discussion on prices, order will receive soon "/>
    <s v="We have submitt prices revision letter, patient volume decressed."/>
    <m/>
    <s v="2nd letter of price revision submitted, with in next 2 weeks will share update on prices revision customer is agreed to increase 10% but we ask for atleast 25% price revision"/>
    <s v="15 % prices has been revised "/>
    <m/>
    <m/>
    <m/>
    <m/>
    <s v="Korangi WH "/>
    <m/>
    <n v="1"/>
    <m/>
    <n v="222763.96"/>
    <n v="270400"/>
    <n v="0"/>
    <n v="0"/>
    <n v="629406.82000000007"/>
    <n v="0"/>
    <n v="0"/>
    <n v="0"/>
    <n v="0"/>
    <n v="268415"/>
    <n v="19210"/>
    <n v="90851.82"/>
    <n v="1501047.6"/>
    <n v="0"/>
    <n v="0"/>
    <n v="0"/>
    <n v="0"/>
    <n v="0"/>
    <n v="0"/>
    <n v="0"/>
    <n v="0"/>
    <n v="0"/>
    <n v="0"/>
    <n v="0"/>
    <m/>
    <n v="0"/>
    <m/>
    <m/>
    <m/>
    <n v="0"/>
    <n v="0"/>
    <m/>
    <n v="1501047.6"/>
    <n v="35"/>
    <n v="42887.07428571429"/>
    <n v="2074580.96"/>
    <n v="-450339.42571428569"/>
    <s v="Sales behind track, sales every month"/>
    <n v="-12866.840734693877"/>
    <n v="0.4"/>
    <n v="600419.04"/>
    <n v="0.4"/>
  </r>
  <r>
    <s v="Jahangir Jalil"/>
    <x v="2"/>
    <s v="Vitros ECiQ Immunodiagnostic System"/>
    <n v="15002760"/>
    <s v="Immunoassay"/>
    <n v="3002000036"/>
    <s v="N/A"/>
    <n v="30006300"/>
    <s v="31.07.2023"/>
    <s v="20.10.2022"/>
    <s v="20.10.2022"/>
    <s v="Available"/>
    <m/>
    <x v="0"/>
    <x v="0"/>
    <s v="Karachi"/>
    <n v="3020000547"/>
    <x v="32"/>
    <s v="Dr. Syed Durrani"/>
    <s v="R3P2+Q37, Main Korangi Rd, near Kala Pul، Clifton, Karachi"/>
    <s v="021-35392001-2 / 0300-8255140"/>
    <s v="vmedintertrade@yahoo.com"/>
    <m/>
    <s v="42201-8906429-9"/>
    <n v="9297200"/>
    <n v="35"/>
    <n v="829374"/>
    <m/>
    <m/>
    <s v="Equipment not placed yet, due to unavailability"/>
    <s v="Equipment not placed yet, due to unavailability"/>
    <s v="machine under installation phase "/>
    <m/>
    <s v="machine under installation phase "/>
    <s v="First Reagents order will be issued within September as they are in finalizing stage of tender process"/>
    <s v="Equipment installed, validation done"/>
    <s v="Waiting to receive the PO from Customer end."/>
    <s v="First Order received through Distributor V-MED Inter. (amount: 1,100,000)"/>
    <s v="We'll be receiving continuous order of committed amount"/>
    <m/>
    <m/>
    <m/>
    <m/>
    <s v="last tender was scraped, new tender is awarded First PO is received,"/>
    <m/>
    <s v="Machine installed in Jan 24, first tor run in Jan 2024,  last tender was scraped "/>
    <m/>
    <e v="#REF!"/>
    <m/>
    <m/>
    <s v="no sales in july"/>
    <m/>
    <m/>
    <s v="Tender in process"/>
    <s v="Tender Finalize by April 30"/>
    <n v="1"/>
    <s v="Placed"/>
    <n v="867000"/>
    <n v="1552000"/>
    <n v="1838173.12"/>
    <n v="0"/>
    <n v="3924900"/>
    <n v="850200"/>
    <n v="0"/>
    <n v="0"/>
    <n v="4129498"/>
    <n v="1860000"/>
    <n v="0"/>
    <n v="3382500"/>
    <n v="18404271.120000001"/>
    <n v="0"/>
    <n v="610087.5"/>
    <n v="0"/>
    <n v="547499.5"/>
    <n v="0"/>
    <n v="22500"/>
    <n v="0"/>
    <n v="0"/>
    <n v="0"/>
    <m/>
    <m/>
    <m/>
    <n v="1180087"/>
    <n v="0"/>
    <n v="0"/>
    <n v="0"/>
    <n v="0"/>
    <n v="0"/>
    <m/>
    <n v="19584358.120000001"/>
    <n v="19"/>
    <n v="1030755.6905263158"/>
    <n v="1463456.7519999994"/>
    <n v="201381.69052631583"/>
    <s v="Sales on track"/>
    <n v="10599.036343490307"/>
    <n v="0.4"/>
    <n v="7833743.2480000006"/>
    <n v="0.35"/>
  </r>
  <r>
    <s v="Jahangir Jalil"/>
    <x v="2"/>
    <s v="Vitros ECiQ Immunodiagnostic System"/>
    <n v="15002760"/>
    <s v="Immunoassay"/>
    <n v="3002000024"/>
    <s v="N/A"/>
    <n v="30006173"/>
    <m/>
    <m/>
    <s v="09.02.2024"/>
    <m/>
    <m/>
    <x v="1"/>
    <x v="0"/>
    <s v="Karachi"/>
    <n v="3020000547"/>
    <x v="33"/>
    <m/>
    <s v="115-C, Commercial Area &quot;B&quot; Near Tooba Masjid, DHA Phase-I Karachi"/>
    <s v="0300-8255140"/>
    <s v="vmedintertrade@yahoo.com"/>
    <s v="1365220-6"/>
    <s v="42201-8906429-9"/>
    <n v="10513266"/>
    <n v="36"/>
    <n v="868556"/>
    <m/>
    <m/>
    <m/>
    <m/>
    <m/>
    <m/>
    <m/>
    <m/>
    <m/>
    <m/>
    <m/>
    <m/>
    <m/>
    <m/>
    <m/>
    <m/>
    <m/>
    <m/>
    <e v="#REF!"/>
    <m/>
    <m/>
    <m/>
    <m/>
    <m/>
    <m/>
    <m/>
    <m/>
    <m/>
    <m/>
    <m/>
    <m/>
    <m/>
    <m/>
    <m/>
    <m/>
    <m/>
    <m/>
    <m/>
    <m/>
    <m/>
    <m/>
    <n v="1501170"/>
    <n v="1501170"/>
    <n v="0"/>
    <n v="610087.5"/>
    <n v="0"/>
    <n v="547499.5"/>
    <n v="0"/>
    <n v="22500"/>
    <n v="0"/>
    <m/>
    <m/>
    <m/>
    <m/>
    <m/>
    <n v="1180087"/>
    <m/>
    <m/>
    <m/>
    <n v="0"/>
    <n v="0"/>
    <m/>
    <n v="2681257"/>
    <n v="8"/>
    <n v="335157.125"/>
    <n v="9440763.1999999993"/>
    <n v="-533398.875"/>
    <s v="Sales behind track"/>
    <n v="-66674.859375"/>
    <n v="0.4"/>
    <n v="1072502.8"/>
    <n v="0.4"/>
  </r>
  <r>
    <s v="Jahangir Jalil"/>
    <x v="4"/>
    <s v="STA SATELLITE MAX"/>
    <n v="15003000"/>
    <s v="Coagulation Analyzer"/>
    <n v="3002000102"/>
    <m/>
    <n v="1614"/>
    <m/>
    <m/>
    <s v="14.05.2025"/>
    <m/>
    <m/>
    <x v="0"/>
    <x v="2"/>
    <s v="Islamabad"/>
    <n v="3020000580"/>
    <x v="34"/>
    <m/>
    <m/>
    <m/>
    <m/>
    <m/>
    <m/>
    <n v="3432757"/>
    <n v="36"/>
    <n v="251530"/>
    <m/>
    <m/>
    <m/>
    <m/>
    <m/>
    <m/>
    <m/>
    <m/>
    <m/>
    <m/>
    <m/>
    <m/>
    <m/>
    <m/>
    <m/>
    <m/>
    <m/>
    <m/>
    <m/>
    <m/>
    <m/>
    <m/>
    <m/>
    <m/>
    <m/>
    <m/>
    <s v="Behind track"/>
    <s v="sterrers required, sales will be on track"/>
    <n v="1"/>
    <s v="Placed"/>
    <m/>
    <m/>
    <m/>
    <m/>
    <m/>
    <m/>
    <m/>
    <m/>
    <m/>
    <m/>
    <m/>
    <m/>
    <n v="0"/>
    <n v="0"/>
    <n v="450910"/>
    <n v="417700"/>
    <n v="0"/>
    <n v="76000"/>
    <n v="289400"/>
    <n v="282000"/>
    <n v="332000"/>
    <n v="0"/>
    <n v="478700"/>
    <n v="105000"/>
    <n v="118700"/>
    <n v="2550410"/>
    <n v="274000"/>
    <n v="160000"/>
    <n v="105000"/>
    <n v="539000"/>
    <n v="206900"/>
    <m/>
    <n v="3089410"/>
    <n v="12"/>
    <n v="257450.83333333334"/>
    <n v="2196993"/>
    <n v="5920.833333333343"/>
    <s v="Sales behind track"/>
    <n v="493.40277777777857"/>
    <n v="0.4"/>
    <n v="1235764"/>
    <n v="0.4"/>
  </r>
  <r>
    <s v="Hammad Noor"/>
    <x v="0"/>
    <s v="iFlash 1200"/>
    <n v="15002553"/>
    <s v="Immunoassay"/>
    <m/>
    <m/>
    <s v="ID00176648"/>
    <m/>
    <m/>
    <s v="25.04.2025"/>
    <s v="Available"/>
    <m/>
    <x v="0"/>
    <x v="1"/>
    <s v="Muredke"/>
    <n v="3020000605"/>
    <x v="35"/>
    <s v="N/A"/>
    <s v="EHQ Hospital Road, opposite to baldia office main GT road, kamoki, punjab, Gujranwala"/>
    <s v="0307-7781900"/>
    <s v="aliaslam2420@gmail.com"/>
    <m/>
    <s v="34102-5074342-3"/>
    <n v="2565000"/>
    <n v="29"/>
    <n v="154595"/>
    <m/>
    <m/>
    <m/>
    <m/>
    <m/>
    <m/>
    <m/>
    <m/>
    <m/>
    <m/>
    <m/>
    <m/>
    <m/>
    <m/>
    <m/>
    <m/>
    <m/>
    <m/>
    <m/>
    <m/>
    <m/>
    <m/>
    <m/>
    <m/>
    <m/>
    <m/>
    <s v="Pull Back need followup"/>
    <s v="Pull back by April 30"/>
    <n v="1"/>
    <s v="Placed"/>
    <m/>
    <m/>
    <m/>
    <m/>
    <m/>
    <m/>
    <m/>
    <m/>
    <m/>
    <m/>
    <m/>
    <m/>
    <n v="0"/>
    <m/>
    <m/>
    <m/>
    <n v="505400"/>
    <n v="0"/>
    <n v="98900"/>
    <n v="48800"/>
    <n v="0"/>
    <n v="-91200"/>
    <m/>
    <m/>
    <n v="97600"/>
    <n v="659500"/>
    <n v="0"/>
    <n v="0"/>
    <n v="212900"/>
    <n v="212900"/>
    <n v="77625"/>
    <m/>
    <n v="872400"/>
    <n v="8"/>
    <n v="109050"/>
    <n v="2216040"/>
    <n v="-45545"/>
    <s v="Sales on track"/>
    <n v="-5693.125"/>
    <n v="0.4"/>
    <n v="348960"/>
    <n v="0.4"/>
  </r>
  <r>
    <s v="Jahangir Jalil"/>
    <x v="7"/>
    <s v="EC90"/>
    <n v="15002674"/>
    <s v="Electrolyte Analyzer"/>
    <n v="3002000103"/>
    <m/>
    <s v="3279-2-202108"/>
    <m/>
    <m/>
    <s v="14.05.2025"/>
    <m/>
    <m/>
    <x v="0"/>
    <x v="1"/>
    <s v="Multan"/>
    <n v="3020000633"/>
    <x v="36"/>
    <s v="Govt. Hospital"/>
    <s v="Farwa Chowk, Abdali road "/>
    <s v="061-9200919"/>
    <s v="N/A"/>
    <s v="9020100-7"/>
    <m/>
    <n v="1170000"/>
    <n v="7"/>
    <n v="358020"/>
    <m/>
    <m/>
    <m/>
    <m/>
    <m/>
    <m/>
    <m/>
    <m/>
    <m/>
    <m/>
    <m/>
    <m/>
    <m/>
    <m/>
    <m/>
    <m/>
    <m/>
    <m/>
    <m/>
    <m/>
    <m/>
    <m/>
    <m/>
    <m/>
    <m/>
    <m/>
    <s v="on Track"/>
    <s v="Qaurterly Orders - on track"/>
    <n v="1"/>
    <s v="Placed"/>
    <m/>
    <n v="2164333.5"/>
    <m/>
    <m/>
    <m/>
    <m/>
    <n v="88378.040000000008"/>
    <m/>
    <m/>
    <n v="1874000"/>
    <m/>
    <m/>
    <n v="4126711.54"/>
    <m/>
    <m/>
    <n v="1382075"/>
    <m/>
    <n v="0"/>
    <n v="0"/>
    <n v="1382075"/>
    <n v="0"/>
    <n v="1966982.8"/>
    <m/>
    <m/>
    <m/>
    <n v="4731132.8"/>
    <n v="0"/>
    <n v="1229364.25"/>
    <n v="0"/>
    <n v="1229364.25"/>
    <n v="409788.08333333331"/>
    <s v="Will discuss with Humayun"/>
    <n v="10087208.59"/>
    <n v="37"/>
    <n v="272627.25918918918"/>
    <n v="-2864883.4360000002"/>
    <n v="-85392.740810810821"/>
    <m/>
    <n v="-2307.9119138056981"/>
    <n v="0.4"/>
    <n v="4034883.4360000002"/>
    <n v="0.4"/>
  </r>
  <r>
    <s v="Hammad Noor"/>
    <x v="1"/>
    <s v="Selectra Mach 5"/>
    <n v="15002463"/>
    <s v="Clinical Chemistry"/>
    <n v="3002000018"/>
    <s v="N/A"/>
    <s v="22-5026"/>
    <s v="05.09.2022"/>
    <s v="08.26.2022"/>
    <s v="30.08.2022"/>
    <s v="Available"/>
    <m/>
    <x v="0"/>
    <x v="1"/>
    <s v="Multan"/>
    <n v="3020000633"/>
    <x v="36"/>
    <s v="Govt. Hospital"/>
    <s v="Farwa Chowk, Abdali road "/>
    <s v="061-9200919"/>
    <s v="N/A"/>
    <s v="9020100-7"/>
    <m/>
    <n v="4500000"/>
    <n v="11"/>
    <n v="1237668"/>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s v="wil invoice in Q3 &amp; Q4, 4 Mio each"/>
    <s v=" we have receieved an order of 10 million will be invoice in Q3 ,Q4 we will cover our deficit in Q3. Govt institute ."/>
    <s v="Order Recevied "/>
    <s v="4 Million order will be invoice this month "/>
    <m/>
    <m/>
    <m/>
    <m/>
    <m/>
    <m/>
    <s v="Payment issue - Order in hand"/>
    <m/>
    <s v="Sales are on track. 3.8mio order in hand, it will be invoiced."/>
    <m/>
    <s v="Revised case"/>
    <m/>
    <m/>
    <m/>
    <m/>
    <m/>
    <s v="Behind track"/>
    <s v="Tender due on 20 April, contract renew in July"/>
    <n v="1"/>
    <s v="Placed"/>
    <n v="0"/>
    <n v="5613694.8999999994"/>
    <n v="0"/>
    <n v="0"/>
    <n v="0"/>
    <n v="0"/>
    <n v="25423.73"/>
    <n v="0"/>
    <n v="0"/>
    <n v="269359.42"/>
    <n v="1626042.64"/>
    <n v="865180.92999999993"/>
    <n v="8399701.6199999992"/>
    <n v="0"/>
    <n v="0"/>
    <n v="-135593"/>
    <n v="2032892"/>
    <n v="0"/>
    <m/>
    <n v="42553"/>
    <n v="0"/>
    <n v="343605.15"/>
    <m/>
    <n v="3825383"/>
    <m/>
    <n v="6108840.1500000004"/>
    <n v="2118492.66"/>
    <n v="0"/>
    <n v="0"/>
    <n v="2118492.66"/>
    <n v="1485968.915"/>
    <m/>
    <n v="16627034.43"/>
    <n v="36"/>
    <n v="461862.0675"/>
    <n v="-2982165.4934999999"/>
    <n v="-775805.9325"/>
    <s v="Sales behind track"/>
    <n v="-21550.164791666666"/>
    <n v="0.45"/>
    <n v="7482165.4934999999"/>
    <n v="0.45"/>
  </r>
  <r>
    <s v="Hammad Noor"/>
    <x v="1"/>
    <s v="Selectra Mach 5"/>
    <n v="15002463"/>
    <s v="Clinical Chemistry"/>
    <m/>
    <m/>
    <m/>
    <m/>
    <m/>
    <s v="27.10.2025"/>
    <m/>
    <m/>
    <x v="2"/>
    <x v="1"/>
    <s v="Multan"/>
    <n v="3020000633"/>
    <x v="37"/>
    <s v="Govt. Hospital"/>
    <s v="Farwa Chowk, Abdali road "/>
    <s v="061-9200919"/>
    <s v="N/A"/>
    <s v="9020100-7"/>
    <m/>
    <n v="7633423"/>
    <n v="38"/>
    <n v="2084692"/>
    <m/>
    <m/>
    <m/>
    <m/>
    <m/>
    <m/>
    <m/>
    <m/>
    <m/>
    <m/>
    <m/>
    <m/>
    <m/>
    <m/>
    <m/>
    <m/>
    <m/>
    <m/>
    <m/>
    <m/>
    <m/>
    <m/>
    <m/>
    <m/>
    <m/>
    <m/>
    <s v="New Installation"/>
    <s v="Tender due on 20 April, contract renew in July"/>
    <m/>
    <s v="Placed"/>
    <m/>
    <m/>
    <m/>
    <m/>
    <m/>
    <m/>
    <m/>
    <m/>
    <m/>
    <m/>
    <m/>
    <m/>
    <n v="0"/>
    <m/>
    <m/>
    <m/>
    <m/>
    <m/>
    <m/>
    <m/>
    <m/>
    <m/>
    <m/>
    <m/>
    <m/>
    <n v="0"/>
    <n v="0"/>
    <n v="0"/>
    <n v="0"/>
    <n v="0"/>
    <n v="0"/>
    <m/>
    <n v="0"/>
    <m/>
    <e v="#DIV/0!"/>
    <m/>
    <e v="#DIV/0!"/>
    <m/>
    <e v="#DIV/0!"/>
    <m/>
    <n v="0"/>
    <n v="0"/>
  </r>
  <r>
    <s v="Jahangir Jalil"/>
    <x v="2"/>
    <s v="Vitros ECiQ Immunodiagnostic System (Refurb)"/>
    <n v="15002760"/>
    <s v="Immunoassay"/>
    <s v="AR # 300401"/>
    <m/>
    <n v="30006408"/>
    <m/>
    <m/>
    <s v="04.06.2025"/>
    <m/>
    <s v="Appropriation request pending issued against B.C"/>
    <x v="0"/>
    <x v="1"/>
    <s v="Mandi Bahauddin"/>
    <n v="3020000645"/>
    <x v="38"/>
    <m/>
    <s v="Ali Imran Waseer Plaza, Phalia Road, Near Safe Way CNG, Punjab"/>
    <s v="0301-3187007"/>
    <s v="mian.muhsaeed@gmail.com"/>
    <s v="4466935-6"/>
    <m/>
    <n v="14396400"/>
    <n v="36"/>
    <n v="984486"/>
    <m/>
    <m/>
    <m/>
    <m/>
    <m/>
    <m/>
    <m/>
    <m/>
    <m/>
    <m/>
    <m/>
    <m/>
    <m/>
    <m/>
    <m/>
    <m/>
    <m/>
    <m/>
    <m/>
    <m/>
    <m/>
    <m/>
    <m/>
    <m/>
    <m/>
    <m/>
    <s v="Due to shortages of stock"/>
    <s v="To be trf to GAMCA, April 30"/>
    <n v="1"/>
    <s v="Not funtional - At customer site"/>
    <m/>
    <m/>
    <m/>
    <m/>
    <m/>
    <m/>
    <m/>
    <m/>
    <m/>
    <m/>
    <m/>
    <m/>
    <n v="0"/>
    <m/>
    <m/>
    <m/>
    <m/>
    <m/>
    <n v="868405"/>
    <n v="817823"/>
    <n v="0"/>
    <n v="0"/>
    <n v="0"/>
    <m/>
    <m/>
    <n v="1686228"/>
    <n v="0"/>
    <n v="0"/>
    <n v="0"/>
    <n v="0"/>
    <n v="0"/>
    <m/>
    <n v="1686228"/>
    <n v="5"/>
    <n v="337245.6"/>
    <n v="13721908.800000001"/>
    <n v="-302952"/>
    <s v="Sales behind track"/>
    <n v="-60590.400000000001"/>
    <n v="0.4"/>
    <n v="674491.20000000007"/>
    <n v="0.4"/>
  </r>
  <r>
    <s v="Jahangir Jalil"/>
    <x v="8"/>
    <s v="Zybio U3600"/>
    <n v="15003367"/>
    <s v="Urine Analyzer"/>
    <m/>
    <m/>
    <n v="324100000639"/>
    <m/>
    <m/>
    <s v="27.05.2025"/>
    <m/>
    <s v="Appropriation request pending issued against B.C"/>
    <x v="0"/>
    <x v="0"/>
    <s v="Karachi"/>
    <n v="3020000647"/>
    <x v="39"/>
    <m/>
    <s v="Plot No Z-482 - 483,  Block 3, Kokan Society, Alamgir Road, Gulshan Town, Sindh"/>
    <s v="0336-2346111"/>
    <s v="amir@alamgirwelfaretrust.com.pk"/>
    <s v="1545651-0"/>
    <m/>
    <n v="3727984"/>
    <n v="36"/>
    <n v="275624"/>
    <m/>
    <m/>
    <m/>
    <m/>
    <m/>
    <m/>
    <m/>
    <m/>
    <m/>
    <m/>
    <m/>
    <m/>
    <m/>
    <m/>
    <m/>
    <m/>
    <m/>
    <m/>
    <m/>
    <m/>
    <m/>
    <m/>
    <m/>
    <m/>
    <m/>
    <m/>
    <s v="Behind track"/>
    <s v="Supply issue due to DRAP"/>
    <n v="1"/>
    <s v="Placed"/>
    <m/>
    <m/>
    <m/>
    <m/>
    <m/>
    <m/>
    <m/>
    <m/>
    <m/>
    <m/>
    <m/>
    <m/>
    <n v="0"/>
    <m/>
    <m/>
    <m/>
    <m/>
    <m/>
    <n v="211900"/>
    <n v="166500"/>
    <n v="216000"/>
    <n v="16200"/>
    <n v="77500"/>
    <n v="16400"/>
    <n v="140000"/>
    <n v="844500"/>
    <n v="0"/>
    <n v="0"/>
    <n v="0"/>
    <n v="0"/>
    <n v="38983.333333333336"/>
    <m/>
    <n v="844500"/>
    <n v="8"/>
    <n v="105562.5"/>
    <n v="3390184"/>
    <n v="-170061.5"/>
    <s v="Sales behind track"/>
    <n v="-21257.6875"/>
    <n v="0.4"/>
    <n v="337800"/>
    <n v="0.4"/>
  </r>
  <r>
    <s v="Hammad Noor"/>
    <x v="1"/>
    <s v="Selectra Mach 5"/>
    <n v="15002463"/>
    <s v="Clinical Chemistry"/>
    <s v="AR # 300402"/>
    <m/>
    <s v="25-5206"/>
    <m/>
    <m/>
    <s v="12.06.2025"/>
    <m/>
    <m/>
    <x v="0"/>
    <x v="0"/>
    <s v="Karachi"/>
    <n v="3020000664"/>
    <x v="40"/>
    <m/>
    <s v="Quaideen Castle 241, Shah-e-Qaideen PECHS, BLOCK-2, New Allah Wali Chorangi"/>
    <s v="021-34541112/03002266780"/>
    <s v="ceo@nhsdiagnostics.com"/>
    <s v="B134403-6"/>
    <m/>
    <n v="8800000"/>
    <n v="35"/>
    <n v="513512"/>
    <m/>
    <m/>
    <m/>
    <m/>
    <m/>
    <m/>
    <m/>
    <m/>
    <m/>
    <m/>
    <m/>
    <m/>
    <m/>
    <m/>
    <m/>
    <m/>
    <m/>
    <m/>
    <m/>
    <m/>
    <m/>
    <m/>
    <m/>
    <m/>
    <m/>
    <m/>
    <s v="behind track need followup"/>
    <s v="follow up done it will be on track "/>
    <n v="1"/>
    <s v="Placed"/>
    <m/>
    <m/>
    <m/>
    <m/>
    <n v="1710000"/>
    <m/>
    <m/>
    <m/>
    <m/>
    <m/>
    <m/>
    <m/>
    <n v="1710000"/>
    <m/>
    <m/>
    <m/>
    <m/>
    <m/>
    <n v="1174394"/>
    <n v="263980"/>
    <n v="0"/>
    <n v="492790"/>
    <m/>
    <m/>
    <n v="191590"/>
    <n v="2122754"/>
    <n v="0"/>
    <n v="180500"/>
    <n v="363600"/>
    <n v="544100"/>
    <n v="183922.5"/>
    <m/>
    <n v="4376854"/>
    <n v="5"/>
    <n v="875370.8"/>
    <n v="6830415.7000000002"/>
    <n v="-1550725"/>
    <s v="Sales behind track"/>
    <n v="-310145"/>
    <n v="0.45"/>
    <n v="1969584.3"/>
    <n v="0.45"/>
  </r>
  <r>
    <s v="Jahangir Jalil"/>
    <x v="2"/>
    <s v="Vitros ECiQ Analyzer"/>
    <n v="15002760"/>
    <s v="Immunoassay"/>
    <s v="AR # 300412"/>
    <m/>
    <n v="30005087"/>
    <m/>
    <m/>
    <s v="19.06.2025"/>
    <m/>
    <m/>
    <x v="0"/>
    <x v="0"/>
    <s v="Karachi"/>
    <n v="3020000664"/>
    <x v="40"/>
    <m/>
    <m/>
    <m/>
    <m/>
    <m/>
    <m/>
    <n v="6938187"/>
    <n v="24"/>
    <n v="618263"/>
    <m/>
    <m/>
    <m/>
    <m/>
    <m/>
    <m/>
    <m/>
    <m/>
    <m/>
    <m/>
    <m/>
    <m/>
    <m/>
    <m/>
    <m/>
    <m/>
    <m/>
    <m/>
    <m/>
    <m/>
    <m/>
    <m/>
    <m/>
    <m/>
    <m/>
    <m/>
    <s v="Pull BAck"/>
    <s v="Pull back - Nasir"/>
    <n v="1"/>
    <s v="Placed"/>
    <m/>
    <m/>
    <m/>
    <m/>
    <m/>
    <m/>
    <m/>
    <m/>
    <m/>
    <m/>
    <m/>
    <m/>
    <n v="0"/>
    <m/>
    <m/>
    <m/>
    <m/>
    <m/>
    <m/>
    <n v="951500"/>
    <n v="72600"/>
    <n v="417200"/>
    <n v="109500"/>
    <n v="149200"/>
    <m/>
    <n v="1700000"/>
    <n v="0"/>
    <n v="0"/>
    <n v="0"/>
    <n v="0"/>
    <n v="51740"/>
    <m/>
    <n v="1700000"/>
    <n v="5"/>
    <n v="340000"/>
    <n v="6938187"/>
    <n v="-278263"/>
    <m/>
    <n v="-55652.6"/>
    <m/>
    <n v="0"/>
    <n v="0"/>
  </r>
  <r>
    <s v="Jahangir Jalil"/>
    <x v="8"/>
    <s v="Zybio U3600"/>
    <n v="15003367"/>
    <s v="Urine Analyzer"/>
    <m/>
    <m/>
    <m/>
    <m/>
    <m/>
    <s v="30.09.2025"/>
    <m/>
    <m/>
    <x v="4"/>
    <x v="0"/>
    <s v="Karachi"/>
    <n v="3020000678"/>
    <x v="41"/>
    <m/>
    <m/>
    <m/>
    <m/>
    <m/>
    <m/>
    <n v="4528470"/>
    <n v="36"/>
    <n v="306830"/>
    <m/>
    <m/>
    <m/>
    <m/>
    <m/>
    <m/>
    <m/>
    <m/>
    <m/>
    <m/>
    <m/>
    <m/>
    <m/>
    <m/>
    <m/>
    <m/>
    <m/>
    <m/>
    <m/>
    <m/>
    <m/>
    <m/>
    <m/>
    <m/>
    <m/>
    <m/>
    <s v="Behind track"/>
    <s v="Supply issue due to DRAP"/>
    <m/>
    <s v="Placed"/>
    <m/>
    <m/>
    <m/>
    <m/>
    <m/>
    <m/>
    <m/>
    <m/>
    <m/>
    <m/>
    <m/>
    <m/>
    <n v="0"/>
    <m/>
    <m/>
    <m/>
    <m/>
    <m/>
    <m/>
    <m/>
    <m/>
    <n v="299000"/>
    <m/>
    <n v="64500"/>
    <n v="180000"/>
    <n v="543500"/>
    <m/>
    <m/>
    <m/>
    <n v="0"/>
    <n v="122250"/>
    <m/>
    <n v="543500"/>
    <m/>
    <e v="#DIV/0!"/>
    <m/>
    <e v="#DIV/0!"/>
    <m/>
    <e v="#DIV/0!"/>
    <m/>
    <n v="0"/>
    <n v="0"/>
  </r>
  <r>
    <s v="Jahangir Jalil"/>
    <x v="7"/>
    <s v="ECL760 Refurb"/>
    <n v="15002667"/>
    <s v="Coagulation Analyzer"/>
    <n v="3002000040"/>
    <s v="N/A"/>
    <s v="56-71-160517"/>
    <s v="10.02.2023"/>
    <s v="31.10.2023"/>
    <s v="31.10.2023"/>
    <s v="Available"/>
    <m/>
    <x v="1"/>
    <x v="0"/>
    <s v="Karachi"/>
    <n v="3020000692"/>
    <x v="42"/>
    <s v="N/A"/>
    <s v="Sector 48-H, Creek Road, Korangi Creek, Karachi"/>
    <s v="0302-8586998"/>
    <s v="psghospital123@gmail.com"/>
    <s v="7497628-7"/>
    <m/>
    <n v="1375572"/>
    <n v="38"/>
    <n v="134307"/>
    <m/>
    <m/>
    <m/>
    <m/>
    <m/>
    <m/>
    <m/>
    <m/>
    <m/>
    <m/>
    <m/>
    <m/>
    <m/>
    <m/>
    <m/>
    <m/>
    <m/>
    <m/>
    <s v="Price/workload revision - till 15 April 2024"/>
    <m/>
    <s v="New tender prices submitted, technical evaluation of tender is in process. "/>
    <s v="New tender in technical Evalualtion"/>
    <m/>
    <m/>
    <m/>
    <m/>
    <m/>
    <m/>
    <m/>
    <m/>
    <n v="0"/>
    <n v="118680"/>
    <n v="0"/>
    <n v="0"/>
    <n v="118390"/>
    <n v="325150"/>
    <n v="0"/>
    <n v="0"/>
    <n v="0"/>
    <n v="0"/>
    <n v="212120"/>
    <n v="0"/>
    <n v="774340"/>
    <n v="0"/>
    <n v="185720"/>
    <n v="0"/>
    <n v="73240"/>
    <n v="0"/>
    <n v="0"/>
    <n v="0"/>
    <n v="0"/>
    <n v="0"/>
    <m/>
    <m/>
    <m/>
    <n v="258960"/>
    <n v="0"/>
    <n v="0"/>
    <m/>
    <n v="0"/>
    <n v="0"/>
    <m/>
    <n v="1033300"/>
    <n v="32"/>
    <n v="32290.625"/>
    <n v="962252"/>
    <n v="-102016.375"/>
    <s v="Sales behind track"/>
    <n v="-3188.01171875"/>
    <n v="0.4"/>
    <n v="413320"/>
    <n v="0.4"/>
  </r>
  <r>
    <s v="Hammad Noor"/>
    <x v="1"/>
    <s v="Selectra Mach 5"/>
    <n v="15002463"/>
    <s v="Clinical Chemistry"/>
    <n v="3002000012"/>
    <s v="N/A"/>
    <s v="22-5015"/>
    <s v="28.07.2022"/>
    <s v="06.29.2022"/>
    <s v="07.07.2022"/>
    <s v="Available"/>
    <m/>
    <x v="1"/>
    <x v="0"/>
    <s v="Karachi"/>
    <n v="3020000692"/>
    <x v="42"/>
    <s v="_x000a_Dr. Danish Muhammad Khan"/>
    <s v="Civil Hospital, New Labour Colony Nanakwara, Karachi, Karachi City, Sindh"/>
    <s v="0321-8784310"/>
    <s v="psghospital123@gamil.com"/>
    <s v="7497628-7"/>
    <m/>
    <m/>
    <m/>
    <m/>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ve received order of 233,000 in August 2023 due to workload has been divided between us and ROCHE"/>
    <s v="We've received required spare parts and consumables which will help us to improve our business."/>
    <s v="Machine was under observation from customer "/>
    <s v="Working with customer to get the desired orders as per comittment"/>
    <m/>
    <m/>
    <m/>
    <m/>
    <s v="machine wasnt in Working condition"/>
    <s v="since last month machine is working properply "/>
    <m/>
    <m/>
    <s v="New tender prices submitted, technical evaluation of tender is in process. "/>
    <s v="New tender in technical Evalualtion"/>
    <m/>
    <m/>
    <m/>
    <m/>
    <m/>
    <m/>
    <m/>
    <m/>
    <n v="351000"/>
    <n v="309320"/>
    <n v="0"/>
    <n v="0"/>
    <n v="0"/>
    <n v="0"/>
    <n v="0"/>
    <n v="0"/>
    <n v="0"/>
    <n v="0"/>
    <n v="0"/>
    <n v="0"/>
    <n v="660320"/>
    <n v="0"/>
    <n v="398580"/>
    <m/>
    <n v="254800"/>
    <n v="180000"/>
    <n v="555900"/>
    <m/>
    <m/>
    <m/>
    <m/>
    <m/>
    <m/>
    <n v="1389280"/>
    <m/>
    <m/>
    <m/>
    <n v="0"/>
    <n v="0"/>
    <m/>
    <n v="2049600"/>
    <n v="8"/>
    <n v="256200"/>
    <n v="-922320"/>
    <n v="256200"/>
    <s v="Sales on track"/>
    <n v="32025"/>
    <n v="0.45"/>
    <n v="922320"/>
    <n v="0.45"/>
  </r>
  <r>
    <s v="Hammad Noor"/>
    <x v="1"/>
    <s v="Selectra Mach 5"/>
    <n v="15002463"/>
    <s v="Clinical Chemistry"/>
    <n v="3002000012"/>
    <s v="N/A"/>
    <s v="22-5015"/>
    <s v="28.07.2022"/>
    <s v="06.29.2022"/>
    <s v="04.04,2024"/>
    <s v="Not Available"/>
    <m/>
    <x v="5"/>
    <x v="0"/>
    <s v="Karachi"/>
    <n v="3020000692"/>
    <x v="42"/>
    <s v="_x000a_Dr. Danish Muhammad Khan"/>
    <s v="Civil Hospital, New Labour Colony Nanakwara, Karachi, Karachi City, Sindh"/>
    <s v="0321-8784310"/>
    <s v="psghospital123@gamil.com"/>
    <s v="7497628-7"/>
    <m/>
    <n v="4500000"/>
    <n v="37"/>
    <n v="385623"/>
    <m/>
    <m/>
    <m/>
    <m/>
    <m/>
    <m/>
    <m/>
    <m/>
    <m/>
    <m/>
    <m/>
    <m/>
    <m/>
    <m/>
    <m/>
    <m/>
    <m/>
    <m/>
    <m/>
    <m/>
    <m/>
    <s v="New tender in technical Evalualtion"/>
    <m/>
    <s v="No sales in June and July"/>
    <m/>
    <m/>
    <s v="behind track need followup"/>
    <s v="Follow up - Fasi"/>
    <n v="1"/>
    <s v="Placed"/>
    <n v="351000"/>
    <n v="309320"/>
    <n v="0"/>
    <n v="0"/>
    <n v="561500"/>
    <n v="0"/>
    <n v="0"/>
    <n v="433030"/>
    <n v="0"/>
    <n v="47600"/>
    <n v="0"/>
    <n v="291590"/>
    <n v="1994040"/>
    <n v="0"/>
    <n v="398580"/>
    <n v="0"/>
    <n v="254800"/>
    <n v="180000"/>
    <n v="555900"/>
    <n v="0"/>
    <n v="444470"/>
    <n v="114800"/>
    <n v="440940"/>
    <m/>
    <n v="372653"/>
    <n v="2762143"/>
    <n v="165400"/>
    <n v="0"/>
    <n v="0"/>
    <n v="165400"/>
    <n v="195798.6"/>
    <m/>
    <n v="4921583"/>
    <n v="21"/>
    <n v="234361.09523809524"/>
    <n v="2285287.65"/>
    <n v="-151261.90476190476"/>
    <s v="Sales on track"/>
    <n v="-7202.9478458049889"/>
    <n v="0.45"/>
    <n v="2214712.35"/>
    <n v="0.45"/>
  </r>
  <r>
    <s v="Hammad Noor"/>
    <x v="1"/>
    <s v="Selectra Mach 5"/>
    <n v="15002463"/>
    <s v="Clinical Chemistry"/>
    <n v="3002000011"/>
    <m/>
    <s v="22-5016"/>
    <s v="14.06.2022"/>
    <s v="04.01.2022"/>
    <s v="15.06.2022"/>
    <s v="Available"/>
    <m/>
    <x v="1"/>
    <x v="0"/>
    <s v="Karachi"/>
    <n v="3020000701"/>
    <x v="43"/>
    <s v="Government"/>
    <s v="M. T. Building, Head Office Karachi"/>
    <s v="0334-1047293"/>
    <s v="sanzsoomro34@gmail.com"/>
    <s v="0803450-8"/>
    <s v="-"/>
    <n v="4500000"/>
    <n v="12"/>
    <n v="761989"/>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s v="Machine is out of order"/>
    <s v="Now machine is fixed after the visit of Elitech Team and business will be improved."/>
    <s v="Machine was out of order and now has been installed and validation has been performed."/>
    <s v="Working with customer to get the PO."/>
    <s v="We've received order of 365,000 in Sep 2023 "/>
    <s v="Order value will increase gradually based on equipment proper functioning"/>
    <m/>
    <m/>
    <m/>
    <m/>
    <s v="machine wasnt in Working condition"/>
    <s v="since last month machine is working properply "/>
    <s v="Problem with machines. Now new business case will be prepared"/>
    <m/>
    <s v="New business case submitted for approval, due to machine problem."/>
    <s v="new tender with new prices has been submitted, under technical evaluation"/>
    <m/>
    <s v="The machine is still there and one of its part is required.that part is in import will bw delievered soon"/>
    <m/>
    <m/>
    <m/>
    <m/>
    <m/>
    <m/>
    <m/>
    <m/>
    <m/>
    <m/>
    <m/>
    <m/>
    <m/>
    <m/>
    <m/>
    <m/>
    <m/>
    <m/>
    <n v="0"/>
    <m/>
    <m/>
    <m/>
    <m/>
    <m/>
    <m/>
    <m/>
    <m/>
    <m/>
    <m/>
    <m/>
    <m/>
    <n v="0"/>
    <m/>
    <m/>
    <m/>
    <n v="0"/>
    <n v="0"/>
    <s v="Machine will be pulled back, Not returned yet"/>
    <n v="0"/>
    <n v="26"/>
    <n v="0"/>
    <n v="4500000"/>
    <n v="-761989"/>
    <s v="No sales after Oct-23"/>
    <n v="-29307.26923076923"/>
    <n v="0.45"/>
    <n v="0"/>
    <n v="0.45"/>
  </r>
  <r>
    <s v="Jahangir Jalil"/>
    <x v="7"/>
    <s v="Laura XL"/>
    <n v="15002673"/>
    <s v="Urine Analyzer"/>
    <n v="3002000061"/>
    <s v="N/A"/>
    <s v="27-x2-130818"/>
    <m/>
    <s v="21.11.2023"/>
    <s v="29.02.2024"/>
    <s v="Available"/>
    <m/>
    <x v="1"/>
    <x v="1"/>
    <s v="Faisalabad"/>
    <n v="3020000719"/>
    <x v="44"/>
    <s v="Government Institution"/>
    <s v="Sargodha Road, Faisalabad"/>
    <s v="041-9201517"/>
    <s v="ms.ic.fsd@punjab.gov.pk"/>
    <s v="9020773-1"/>
    <m/>
    <n v="3409283"/>
    <n v="13"/>
    <n v="393750"/>
    <m/>
    <m/>
    <m/>
    <m/>
    <m/>
    <m/>
    <m/>
    <m/>
    <m/>
    <m/>
    <m/>
    <m/>
    <m/>
    <m/>
    <m/>
    <m/>
    <m/>
    <m/>
    <m/>
    <m/>
    <m/>
    <m/>
    <m/>
    <m/>
    <m/>
    <m/>
    <s v="Pull Back machine on Site till 18Mach"/>
    <m/>
    <m/>
    <s v="Placed"/>
    <m/>
    <n v="787500"/>
    <n v="787500"/>
    <n v="0"/>
    <n v="0"/>
    <n v="0"/>
    <n v="0"/>
    <n v="0"/>
    <n v="0"/>
    <n v="0"/>
    <n v="0"/>
    <n v="0"/>
    <n v="1575000"/>
    <n v="0"/>
    <n v="0"/>
    <n v="0"/>
    <n v="0"/>
    <n v="0"/>
    <n v="0"/>
    <n v="0"/>
    <n v="0"/>
    <m/>
    <m/>
    <m/>
    <m/>
    <n v="0"/>
    <m/>
    <m/>
    <m/>
    <n v="0"/>
    <n v="0"/>
    <s v="this machine will be replaced by demo 8800050621 serial no 0031-x2-230818/in working condition"/>
    <n v="1575000"/>
    <n v="17"/>
    <n v="92647.058823529413"/>
    <n v="2779283"/>
    <n v="-301102.9411764706"/>
    <s v="Sales behind track"/>
    <n v="-17711.937716262975"/>
    <n v="0.4"/>
    <n v="630000"/>
    <n v="0.4"/>
  </r>
  <r>
    <s v="Jahangir Jalil"/>
    <x v="7"/>
    <s v="Laura XL"/>
    <n v="15002673"/>
    <s v="Urine Analyzer"/>
    <n v="3002000077"/>
    <s v="N/A"/>
    <s v="39-X2-100918"/>
    <s v="29.09.2023"/>
    <s v="24.10.2023"/>
    <s v="24.10.2023"/>
    <s v="In process"/>
    <m/>
    <x v="0"/>
    <x v="0"/>
    <s v="Karachi"/>
    <n v="3020000734"/>
    <x v="45"/>
    <s v="N/A"/>
    <s v="Hyder Buksh Gabol Road,Safora Chowrangi,Karachi"/>
    <s v="0345-2411026, 081-2664461"/>
    <s v="saifur.rehman@mhef.edu.pk"/>
    <s v="1414406-9"/>
    <m/>
    <n v="3393744"/>
    <n v="37"/>
    <n v="469938"/>
    <m/>
    <m/>
    <m/>
    <m/>
    <m/>
    <m/>
    <m/>
    <m/>
    <m/>
    <m/>
    <m/>
    <m/>
    <m/>
    <m/>
    <m/>
    <m/>
    <s v="supplies isnt avaiable "/>
    <s v="PO pending is in hand  0.2 M order in Hand "/>
    <s v="Six month machine was not operational. Now it is operational and sales will increase in two months time"/>
    <m/>
    <m/>
    <m/>
    <m/>
    <m/>
    <m/>
    <m/>
    <s v="behind track need followup"/>
    <s v="follow up done it will be on track "/>
    <m/>
    <s v="Placed"/>
    <n v="411080"/>
    <n v="347580"/>
    <n v="436720"/>
    <n v="0"/>
    <n v="347580"/>
    <n v="0"/>
    <n v="264220"/>
    <n v="146220"/>
    <n v="0"/>
    <n v="156500"/>
    <n v="183000"/>
    <n v="335000.8"/>
    <n v="2627900.7999999998"/>
    <n v="83360"/>
    <n v="298656"/>
    <n v="282609"/>
    <n v="0"/>
    <n v="189351.6"/>
    <n v="496284"/>
    <n v="365316"/>
    <n v="328566"/>
    <n v="432881"/>
    <m/>
    <n v="335396"/>
    <m/>
    <n v="2812419.6"/>
    <n v="165306"/>
    <n v="243590"/>
    <n v="158203.20000000001"/>
    <n v="567099.19999999995"/>
    <n v="225623.8"/>
    <m/>
    <n v="6007419.6000000006"/>
    <n v="35"/>
    <n v="171640.56000000003"/>
    <n v="990776.15999999968"/>
    <n v="-298297.43999999994"/>
    <s v="Sales behind track"/>
    <n v="-8522.7839999999978"/>
    <n v="0.4"/>
    <n v="2402967.8400000003"/>
    <n v="0.4"/>
  </r>
  <r>
    <s v="Hammad Noor"/>
    <x v="1"/>
    <s v="Selectra Mach 5"/>
    <n v="15002463"/>
    <s v="Clinical Chemistry"/>
    <s v="AR # 300236"/>
    <m/>
    <s v="24-5006"/>
    <m/>
    <m/>
    <s v="2.10.2025"/>
    <m/>
    <m/>
    <x v="0"/>
    <x v="1"/>
    <s v="Lahore"/>
    <n v="3020000736"/>
    <x v="46"/>
    <m/>
    <s v="opp eye ward, Mayo Hospital Rd, data ganj buksh town lahore"/>
    <s v="0345-0439404"/>
    <s v="info@kemu.edu.pk"/>
    <s v="9021032-8"/>
    <m/>
    <n v="7091000"/>
    <n v="37"/>
    <n v="510888"/>
    <m/>
    <m/>
    <m/>
    <m/>
    <m/>
    <m/>
    <m/>
    <m/>
    <m/>
    <m/>
    <m/>
    <m/>
    <m/>
    <m/>
    <m/>
    <m/>
    <m/>
    <m/>
    <m/>
    <m/>
    <m/>
    <m/>
    <m/>
    <m/>
    <m/>
    <m/>
    <s v="on Track"/>
    <s v="one time order (no monthly sales) - new tender expected in June"/>
    <n v="1"/>
    <s v="Placed"/>
    <m/>
    <m/>
    <m/>
    <m/>
    <m/>
    <m/>
    <m/>
    <m/>
    <m/>
    <m/>
    <m/>
    <m/>
    <n v="0"/>
    <n v="3051906"/>
    <n v="0"/>
    <n v="8509108"/>
    <n v="0"/>
    <n v="0"/>
    <n v="0"/>
    <n v="0"/>
    <n v="0"/>
    <n v="0"/>
    <n v="0"/>
    <n v="0"/>
    <m/>
    <n v="11561014"/>
    <n v="0"/>
    <n v="0"/>
    <n v="0"/>
    <n v="0"/>
    <n v="0"/>
    <m/>
    <n v="11561014"/>
    <n v="9"/>
    <n v="1284557.111111111"/>
    <n v="1888543.7000000002"/>
    <n v="773669.11111111101"/>
    <s v="Sales on track "/>
    <n v="85963.234567901221"/>
    <n v="0.45"/>
    <n v="5202456.3"/>
    <n v="0.45"/>
  </r>
  <r>
    <s v="Hammad Noor"/>
    <x v="3"/>
    <s v="Swelab Alfa Plus Standard"/>
    <n v="15001967"/>
    <s v="Hematology"/>
    <s v="AR # 300235"/>
    <m/>
    <n v="123216"/>
    <m/>
    <m/>
    <s v="10.02.2025"/>
    <m/>
    <m/>
    <x v="0"/>
    <x v="1"/>
    <s v="Lahore"/>
    <n v="3020000736"/>
    <x v="46"/>
    <m/>
    <s v="opp eye ward, Mayo Hospital Rd, data ganj buksh town lahore"/>
    <s v="0345-0439404"/>
    <s v="info@kemu.edu.pk"/>
    <s v="9021032-8"/>
    <m/>
    <n v="1197250"/>
    <n v="29"/>
    <n v="247788"/>
    <m/>
    <m/>
    <m/>
    <m/>
    <m/>
    <m/>
    <m/>
    <m/>
    <m/>
    <m/>
    <m/>
    <m/>
    <m/>
    <m/>
    <m/>
    <m/>
    <m/>
    <m/>
    <m/>
    <m/>
    <m/>
    <m/>
    <m/>
    <m/>
    <m/>
    <m/>
    <s v="Behind track"/>
    <s v="one time order (no monthly sales) - new tender expected in June"/>
    <n v="1"/>
    <s v="Placed"/>
    <m/>
    <m/>
    <m/>
    <m/>
    <m/>
    <m/>
    <m/>
    <m/>
    <m/>
    <m/>
    <m/>
    <m/>
    <n v="0"/>
    <n v="2973746"/>
    <n v="0"/>
    <n v="0"/>
    <n v="0"/>
    <n v="0"/>
    <n v="0"/>
    <n v="0"/>
    <n v="0"/>
    <n v="0"/>
    <n v="0"/>
    <n v="0"/>
    <n v="0"/>
    <n v="2973746"/>
    <n v="0"/>
    <n v="0"/>
    <n v="0"/>
    <n v="0"/>
    <n v="0"/>
    <m/>
    <n v="2973746"/>
    <n v="9"/>
    <n v="330416.22222222225"/>
    <n v="7751.5999999998603"/>
    <n v="82628.222222222248"/>
    <s v="Sales on track "/>
    <n v="9180.9135802469173"/>
    <n v="0.4"/>
    <n v="1189498.4000000001"/>
    <n v="0.4"/>
  </r>
  <r>
    <s v="Hammad Noor"/>
    <x v="3"/>
    <s v="Swelab Alfa Plus Standard"/>
    <n v="15001967"/>
    <s v="Hematology "/>
    <s v="AR # 300406"/>
    <m/>
    <n v="125199"/>
    <m/>
    <m/>
    <s v="19.08.2025"/>
    <m/>
    <s v="backup"/>
    <x v="2"/>
    <x v="1"/>
    <s v="Lahore"/>
    <n v="3020000736"/>
    <x v="46"/>
    <m/>
    <m/>
    <m/>
    <m/>
    <m/>
    <m/>
    <n v="1197250"/>
    <n v="37"/>
    <n v="217071"/>
    <m/>
    <m/>
    <m/>
    <m/>
    <m/>
    <m/>
    <m/>
    <m/>
    <m/>
    <m/>
    <m/>
    <m/>
    <m/>
    <m/>
    <m/>
    <m/>
    <m/>
    <m/>
    <m/>
    <m/>
    <m/>
    <m/>
    <m/>
    <m/>
    <m/>
    <m/>
    <s v="New Installation"/>
    <s v="one time order (no monthly sales) - new tender expected in June"/>
    <n v="1"/>
    <s v="Placed"/>
    <m/>
    <m/>
    <m/>
    <m/>
    <m/>
    <m/>
    <m/>
    <m/>
    <m/>
    <m/>
    <m/>
    <m/>
    <n v="0"/>
    <m/>
    <m/>
    <m/>
    <m/>
    <m/>
    <m/>
    <m/>
    <m/>
    <m/>
    <m/>
    <m/>
    <m/>
    <n v="0"/>
    <n v="0"/>
    <n v="0"/>
    <n v="0"/>
    <n v="0"/>
    <n v="0"/>
    <m/>
    <n v="0"/>
    <m/>
    <e v="#DIV/0!"/>
    <m/>
    <e v="#DIV/0!"/>
    <m/>
    <e v="#DIV/0!"/>
    <m/>
    <n v="0"/>
    <n v="0"/>
  </r>
  <r>
    <s v="Hammad Noor"/>
    <x v="3"/>
    <s v="Swelab Alfa Plus Standard"/>
    <n v="15001967"/>
    <s v="Hematology"/>
    <n v="3002000095"/>
    <m/>
    <n v="123220"/>
    <m/>
    <m/>
    <s v="25.04.2025"/>
    <s v="Not Available"/>
    <m/>
    <x v="0"/>
    <x v="1"/>
    <s v="Faisalabad"/>
    <n v="3020000753"/>
    <x v="47"/>
    <s v="N/A"/>
    <s v="GC university jhung road, new campus punjab, Faisalabad"/>
    <s v="041-9203055"/>
    <s v="chfsdpk@gmail.com"/>
    <s v="9020784-3"/>
    <m/>
    <n v="1000000"/>
    <n v="27"/>
    <n v="60135"/>
    <m/>
    <m/>
    <m/>
    <m/>
    <m/>
    <m/>
    <m/>
    <m/>
    <m/>
    <m/>
    <m/>
    <m/>
    <m/>
    <m/>
    <m/>
    <m/>
    <m/>
    <m/>
    <m/>
    <m/>
    <m/>
    <m/>
    <m/>
    <m/>
    <m/>
    <m/>
    <s v="Pull BAck"/>
    <s v="Pull back by April 30"/>
    <n v="1"/>
    <s v="Placed"/>
    <m/>
    <m/>
    <m/>
    <m/>
    <m/>
    <m/>
    <m/>
    <m/>
    <m/>
    <m/>
    <n v="343814"/>
    <m/>
    <n v="343814"/>
    <n v="687627"/>
    <n v="0"/>
    <n v="0"/>
    <n v="311017"/>
    <n v="0"/>
    <n v="0"/>
    <n v="212627.11"/>
    <n v="0"/>
    <n v="0"/>
    <m/>
    <m/>
    <m/>
    <n v="1211271.1099999999"/>
    <n v="0"/>
    <n v="0"/>
    <n v="0"/>
    <n v="0"/>
    <n v="0"/>
    <m/>
    <n v="1555085.1099999999"/>
    <n v="11"/>
    <n v="141371.37363636363"/>
    <n v="377965.95600000001"/>
    <n v="81236.373636363627"/>
    <s v="Sales on track"/>
    <n v="7385.1248760330573"/>
    <n v="0.4"/>
    <n v="622034.04399999999"/>
    <n v="0.4"/>
  </r>
  <r>
    <s v="Hammad Noor"/>
    <x v="0"/>
    <s v="iFlash 1200"/>
    <n v="15002553"/>
    <s v="Immunoassay"/>
    <s v="AR # 300294"/>
    <s v="Transferred from demo"/>
    <s v="ID00152044"/>
    <m/>
    <m/>
    <s v="26.03.2025"/>
    <m/>
    <m/>
    <x v="0"/>
    <x v="2"/>
    <s v="Rawalpindi"/>
    <n v="3020000764"/>
    <x v="48"/>
    <m/>
    <s v="Kashmir Gate Plaza Opp, Benazir Bhutto Hospital Murree Road, Punjab"/>
    <s v="0321-5330543 &amp; 051-4455204"/>
    <s v="dmadeemikram@gmail.com"/>
    <m/>
    <s v="37405-8526258-7"/>
    <n v="2915000"/>
    <n v="32"/>
    <n v="305347"/>
    <m/>
    <m/>
    <m/>
    <m/>
    <m/>
    <m/>
    <m/>
    <m/>
    <m/>
    <m/>
    <m/>
    <m/>
    <m/>
    <m/>
    <m/>
    <m/>
    <m/>
    <m/>
    <m/>
    <m/>
    <m/>
    <m/>
    <m/>
    <m/>
    <m/>
    <m/>
    <s v="Behind Track "/>
    <s v="over due issue, follow up needed Waqar"/>
    <n v="1"/>
    <s v="Placed"/>
    <m/>
    <m/>
    <m/>
    <m/>
    <m/>
    <m/>
    <m/>
    <m/>
    <m/>
    <m/>
    <m/>
    <m/>
    <n v="0"/>
    <n v="248200"/>
    <n v="76800"/>
    <n v="332400"/>
    <n v="0"/>
    <n v="0"/>
    <n v="184400"/>
    <n v="129400"/>
    <n v="0"/>
    <n v="179500"/>
    <n v="17500"/>
    <n v="75800"/>
    <n v="348380"/>
    <n v="1592380"/>
    <n v="0"/>
    <n v="0"/>
    <n v="0"/>
    <n v="0"/>
    <n v="73613.333333333328"/>
    <m/>
    <n v="1592380"/>
    <n v="15"/>
    <n v="106158.66666666667"/>
    <n v="2278048"/>
    <n v="-1222032.6666666667"/>
    <s v="Sales behind track"/>
    <n v="-81468.844444444447"/>
    <n v="0.4"/>
    <n v="636952"/>
    <n v="0.4"/>
  </r>
  <r>
    <s v="Jahangir Jalil"/>
    <x v="2"/>
    <s v="Vitros 3600"/>
    <n v="15002758"/>
    <s v="Immunoassay"/>
    <n v="3002000026"/>
    <s v="N/A"/>
    <n v="36001150"/>
    <s v="17.05.2023"/>
    <s v="13.04.2023"/>
    <s v="13.04.2023"/>
    <s v="Available"/>
    <m/>
    <x v="6"/>
    <x v="1"/>
    <s v="Lahore"/>
    <n v="3020000771"/>
    <x v="49"/>
    <s v="Govt. Hospital_x0009_"/>
    <s v="Ferozepur Road, Lahore"/>
    <s v="042-99230312"/>
    <s v="gulabdevi@hotmail.com"/>
    <s v="4022666-2"/>
    <m/>
    <n v="16350883"/>
    <n v="28"/>
    <n v="1316953"/>
    <m/>
    <m/>
    <m/>
    <m/>
    <s v="stock unavailable"/>
    <m/>
    <s v="stock unavailable"/>
    <s v="Due to stocks issue instrument is working at low volume . Customer will shift the maximum workload once shipment arrived . In Q4 we will cover the deficit "/>
    <s v="Waiting for Inventory &amp; then invoice execution "/>
    <m/>
    <s v="New PO has been generated ,waiting for shipment "/>
    <s v="Waiting for Invoice "/>
    <m/>
    <s v="Waiting for Invoice "/>
    <s v="One po is in proceeded and waiting for another new order"/>
    <m/>
    <m/>
    <m/>
    <s v="we are re-negotiating the contract - going to place vitros ECIQ due to multiple issues with vitros 3600 "/>
    <m/>
    <s v="Revised case"/>
    <m/>
    <m/>
    <m/>
    <m/>
    <m/>
    <s v="Pull Back to WH"/>
    <m/>
    <m/>
    <s v="Closed"/>
    <n v="173231"/>
    <n v="154319"/>
    <n v="0"/>
    <n v="474372"/>
    <n v="0"/>
    <n v="0"/>
    <n v="83518"/>
    <n v="207188"/>
    <n v="329913"/>
    <n v="0"/>
    <n v="223703"/>
    <n v="267777"/>
    <n v="1914021"/>
    <n v="0"/>
    <n v="-114525"/>
    <n v="-376955"/>
    <n v="0"/>
    <n v="0"/>
    <n v="0"/>
    <n v="0"/>
    <n v="0"/>
    <n v="0"/>
    <n v="0"/>
    <m/>
    <m/>
    <n v="-491480"/>
    <m/>
    <m/>
    <m/>
    <n v="0"/>
    <n v="0"/>
    <m/>
    <n v="1422541"/>
    <n v="26"/>
    <n v="54713.115384615383"/>
    <n v="15781866.6"/>
    <n v="-1262239.8846153845"/>
    <s v="Sales behind track"/>
    <n v="-48547.687869822483"/>
    <n v="0.4"/>
    <n v="569016.4"/>
    <n v="0.35"/>
  </r>
  <r>
    <s v="Hammad Noor"/>
    <x v="0"/>
    <s v="iFlash 1200"/>
    <n v="15002553"/>
    <s v="Immunoassay"/>
    <n v="3002000106"/>
    <s v="Transferred from demo"/>
    <s v="ID00175547"/>
    <m/>
    <m/>
    <s v="13.05.2025"/>
    <m/>
    <m/>
    <x v="0"/>
    <x v="1"/>
    <s v="Lahore"/>
    <n v="3020000771"/>
    <x v="50"/>
    <m/>
    <s v="Near Children Hospital Ferozepur Road, Punjab"/>
    <s v="0345-4281596 &amp; 042-99230247"/>
    <s v="gulabdevi@hotmail.com"/>
    <s v="4022666-2"/>
    <m/>
    <n v="2615000"/>
    <n v="36"/>
    <n v="124814"/>
    <m/>
    <m/>
    <m/>
    <m/>
    <m/>
    <m/>
    <m/>
    <m/>
    <m/>
    <m/>
    <m/>
    <m/>
    <m/>
    <m/>
    <m/>
    <m/>
    <m/>
    <m/>
    <m/>
    <m/>
    <m/>
    <m/>
    <m/>
    <m/>
    <m/>
    <m/>
    <s v="on Track"/>
    <s v="on Track"/>
    <n v="1"/>
    <s v="Placed"/>
    <m/>
    <m/>
    <m/>
    <m/>
    <m/>
    <m/>
    <m/>
    <m/>
    <m/>
    <m/>
    <m/>
    <m/>
    <n v="0"/>
    <m/>
    <m/>
    <m/>
    <m/>
    <n v="527997"/>
    <n v="0"/>
    <n v="0"/>
    <n v="411462"/>
    <n v="0"/>
    <m/>
    <n v="328080"/>
    <m/>
    <n v="1267539"/>
    <n v="337476"/>
    <n v="0"/>
    <n v="0"/>
    <n v="337476"/>
    <n v="166389"/>
    <m/>
    <n v="1605015"/>
    <n v="8"/>
    <n v="200626.875"/>
    <n v="1972994"/>
    <n v="-404240"/>
    <s v="Sales behind track"/>
    <n v="-50530"/>
    <n v="0.4"/>
    <n v="642006"/>
    <n v="0.4"/>
  </r>
  <r>
    <s v="Jahangir Jalil"/>
    <x v="7"/>
    <s v="Laura XL"/>
    <n v="15002673"/>
    <s v="Urine Analyzer"/>
    <n v="3002000030"/>
    <s v="N/A"/>
    <s v="0034-X2-230818"/>
    <s v="29.05.2023"/>
    <s v="30.03.2023"/>
    <s v="19.05.2023"/>
    <s v="Available"/>
    <m/>
    <x v="1"/>
    <x v="1"/>
    <s v="Lahore"/>
    <n v="3020000776"/>
    <x v="51"/>
    <s v="Dr. Zeenat Hussain"/>
    <s v="34-Lawrence Road, Lahore"/>
    <s v="042-35912882"/>
    <s v="zeenatlaboratory@gmail.com_x0009_"/>
    <s v="2302878-5"/>
    <m/>
    <n v="2500000"/>
    <n v="13"/>
    <n v="643570"/>
    <m/>
    <m/>
    <m/>
    <m/>
    <s v="stock unavailable"/>
    <m/>
    <s v="stock unavailable"/>
    <s v="Due to stocks issue instrument is working at low volume . Customer will shift the maximum workload once shipment arrived . In Q4 we will cover the deficit "/>
    <s v="Business is not as per comitment "/>
    <s v="Going to return the equipment in this month "/>
    <m/>
    <m/>
    <m/>
    <m/>
    <m/>
    <m/>
    <m/>
    <m/>
    <s v="Lab has been closed due to poor health of Dr. Zeenat. Machine will be pulled back within April"/>
    <m/>
    <s v="Returned to Warehouse "/>
    <m/>
    <m/>
    <s v="No sales after may 23"/>
    <m/>
    <m/>
    <m/>
    <m/>
    <m/>
    <m/>
    <m/>
    <m/>
    <m/>
    <m/>
    <n v="0"/>
    <m/>
    <m/>
    <m/>
    <m/>
    <m/>
    <m/>
    <m/>
    <n v="0"/>
    <m/>
    <m/>
    <m/>
    <m/>
    <m/>
    <m/>
    <m/>
    <m/>
    <m/>
    <m/>
    <m/>
    <m/>
    <n v="0"/>
    <m/>
    <m/>
    <m/>
    <n v="0"/>
    <n v="0"/>
    <s v="pulled back due to a fault. Placed at lahore warehouse"/>
    <n v="0"/>
    <n v="12"/>
    <n v="0"/>
    <n v="2500000"/>
    <n v="-643570"/>
    <s v="Sales behind track ( No sales after May 2023)"/>
    <n v="-53630.833333333336"/>
    <n v="0.4"/>
    <n v="0"/>
    <n v="0.4"/>
  </r>
  <r>
    <s v="Jahangir Jalil"/>
    <x v="7"/>
    <s v="EC90"/>
    <n v="15002674"/>
    <s v="Electrolyte Analyzer"/>
    <m/>
    <m/>
    <m/>
    <m/>
    <m/>
    <s v="12.09.2025"/>
    <m/>
    <m/>
    <x v="0"/>
    <x v="0"/>
    <s v="Karachi"/>
    <n v="3020000811"/>
    <x v="52"/>
    <m/>
    <m/>
    <m/>
    <m/>
    <m/>
    <m/>
    <n v="593821"/>
    <n v="18"/>
    <n v="80770"/>
    <m/>
    <m/>
    <m/>
    <m/>
    <m/>
    <m/>
    <m/>
    <m/>
    <m/>
    <m/>
    <m/>
    <m/>
    <m/>
    <m/>
    <m/>
    <m/>
    <m/>
    <m/>
    <m/>
    <m/>
    <m/>
    <m/>
    <m/>
    <m/>
    <m/>
    <m/>
    <s v="Pull Back check with WH"/>
    <s v="Pull Back check with Nasir"/>
    <n v="1"/>
    <m/>
    <m/>
    <m/>
    <m/>
    <m/>
    <m/>
    <m/>
    <m/>
    <m/>
    <m/>
    <m/>
    <m/>
    <m/>
    <n v="0"/>
    <m/>
    <m/>
    <m/>
    <m/>
    <m/>
    <m/>
    <m/>
    <m/>
    <n v="112700"/>
    <m/>
    <m/>
    <m/>
    <n v="112700"/>
    <n v="0"/>
    <n v="0"/>
    <n v="0"/>
    <n v="0"/>
    <n v="0"/>
    <m/>
    <n v="112700"/>
    <n v="4"/>
    <n v="28175"/>
    <m/>
    <n v="-52595"/>
    <m/>
    <n v="-13148.75"/>
    <m/>
    <n v="0"/>
    <n v="0"/>
  </r>
  <r>
    <s v="Jahangir Jalil"/>
    <x v="7"/>
    <s v="Laura Semi Automatic"/>
    <n v="15002671"/>
    <s v="Urine Analyzer"/>
    <m/>
    <m/>
    <m/>
    <m/>
    <m/>
    <s v="12.09.2025"/>
    <m/>
    <m/>
    <x v="0"/>
    <x v="0"/>
    <s v="Karachi"/>
    <n v="3020000811"/>
    <x v="52"/>
    <m/>
    <m/>
    <m/>
    <m/>
    <m/>
    <m/>
    <n v="401644"/>
    <n v="18"/>
    <n v="42750"/>
    <m/>
    <m/>
    <m/>
    <m/>
    <m/>
    <m/>
    <m/>
    <m/>
    <m/>
    <m/>
    <m/>
    <m/>
    <m/>
    <m/>
    <m/>
    <m/>
    <m/>
    <m/>
    <m/>
    <m/>
    <m/>
    <m/>
    <m/>
    <m/>
    <m/>
    <m/>
    <s v="behind track need followup"/>
    <s v="Update by Daniyal"/>
    <n v="1"/>
    <s v="Placed"/>
    <m/>
    <m/>
    <m/>
    <m/>
    <m/>
    <m/>
    <m/>
    <m/>
    <m/>
    <m/>
    <m/>
    <m/>
    <n v="0"/>
    <m/>
    <m/>
    <m/>
    <m/>
    <m/>
    <m/>
    <m/>
    <m/>
    <n v="29500"/>
    <m/>
    <n v="20000"/>
    <m/>
    <n v="49500"/>
    <n v="0"/>
    <n v="0"/>
    <n v="0"/>
    <n v="0"/>
    <n v="5000"/>
    <m/>
    <n v="49500"/>
    <n v="5"/>
    <n v="9900"/>
    <m/>
    <n v="-32850"/>
    <m/>
    <n v="-6570"/>
    <m/>
    <n v="0"/>
    <n v="0"/>
  </r>
  <r>
    <s v="Jahangir Jalil"/>
    <x v="4"/>
    <s v="START MAX"/>
    <n v="15003000"/>
    <s v="coagulation"/>
    <m/>
    <m/>
    <m/>
    <m/>
    <m/>
    <s v="12.09.2025"/>
    <m/>
    <m/>
    <x v="1"/>
    <x v="0"/>
    <s v="Karachi"/>
    <n v="3020000811"/>
    <x v="52"/>
    <m/>
    <m/>
    <m/>
    <m/>
    <m/>
    <m/>
    <n v="823735"/>
    <n v="17"/>
    <n v="114156"/>
    <m/>
    <m/>
    <m/>
    <m/>
    <m/>
    <m/>
    <m/>
    <m/>
    <m/>
    <m/>
    <m/>
    <m/>
    <m/>
    <m/>
    <m/>
    <m/>
    <m/>
    <m/>
    <m/>
    <m/>
    <m/>
    <m/>
    <m/>
    <m/>
    <m/>
    <m/>
    <s v="Ned to be checked with WH"/>
    <m/>
    <m/>
    <m/>
    <m/>
    <m/>
    <m/>
    <m/>
    <m/>
    <m/>
    <m/>
    <m/>
    <m/>
    <m/>
    <m/>
    <m/>
    <n v="0"/>
    <m/>
    <m/>
    <m/>
    <m/>
    <m/>
    <m/>
    <m/>
    <m/>
    <n v="187800"/>
    <n v="28500"/>
    <m/>
    <m/>
    <n v="216300"/>
    <m/>
    <m/>
    <m/>
    <n v="0"/>
    <n v="28500"/>
    <m/>
    <n v="216300"/>
    <n v="4"/>
    <n v="54075"/>
    <m/>
    <n v="-60081"/>
    <m/>
    <n v="-15020.25"/>
    <m/>
    <n v="0"/>
    <n v="0"/>
  </r>
  <r>
    <s v="Hammad Noor"/>
    <x v="0"/>
    <s v="iFlash 1200"/>
    <n v="15002553"/>
    <s v="Immunoassay"/>
    <n v="3002000029"/>
    <s v="N/A"/>
    <s v="ID00030225"/>
    <s v="27.01.2023"/>
    <s v="01.11.2023"/>
    <s v="27.02.2023"/>
    <s v="Available"/>
    <m/>
    <x v="0"/>
    <x v="1"/>
    <s v="Lahore"/>
    <n v="3020000816"/>
    <x v="53"/>
    <s v="Dr. Anwar Masood"/>
    <s v="99-Garden Block, Garden Town, Lahore"/>
    <s v="042-111627663"/>
    <s v="info@masoodhospital.com"/>
    <s v="1520150-3"/>
    <m/>
    <n v="1962000"/>
    <n v="10"/>
    <n v="458397"/>
    <m/>
    <m/>
    <s v="Sales on track"/>
    <s v="Stock unavailable, although invoiced "/>
    <s v="stock unavailable"/>
    <s v="0.5 Mio invioce has been recieved in july "/>
    <s v="LC delay, Order invoiced in August worth 0.8 Mio"/>
    <s v=" They have Started Infectious panel on Iflash .It will significanly impact our Sales in Q4 we will not only cover the gap but surpass the comitment ."/>
    <s v="600,000 order Received "/>
    <s v="Started new parameters businesss gap will be mitigate in next three months "/>
    <m/>
    <m/>
    <m/>
    <m/>
    <m/>
    <m/>
    <m/>
    <m/>
    <s v="Sales are on track"/>
    <m/>
    <m/>
    <m/>
    <m/>
    <m/>
    <m/>
    <m/>
    <s v="Behind Track Followup"/>
    <s v="Need follow up Imran Rana"/>
    <n v="1"/>
    <s v="Placed"/>
    <n v="138967.22"/>
    <n v="548950.83000000007"/>
    <n v="135622.95000000001"/>
    <n v="473500"/>
    <n v="99000"/>
    <n v="513500"/>
    <n v="290983.63"/>
    <n v="76229.52"/>
    <n v="696041.02"/>
    <n v="485140"/>
    <n v="0"/>
    <n v="428696.75"/>
    <n v="3886631.92"/>
    <n v="403811.49999999994"/>
    <n v="0"/>
    <n v="449950.73"/>
    <n v="567279"/>
    <n v="0"/>
    <n v="49500"/>
    <n v="0"/>
    <n v="258483.59"/>
    <n v="0"/>
    <n v="87516"/>
    <n v="57000"/>
    <m/>
    <n v="1873540.82"/>
    <n v="21000"/>
    <n v="79754"/>
    <m/>
    <n v="100754"/>
    <n v="61317.5"/>
    <m/>
    <n v="5860926.7400000002"/>
    <n v="34"/>
    <n v="172380.19823529411"/>
    <n v="-382370.696"/>
    <n v="-286016.80176470592"/>
    <s v="Sales behind track"/>
    <n v="-8412.2588754325261"/>
    <n v="0.4"/>
    <n v="2344370.696"/>
    <n v="0.4"/>
  </r>
  <r>
    <s v="Jahangir Jalil"/>
    <x v="6"/>
    <s v="Nova Prime CCS"/>
    <n v="15002705"/>
    <s v="Arterial Blood Gas Analyzer"/>
    <s v="AR # 300287"/>
    <m/>
    <s v="P079240350C"/>
    <m/>
    <m/>
    <s v="14.05.2025"/>
    <m/>
    <m/>
    <x v="0"/>
    <x v="1"/>
    <s v="Lahore"/>
    <n v="3020000823"/>
    <x v="54"/>
    <m/>
    <s v="Band road, GT road, bhurki road link, Jallo more, Punjab"/>
    <s v="0304-4029935"/>
    <s v="hr@ghurkitrust.org.pk"/>
    <s v="1801763-7"/>
    <m/>
    <n v="2164000"/>
    <n v="27"/>
    <n v="292900"/>
    <m/>
    <m/>
    <m/>
    <m/>
    <m/>
    <m/>
    <m/>
    <m/>
    <m/>
    <m/>
    <m/>
    <m/>
    <m/>
    <m/>
    <m/>
    <m/>
    <m/>
    <m/>
    <m/>
    <m/>
    <m/>
    <m/>
    <m/>
    <m/>
    <m/>
    <m/>
    <s v="behind track need followup"/>
    <s v="will be on track"/>
    <n v="1"/>
    <s v="Placed"/>
    <m/>
    <m/>
    <m/>
    <m/>
    <m/>
    <m/>
    <m/>
    <m/>
    <m/>
    <m/>
    <m/>
    <m/>
    <n v="0"/>
    <m/>
    <m/>
    <m/>
    <m/>
    <n v="0"/>
    <n v="382700"/>
    <n v="0"/>
    <n v="247700"/>
    <n v="495400"/>
    <m/>
    <n v="357700"/>
    <n v="135000"/>
    <n v="1618500"/>
    <n v="225400"/>
    <n v="0"/>
    <n v="247700"/>
    <n v="473100"/>
    <n v="193160"/>
    <m/>
    <n v="2091600"/>
    <n v="8"/>
    <n v="261450"/>
    <n v="1641100"/>
    <n v="-31450"/>
    <s v="Sales on track"/>
    <n v="-3931.25"/>
    <n v="0.25"/>
    <n v="522900"/>
    <n v="0.25"/>
  </r>
  <r>
    <s v="Hammad Noor"/>
    <x v="5"/>
    <s v="DYMIND DH-76"/>
    <n v="15003243"/>
    <s v="Hematology "/>
    <n v="3002000094"/>
    <m/>
    <s v="DM11052408003"/>
    <m/>
    <s v="12.07.2024"/>
    <s v="4.25.2025"/>
    <s v="Available"/>
    <m/>
    <x v="4"/>
    <x v="1"/>
    <s v="Lahore"/>
    <n v="3020000823"/>
    <x v="54"/>
    <m/>
    <s v="Band road, GT road, bhurki road link, Jallo more, Punjab"/>
    <s v="0304-4029935"/>
    <s v="hr@ghurkitrust.org.pk"/>
    <s v="1801763-7"/>
    <m/>
    <n v="2324427"/>
    <n v="18"/>
    <n v="166828"/>
    <m/>
    <m/>
    <m/>
    <m/>
    <m/>
    <m/>
    <m/>
    <m/>
    <m/>
    <m/>
    <m/>
    <m/>
    <m/>
    <m/>
    <m/>
    <m/>
    <m/>
    <m/>
    <e v="#N/A"/>
    <m/>
    <m/>
    <m/>
    <m/>
    <m/>
    <m/>
    <m/>
    <s v="Supply issue due to DRAP registration followup"/>
    <s v="Supply issue due to DRAP registration followup"/>
    <m/>
    <s v="Placed"/>
    <m/>
    <m/>
    <m/>
    <m/>
    <m/>
    <m/>
    <m/>
    <n v="88500"/>
    <n v="0"/>
    <n v="91500"/>
    <n v="0"/>
    <n v="115500"/>
    <n v="295500"/>
    <n v="0"/>
    <n v="0"/>
    <n v="0"/>
    <n v="0"/>
    <n v="0"/>
    <n v="0"/>
    <n v="0"/>
    <n v="0"/>
    <n v="0"/>
    <m/>
    <m/>
    <m/>
    <n v="0"/>
    <m/>
    <m/>
    <m/>
    <n v="0"/>
    <n v="0"/>
    <m/>
    <n v="295500"/>
    <n v="13"/>
    <n v="22730.76923076923"/>
    <n v="2206227"/>
    <n v="-144097.23076923078"/>
    <s v="Sales behind track"/>
    <n v="-11084.402366863906"/>
    <n v="0.4"/>
    <n v="118200"/>
    <n v="0.4"/>
  </r>
  <r>
    <s v="Jahangir Jalil"/>
    <x v="4"/>
    <s v="STA SATELLITE MAX"/>
    <n v="15003000"/>
    <s v="Coagulation Analyzer"/>
    <n v="3002000069"/>
    <m/>
    <n v="1588"/>
    <m/>
    <m/>
    <s v="05.01.2024"/>
    <s v="Available"/>
    <m/>
    <x v="0"/>
    <x v="0"/>
    <s v="Karachi"/>
    <n v="3020000845"/>
    <x v="55"/>
    <m/>
    <s v="Rafique Shaheed Road, Near Jinnah Post Graduate Medical Center Karachi"/>
    <s v="0308-2343292,  021-99201261"/>
    <s v="sairaerum696@gmail.com"/>
    <s v="9031234-4"/>
    <m/>
    <n v="5459835"/>
    <n v="37"/>
    <n v="742864"/>
    <m/>
    <m/>
    <m/>
    <m/>
    <m/>
    <m/>
    <m/>
    <m/>
    <m/>
    <m/>
    <m/>
    <m/>
    <m/>
    <m/>
    <m/>
    <m/>
    <m/>
    <m/>
    <e v="#N/A"/>
    <m/>
    <m/>
    <m/>
    <m/>
    <s v="Will be placed"/>
    <m/>
    <m/>
    <s v="on Track"/>
    <s v="Quarterly Sales - expected April"/>
    <n v="1"/>
    <s v="Placed"/>
    <m/>
    <m/>
    <m/>
    <m/>
    <m/>
    <m/>
    <m/>
    <m/>
    <m/>
    <n v="479000"/>
    <n v="0"/>
    <n v="977400"/>
    <n v="1456400"/>
    <n v="0"/>
    <n v="0"/>
    <n v="673200"/>
    <n v="0"/>
    <n v="852100"/>
    <n v="0"/>
    <n v="1357800"/>
    <n v="-160800"/>
    <n v="0"/>
    <m/>
    <m/>
    <n v="5229900"/>
    <n v="7952200"/>
    <n v="0"/>
    <n v="0"/>
    <n v="0"/>
    <n v="0"/>
    <n v="1307475"/>
    <m/>
    <n v="9408600"/>
    <n v="13"/>
    <n v="723738.4615384615"/>
    <n v="1696395"/>
    <n v="-19125.538461538497"/>
    <s v="Sales behind track"/>
    <n v="-1471.1952662721922"/>
    <n v="0.4"/>
    <n v="3763440"/>
    <n v="0.4"/>
  </r>
  <r>
    <s v="Jahangir Jalil"/>
    <x v="6"/>
    <s v="Nova Prime CSS"/>
    <n v="15002705"/>
    <s v="Arterial Blood Gas Analyzer"/>
    <n v="3002000079"/>
    <m/>
    <s v="P072230210C"/>
    <m/>
    <m/>
    <s v="27.08.2024"/>
    <s v="Not Available"/>
    <m/>
    <x v="0"/>
    <x v="2"/>
    <s v="Islamabad"/>
    <n v="3020000881"/>
    <x v="56"/>
    <m/>
    <s v="Main Murree Road, 17 Mile, Barakahu, Capital Territory Islamabad"/>
    <s v="051-8153000, 0333-5233390"/>
    <s v="shafique.abbasi@imdcollege.edu.pk"/>
    <s v="4694571-5"/>
    <s v="N/A"/>
    <n v="2120000"/>
    <n v="28"/>
    <n v="270000"/>
    <m/>
    <m/>
    <m/>
    <m/>
    <m/>
    <m/>
    <m/>
    <m/>
    <m/>
    <m/>
    <m/>
    <m/>
    <m/>
    <m/>
    <m/>
    <m/>
    <m/>
    <m/>
    <e v="#N/A"/>
    <m/>
    <m/>
    <m/>
    <m/>
    <m/>
    <m/>
    <m/>
    <s v="Behind track"/>
    <s v="workload decrease, Pull back by 10 May"/>
    <n v="1"/>
    <s v="Placed"/>
    <m/>
    <m/>
    <m/>
    <m/>
    <m/>
    <m/>
    <m/>
    <m/>
    <m/>
    <m/>
    <n v="270000"/>
    <n v="100000"/>
    <n v="370000"/>
    <n v="710000"/>
    <n v="270000"/>
    <n v="0"/>
    <n v="0"/>
    <n v="0"/>
    <n v="345000"/>
    <n v="270000"/>
    <n v="270000"/>
    <n v="270000"/>
    <m/>
    <m/>
    <n v="569000"/>
    <n v="2704000"/>
    <n v="0"/>
    <n v="170000"/>
    <m/>
    <n v="170000"/>
    <n v="246333.33333333334"/>
    <m/>
    <n v="3244000"/>
    <n v="12"/>
    <n v="270333.33333333331"/>
    <n v="1309000"/>
    <n v="333.33333333331393"/>
    <s v="Sales behind track"/>
    <n v="27.777777777776162"/>
    <n v="0.25"/>
    <n v="811000"/>
    <n v="0.25"/>
  </r>
  <r>
    <s v="Jahangir Jalil"/>
    <x v="4"/>
    <s v="STA SATELLITE MAX"/>
    <n v="15003000"/>
    <s v="Coagulation Analyzer"/>
    <n v="3002000101"/>
    <m/>
    <n v="1613"/>
    <m/>
    <m/>
    <s v="14.05.2025"/>
    <m/>
    <m/>
    <x v="0"/>
    <x v="2"/>
    <s v="Islamabad"/>
    <n v="3020000881"/>
    <x v="56"/>
    <m/>
    <s v="Main Murree Road, 17 Mile, Barakahu, Capital Territory Islamabad"/>
    <s v="051-8153000, 0333-5233390"/>
    <s v="shafique.abbasi@imdcollege.edu.pk"/>
    <s v="4694571-5"/>
    <s v="N/A"/>
    <n v="3592655"/>
    <n v="36"/>
    <n v="314974"/>
    <m/>
    <m/>
    <m/>
    <m/>
    <m/>
    <m/>
    <m/>
    <m/>
    <m/>
    <m/>
    <m/>
    <m/>
    <m/>
    <m/>
    <m/>
    <m/>
    <m/>
    <m/>
    <m/>
    <m/>
    <m/>
    <m/>
    <m/>
    <m/>
    <m/>
    <m/>
    <s v="on Track"/>
    <s v="will be on track, pateint decrease"/>
    <n v="1"/>
    <s v="Placed"/>
    <m/>
    <m/>
    <m/>
    <m/>
    <m/>
    <m/>
    <m/>
    <m/>
    <m/>
    <m/>
    <m/>
    <n v="234200"/>
    <n v="234200"/>
    <n v="470800"/>
    <n v="1920800"/>
    <n v="0"/>
    <n v="0"/>
    <n v="0"/>
    <n v="393800"/>
    <n v="309500"/>
    <n v="455500"/>
    <n v="0"/>
    <n v="0"/>
    <m/>
    <n v="206000"/>
    <n v="3756400"/>
    <n v="0"/>
    <n v="189000"/>
    <m/>
    <n v="189000"/>
    <n v="98750"/>
    <m/>
    <n v="4179600"/>
    <n v="12"/>
    <n v="348300"/>
    <n v="1920815"/>
    <n v="33326"/>
    <s v="Sales on track"/>
    <n v="2777.1666666666665"/>
    <n v="0.4"/>
    <n v="1671840"/>
    <n v="0.4"/>
  </r>
  <r>
    <s v="Hammad Noor"/>
    <x v="0"/>
    <s v="iFlash 1200"/>
    <n v="15002553"/>
    <s v="Immunoassay"/>
    <n v="3002000013"/>
    <s v="Machine has been returned from KKF to warehouse against asset # 3002000013 on dated 27.11.2023"/>
    <s v="ID00026724"/>
    <s v="12.08.2022"/>
    <s v="27.07.2022"/>
    <s v="08.05.2022"/>
    <s v="Available"/>
    <m/>
    <x v="1"/>
    <x v="0"/>
    <s v="Karachi"/>
    <n v="3020000888"/>
    <x v="57"/>
    <s v="Masood Ahmed Khan"/>
    <s v="179, C.P. &amp; Berar Society Cp &amp; Berar Chs, Karachi, Karachi City, Sindh"/>
    <s v="N/A"/>
    <s v="medciagnostic19@gmail.com"/>
    <s v="0944239-1"/>
    <m/>
    <n v="1700000"/>
    <n v="6"/>
    <n v="786668.28"/>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s v="machine was taken back &amp; placed at KKF first week of August"/>
    <s v="We've decided to pull back our equipment and it'll be placed to another customer (KKF Blood Bank - Karachi). Business Case will be submitted to get approval."/>
    <s v="machine has been pulled back"/>
    <m/>
    <m/>
    <m/>
    <m/>
    <m/>
    <m/>
    <m/>
    <s v="Machine Move to Quetta"/>
    <s v="Machine Move to Quetta yaseen Hospital "/>
    <s v="Business case revision to be submitted"/>
    <m/>
    <s v="This machine was pullback and business case in under process, will be installed in quetta."/>
    <m/>
    <m/>
    <m/>
    <m/>
    <m/>
    <m/>
    <m/>
    <m/>
    <m/>
    <m/>
    <m/>
    <m/>
    <m/>
    <m/>
    <m/>
    <m/>
    <m/>
    <m/>
    <m/>
    <m/>
    <m/>
    <n v="0"/>
    <m/>
    <m/>
    <m/>
    <m/>
    <m/>
    <m/>
    <m/>
    <m/>
    <m/>
    <m/>
    <n v="0"/>
    <m/>
    <n v="0"/>
    <m/>
    <m/>
    <m/>
    <n v="0"/>
    <n v="0"/>
    <s v="Closed - No sales after Aug 23"/>
    <n v="0"/>
    <n v="1"/>
    <n v="0"/>
    <n v="1700000"/>
    <n v="-786668.28"/>
    <s v="Sales behind track ( No sales after Aug)"/>
    <n v="-786668.28"/>
    <n v="0.4"/>
    <n v="0"/>
    <n v="0.4"/>
  </r>
  <r>
    <s v="Jahangir Jalil"/>
    <x v="2"/>
    <s v="Vitros ECiQ Immunodiagnostic System"/>
    <n v="15002760"/>
    <s v="Immunoassay"/>
    <n v="3002000024"/>
    <s v="N/A"/>
    <n v="30006173"/>
    <s v="01.06.2023"/>
    <s v="12.12.2022"/>
    <s v="12.12.2022"/>
    <s v="Available"/>
    <m/>
    <x v="1"/>
    <x v="0"/>
    <s v="Karachi"/>
    <n v="3020000888"/>
    <x v="58"/>
    <s v="Dr. Sheikh Abdul Ahad"/>
    <s v="St-7,Block 14,F.B Area Gulberg, Karachi"/>
    <s v="021-36323839 / 021-111222553"/>
    <s v="Not Available"/>
    <s v="4315201-5"/>
    <m/>
    <n v="9297200"/>
    <n v="31"/>
    <n v="967223"/>
    <m/>
    <m/>
    <s v="Reagents Not available"/>
    <s v="Partial items received, already processed the orders"/>
    <s v="machine out of order"/>
    <m/>
    <s v="LC delay, Order invoiced in August worth 0.8 Mio"/>
    <s v=" They have Started Infectious panel on Iflash .It will significanly impact our Sales in Q4 we will not only cover the gap but surpass the comitment ."/>
    <s v="Equipment has been functional now."/>
    <s v="Waiting to receive the PO on new prices"/>
    <s v="Revised business case has been sent to Mr, Irfan for further approvals"/>
    <s v="Order received for Sep 2023 and its on hold."/>
    <m/>
    <m/>
    <m/>
    <m/>
    <s v="M"/>
    <s v="Machine was not opperational 3 months"/>
    <s v="Business case submitted, machine was not operational due to parts arount 6 months."/>
    <m/>
    <s v="Order received, from next month customer is commited to give business of 0.7-0.8M otherwis will increase prices. right now due to non avaiablty of reagent we didnt fullfill complete PO/"/>
    <s v="Sales will be on track in coming 2 months"/>
    <m/>
    <s v="no sales in june july"/>
    <m/>
    <m/>
    <m/>
    <m/>
    <m/>
    <m/>
    <n v="422557.39"/>
    <m/>
    <m/>
    <n v="422557.39"/>
    <n v="585934.43000000005"/>
    <m/>
    <m/>
    <m/>
    <m/>
    <m/>
    <m/>
    <m/>
    <n v="1431049.21"/>
    <m/>
    <m/>
    <m/>
    <m/>
    <m/>
    <m/>
    <m/>
    <m/>
    <m/>
    <m/>
    <m/>
    <m/>
    <n v="0"/>
    <m/>
    <m/>
    <m/>
    <n v="0"/>
    <n v="0"/>
    <s v="its in warehouse"/>
    <n v="1431049.21"/>
    <n v="19"/>
    <n v="75318.37947368421"/>
    <n v="8724780.3159999996"/>
    <n v="-891904.62052631576"/>
    <s v="Sales behind track"/>
    <n v="-46942.348448753459"/>
    <n v="0.4"/>
    <n v="572419.68400000001"/>
    <n v="0.35"/>
  </r>
  <r>
    <s v="Hammad Noor"/>
    <x v="0"/>
    <s v="iFlash 1200"/>
    <n v="15002553"/>
    <s v="Immunoassay"/>
    <n v="3002000060"/>
    <s v="N/A"/>
    <s v="ID00081331"/>
    <s v="13.02.2024 "/>
    <s v="Not mentioned on the agreement "/>
    <s v="02.02.2024"/>
    <s v="Not Available"/>
    <m/>
    <x v="1"/>
    <x v="0"/>
    <s v="Karachi"/>
    <n v="3020000917"/>
    <x v="59"/>
    <m/>
    <s v="Diagnostic &amp; Research Laboratory Near Civil Hospital Hirabad,HYD Sindh Jamshoro"/>
    <s v="0334-0020341"/>
    <s v="fehandio@gmail.com"/>
    <s v="9030415-2"/>
    <m/>
    <n v="2868545"/>
    <n v="19"/>
    <n v="702513"/>
    <m/>
    <m/>
    <m/>
    <m/>
    <m/>
    <m/>
    <m/>
    <m/>
    <m/>
    <m/>
    <m/>
    <m/>
    <m/>
    <m/>
    <m/>
    <m/>
    <m/>
    <m/>
    <m/>
    <m/>
    <s v="Machine was installed in feb, work load totally shifted on iflash, sales will increase by the time "/>
    <m/>
    <m/>
    <m/>
    <m/>
    <m/>
    <s v="Pull BAck"/>
    <m/>
    <n v="1"/>
    <s v="Placed"/>
    <m/>
    <m/>
    <n v="655500"/>
    <n v="20900"/>
    <n v="17711.87"/>
    <n v="25000"/>
    <n v="90400"/>
    <n v="19800"/>
    <n v="0"/>
    <n v="68000"/>
    <n v="0"/>
    <n v="586800"/>
    <n v="1484111.87"/>
    <n v="0"/>
    <n v="79200"/>
    <n v="0"/>
    <n v="0"/>
    <n v="0"/>
    <n v="0"/>
    <n v="0"/>
    <n v="0"/>
    <n v="0"/>
    <m/>
    <n v="0"/>
    <m/>
    <n v="79200"/>
    <m/>
    <n v="79200"/>
    <m/>
    <n v="79200"/>
    <n v="39600"/>
    <m/>
    <n v="1642511.87"/>
    <n v="17"/>
    <n v="96618.345294117651"/>
    <n v="2211540.2519999999"/>
    <n v="-605894.65470588231"/>
    <s v="Sales behind track"/>
    <n v="-35640.862041522487"/>
    <n v="0.4"/>
    <n v="657004.74800000014"/>
    <n v="0.4"/>
  </r>
  <r>
    <s v="Hammad Noor"/>
    <x v="1"/>
    <s v="Selectra PRO M Lite"/>
    <n v="15002128"/>
    <s v="Clinical Chemistry"/>
    <s v="AR#300091"/>
    <m/>
    <m/>
    <m/>
    <s v="30.08.2023"/>
    <s v="16.02.2024"/>
    <s v="Not Available"/>
    <m/>
    <x v="1"/>
    <x v="0"/>
    <s v="larkana/hyderabad"/>
    <n v="3020000917"/>
    <x v="59"/>
    <s v="Ikram Hujjan"/>
    <s v="VIP Road Larkana"/>
    <s v="0334-0020341"/>
    <s v="fehandio@gmail.com"/>
    <s v="9030415-2"/>
    <m/>
    <n v="4499722"/>
    <n v="36"/>
    <n v="399013"/>
    <m/>
    <m/>
    <m/>
    <m/>
    <m/>
    <m/>
    <m/>
    <m/>
    <m/>
    <m/>
    <m/>
    <m/>
    <m/>
    <m/>
    <m/>
    <m/>
    <m/>
    <m/>
    <s v="Price/workload revision - till 15 April 2024"/>
    <m/>
    <m/>
    <s v="Order was hold due to payment issue, this is direct customer. by next 2 months sales will be on track"/>
    <m/>
    <m/>
    <m/>
    <m/>
    <m/>
    <m/>
    <m/>
    <m/>
    <m/>
    <m/>
    <n v="616700"/>
    <n v="0"/>
    <n v="681360"/>
    <n v="193000"/>
    <n v="50000"/>
    <n v="0"/>
    <n v="0"/>
    <n v="0"/>
    <n v="0"/>
    <n v="0"/>
    <n v="1541060"/>
    <n v="0"/>
    <n v="0"/>
    <n v="0"/>
    <n v="0"/>
    <n v="0"/>
    <n v="0"/>
    <n v="0"/>
    <n v="0"/>
    <n v="0"/>
    <m/>
    <m/>
    <m/>
    <n v="0"/>
    <n v="0"/>
    <m/>
    <m/>
    <n v="0"/>
    <n v="0"/>
    <s v="Without informing, machine is placed at another lab but a/c to them its not in use"/>
    <n v="1541060"/>
    <n v="15"/>
    <n v="102737.33333333333"/>
    <n v="3806245"/>
    <n v="-296275.66666666669"/>
    <s v="Sales behind track"/>
    <n v="-19751.711111111112"/>
    <n v="0.45"/>
    <n v="693477"/>
    <n v="0.35"/>
  </r>
  <r>
    <s v="Jahangir Jalil"/>
    <x v="2"/>
    <s v="Vitros 3600"/>
    <n v="15002758"/>
    <s v="Immunoassay"/>
    <n v="3002000027"/>
    <s v="N/A"/>
    <n v="36001565"/>
    <s v="05.05.2023"/>
    <s v="17.04.2023"/>
    <s v="17.04.2023"/>
    <s v="Available"/>
    <m/>
    <x v="1"/>
    <x v="0"/>
    <s v="Dadu"/>
    <n v="3020000917"/>
    <x v="60"/>
    <s v="N/A"/>
    <s v="Liaqat University of Medical &amp; Health (Jamshoro)"/>
    <s v="0334-0020341"/>
    <s v="fehandio@gmail.com"/>
    <s v="9030415-2"/>
    <m/>
    <n v="16350883"/>
    <n v="29"/>
    <n v="1477881"/>
    <m/>
    <m/>
    <m/>
    <m/>
    <s v="on track "/>
    <m/>
    <s v="deficit will cover in upcoming months"/>
    <s v="They've to comsume remaining reagents of ROCHE, so they are dividing the load. In coming months, deficit will be covered once ROCHE kits has been finished."/>
    <s v="No order received in August 2023"/>
    <s v="Working with customer to get the PO to cover the deficit of August 2023"/>
    <s v="No Orders received in Sep 2023"/>
    <s v="Following up for Over due payments before getting their order"/>
    <m/>
    <m/>
    <m/>
    <m/>
    <s v="Due payment issues"/>
    <s v=" Working to get all over due payment and new PO will process"/>
    <s v="Price revision within April 2024"/>
    <m/>
    <s v="Prices revision in discussion, machine isnt in opertational condiation due to hardware issues."/>
    <m/>
    <m/>
    <s v="no sales in july"/>
    <m/>
    <m/>
    <m/>
    <m/>
    <m/>
    <m/>
    <n v="823288.59"/>
    <n v="0"/>
    <n v="743994.95"/>
    <n v="607700"/>
    <n v="1827500"/>
    <n v="22100"/>
    <n v="0"/>
    <n v="1505200"/>
    <n v="0"/>
    <n v="0"/>
    <n v="1092300"/>
    <n v="299700"/>
    <n v="6921783.54"/>
    <n v="0"/>
    <n v="441000"/>
    <n v="0"/>
    <n v="0"/>
    <m/>
    <m/>
    <m/>
    <m/>
    <m/>
    <m/>
    <m/>
    <m/>
    <n v="441000"/>
    <m/>
    <m/>
    <m/>
    <n v="0"/>
    <n v="0"/>
    <m/>
    <n v="7362783.54"/>
    <n v="17"/>
    <n v="433104.91411764704"/>
    <n v="13405769.583999999"/>
    <n v="-1044776.0858823529"/>
    <s v="Sales behind track"/>
    <n v="-61457.416816608995"/>
    <n v="0.4"/>
    <n v="2945113.4160000002"/>
    <n v="0.35"/>
  </r>
  <r>
    <s v="Jahangir Jalil"/>
    <x v="2"/>
    <s v="Vitros 3600"/>
    <n v="15002758"/>
    <s v="Immunoassay"/>
    <n v="3002000027"/>
    <s v="N/A"/>
    <n v="36001565"/>
    <m/>
    <m/>
    <s v="25.04.2025"/>
    <s v="Available"/>
    <m/>
    <x v="5"/>
    <x v="0"/>
    <s v="Dadu"/>
    <n v="3020000917"/>
    <x v="60"/>
    <s v="N/A"/>
    <s v="Liaqat University of Medical &amp; Health (Jamshoro)"/>
    <s v="0334-0020341"/>
    <s v="fehandio@gmail.com"/>
    <s v="9030415-2"/>
    <m/>
    <n v="16465883"/>
    <n v="60"/>
    <n v="864628"/>
    <m/>
    <m/>
    <m/>
    <m/>
    <m/>
    <m/>
    <m/>
    <m/>
    <m/>
    <m/>
    <m/>
    <m/>
    <m/>
    <m/>
    <m/>
    <m/>
    <m/>
    <m/>
    <m/>
    <m/>
    <m/>
    <m/>
    <m/>
    <m/>
    <m/>
    <m/>
    <s v="Pull BAck"/>
    <s v="Daniyal will take update"/>
    <n v="1"/>
    <s v="Placed"/>
    <n v="823288.59"/>
    <n v="0"/>
    <n v="743994.95"/>
    <n v="607700"/>
    <n v="1827500"/>
    <n v="22100"/>
    <n v="0"/>
    <n v="1505200"/>
    <n v="0"/>
    <n v="0"/>
    <n v="1092300"/>
    <n v="299700"/>
    <n v="6921783.54"/>
    <n v="0"/>
    <n v="441000"/>
    <n v="0"/>
    <n v="0"/>
    <n v="0"/>
    <n v="0"/>
    <n v="0"/>
    <n v="0"/>
    <n v="0"/>
    <n v="0"/>
    <n v="0"/>
    <m/>
    <n v="441000"/>
    <n v="0"/>
    <n v="0"/>
    <n v="0"/>
    <n v="0"/>
    <n v="0"/>
    <m/>
    <n v="7362783.54"/>
    <n v="20"/>
    <n v="368139.17700000003"/>
    <n v="13520769.583999999"/>
    <n v="-496488.82299999997"/>
    <s v="Sales behind track"/>
    <n v="-24824.441149999999"/>
    <n v="0.4"/>
    <n v="2945113.4160000002"/>
    <n v="0.4"/>
  </r>
  <r>
    <s v="Jahangir Jalil"/>
    <x v="2"/>
    <s v="Vitros ECiQ"/>
    <n v="15002759"/>
    <s v="Immunoassay"/>
    <n v="3002000087"/>
    <m/>
    <n v="30006188"/>
    <m/>
    <d v="2023-12-15T00:00:00"/>
    <s v="2.10.2025"/>
    <s v="Available"/>
    <m/>
    <x v="0"/>
    <x v="2"/>
    <s v="Islamabad"/>
    <n v="3020000936"/>
    <x v="61"/>
    <m/>
    <s v="Off 06,2nd Floor Waqar Centre, Canning Road, Saddar, Rawalpindi"/>
    <s v="051-5120050/5521248, 0333-5720322"/>
    <s v="magmapk@yahoo.com"/>
    <m/>
    <s v="35302-1882668-3"/>
    <n v="6818058"/>
    <n v="36"/>
    <n v="392516"/>
    <m/>
    <m/>
    <m/>
    <m/>
    <m/>
    <m/>
    <m/>
    <m/>
    <m/>
    <m/>
    <m/>
    <m/>
    <m/>
    <m/>
    <m/>
    <m/>
    <m/>
    <m/>
    <m/>
    <m/>
    <m/>
    <m/>
    <m/>
    <m/>
    <m/>
    <m/>
    <s v="on Track"/>
    <s v="on track, to add TFT profile"/>
    <n v="1"/>
    <s v="Placed"/>
    <n v="955655"/>
    <n v="0"/>
    <n v="61560"/>
    <n v="880770"/>
    <n v="0"/>
    <n v="123080"/>
    <n v="188785"/>
    <n v="0"/>
    <n v="504101"/>
    <n v="573549"/>
    <n v="472661"/>
    <n v="1172180"/>
    <n v="4932341"/>
    <n v="0"/>
    <n v="571455"/>
    <n v="0"/>
    <n v="500320"/>
    <n v="1132725"/>
    <n v="1368005"/>
    <n v="895385"/>
    <n v="481310"/>
    <n v="15980"/>
    <n v="58140"/>
    <m/>
    <m/>
    <n v="5023320"/>
    <n v="511332"/>
    <n v="544884"/>
    <n v="245254"/>
    <n v="1301470"/>
    <n v="339902.5"/>
    <m/>
    <n v="11257131"/>
    <n v="27"/>
    <n v="416930.77777777775"/>
    <n v="2315205.5999999996"/>
    <n v="24414.777777777752"/>
    <s v="Sales on track "/>
    <n v="904.25102880658335"/>
    <n v="0.4"/>
    <n v="4502852.4000000004"/>
    <n v="0.35"/>
  </r>
  <r>
    <s v="Hammad Noor"/>
    <x v="0"/>
    <s v="iFlash 1200"/>
    <n v="15002553"/>
    <s v="Immunoassay"/>
    <n v="3002000019"/>
    <s v="N/A"/>
    <s v="ID00026524"/>
    <s v="06.09.2022"/>
    <s v="07.14.2022"/>
    <s v="18.07.2022"/>
    <s v="Available"/>
    <m/>
    <x v="1"/>
    <x v="2"/>
    <s v="Abbotobad"/>
    <n v="3020000943"/>
    <x v="62"/>
    <s v="MR. KHALID HUSSAIN QURESHI"/>
    <s v="M/S VALLEY HEALTH CARE LABORATORIES,MAIN MANSEHRA ROAD, MIRPUR ABBOTTABAD."/>
    <s v="0345-9236895"/>
    <s v="healthcarecare204@gmail.com  "/>
    <s v="6392920-4"/>
    <m/>
    <n v="2100000"/>
    <n v="12"/>
    <n v="490395"/>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s v="0.5 Mio order received will be invoiced till 15th August. 0.5 Mio sales every month"/>
    <s v="0.5 Mio order received will be invoiced till 15th August. 0.5 Mio sales every month"/>
    <s v="New order of approx. 1 million will be recieved next month to cover the defecit"/>
    <s v="Strong follow up"/>
    <s v="Stock Unavailable"/>
    <s v="Stock has been Recieved ,will be invoiced"/>
    <m/>
    <s v="Stock has been Recieved ,will be invoiced"/>
    <m/>
    <m/>
    <m/>
    <m/>
    <s v="Meeting will be held in April to discuss this case"/>
    <m/>
    <m/>
    <m/>
    <m/>
    <m/>
    <m/>
    <m/>
    <s v="Machine Trf to WH"/>
    <m/>
    <m/>
    <m/>
    <m/>
    <m/>
    <m/>
    <m/>
    <n v="1803278.69"/>
    <m/>
    <m/>
    <n v="-52359"/>
    <m/>
    <m/>
    <m/>
    <m/>
    <n v="1750919.69"/>
    <m/>
    <m/>
    <n v="553215"/>
    <m/>
    <m/>
    <m/>
    <m/>
    <m/>
    <m/>
    <m/>
    <n v="0"/>
    <n v="131275"/>
    <n v="684490"/>
    <m/>
    <m/>
    <m/>
    <n v="0"/>
    <n v="65637.5"/>
    <m/>
    <n v="2435409.69"/>
    <n v="23"/>
    <n v="105887.37782608696"/>
    <n v="1125836.1239999998"/>
    <n v="-384507.62217391306"/>
    <s v="Sales behind track ( No sales after Aug, beside commitment)"/>
    <n v="-16717.722703213611"/>
    <n v="0.4"/>
    <n v="974163.87600000005"/>
    <n v="0.4"/>
  </r>
  <r>
    <s v="Jahangir Jalil"/>
    <x v="4"/>
    <s v="STA SATELLITE MAX"/>
    <n v="15003000"/>
    <s v="Coagulation Analyzer"/>
    <n v="3002000114"/>
    <m/>
    <n v="1736"/>
    <m/>
    <m/>
    <s v="1.30.2025"/>
    <s v="Available"/>
    <m/>
    <x v="0"/>
    <x v="1"/>
    <s v="Lahore"/>
    <n v="3020000960"/>
    <x v="63"/>
    <m/>
    <s v="rashid latif medical complex gul e berah stop Kasur road"/>
    <s v="0336-5399909"/>
    <s v="muhammad.imran@rimc.edu.pk"/>
    <s v="3407280-2"/>
    <m/>
    <n v="3432757"/>
    <n v="36"/>
    <n v="214221"/>
    <m/>
    <m/>
    <m/>
    <m/>
    <m/>
    <m/>
    <m/>
    <m/>
    <m/>
    <m/>
    <m/>
    <m/>
    <m/>
    <m/>
    <m/>
    <m/>
    <m/>
    <m/>
    <m/>
    <m/>
    <m/>
    <m/>
    <m/>
    <m/>
    <m/>
    <m/>
    <s v="will be discussed then Pull back and will given to national hospital"/>
    <s v="revised quatation to be submitted by AM, invoice expected in April"/>
    <m/>
    <m/>
    <m/>
    <m/>
    <m/>
    <m/>
    <m/>
    <m/>
    <m/>
    <m/>
    <m/>
    <m/>
    <m/>
    <m/>
    <n v="0"/>
    <m/>
    <n v="482899.98000000004"/>
    <n v="41435.24"/>
    <n v="0"/>
    <n v="145894.42000000001"/>
    <n v="111684.1"/>
    <n v="198298"/>
    <n v="0"/>
    <n v="126221.29999999999"/>
    <n v="52404"/>
    <m/>
    <n v="145891.79999999999"/>
    <n v="1304728.8400000001"/>
    <m/>
    <m/>
    <m/>
    <n v="0"/>
    <n v="99147.9"/>
    <m/>
    <n v="1304728.8400000001"/>
    <n v="11"/>
    <n v="118611.71272727274"/>
    <n v="2910865.4639999997"/>
    <n v="-95609.287272727262"/>
    <s v="Sales behind track"/>
    <n v="-8691.7533884297518"/>
    <n v="0.4"/>
    <n v="521891.53600000008"/>
    <n v="0.4"/>
  </r>
  <r>
    <s v="Hammad Noor"/>
    <x v="1"/>
    <s v="Selectra Mach 5"/>
    <n v="15002463"/>
    <s v="Clinical Chemistry"/>
    <n v="3002000115"/>
    <m/>
    <s v="24-5048"/>
    <m/>
    <m/>
    <s v="25.04.2025"/>
    <s v="Available"/>
    <m/>
    <x v="0"/>
    <x v="1"/>
    <s v="Gujranwala"/>
    <n v="3020000979"/>
    <x v="64"/>
    <s v="N/A"/>
    <s v="GT road, civil lines, Gujranwala"/>
    <s v="055-3732003"/>
    <s v="sheeza.tariq94@gmail.com"/>
    <s v="3965326-9"/>
    <m/>
    <n v="7115000"/>
    <n v="62"/>
    <n v="624712"/>
    <m/>
    <m/>
    <m/>
    <m/>
    <m/>
    <m/>
    <m/>
    <m/>
    <m/>
    <m/>
    <m/>
    <m/>
    <m/>
    <m/>
    <m/>
    <m/>
    <m/>
    <m/>
    <m/>
    <m/>
    <m/>
    <m/>
    <m/>
    <m/>
    <m/>
    <m/>
    <s v="on Track"/>
    <s v="On Track"/>
    <n v="1"/>
    <s v="Placed"/>
    <m/>
    <m/>
    <m/>
    <m/>
    <m/>
    <m/>
    <m/>
    <m/>
    <m/>
    <m/>
    <m/>
    <m/>
    <n v="0"/>
    <m/>
    <m/>
    <n v="718270"/>
    <n v="1074986"/>
    <n v="1023917"/>
    <n v="621068"/>
    <n v="277731.5"/>
    <n v="764542.5"/>
    <n v="48840"/>
    <n v="703037.3"/>
    <n v="77975"/>
    <n v="207281.5"/>
    <n v="5517648.7999999998"/>
    <n v="310130.15000000002"/>
    <n v="466119"/>
    <n v="195891.5"/>
    <n v="972140.65"/>
    <n v="326739.07500000001"/>
    <m/>
    <n v="6489789.4500000002"/>
    <n v="12"/>
    <n v="540815.78749999998"/>
    <n v="4194594.7475000005"/>
    <n v="-83896.212500000023"/>
    <s v="Sales on track"/>
    <n v="-6991.3510416666686"/>
    <n v="0.45"/>
    <n v="2920405.2524999999"/>
    <n v="0.45"/>
  </r>
  <r>
    <s v="Hammad Noor"/>
    <x v="1"/>
    <s v="Selectra Mach 5"/>
    <n v="15002463"/>
    <s v="Clinical Chemistry"/>
    <n v="3002000105"/>
    <s v="Transfer from Sharif TMC"/>
    <s v="24-5018"/>
    <m/>
    <m/>
    <s v="24.07.2025"/>
    <m/>
    <s v="backup"/>
    <x v="0"/>
    <x v="1"/>
    <s v="Gujranwala"/>
    <n v="3020000979"/>
    <x v="64"/>
    <m/>
    <m/>
    <m/>
    <m/>
    <m/>
    <m/>
    <n v="7115000"/>
    <n v="38"/>
    <n v="554232"/>
    <m/>
    <m/>
    <m/>
    <m/>
    <m/>
    <m/>
    <m/>
    <m/>
    <m/>
    <m/>
    <m/>
    <m/>
    <m/>
    <m/>
    <m/>
    <m/>
    <m/>
    <m/>
    <m/>
    <m/>
    <m/>
    <m/>
    <m/>
    <m/>
    <m/>
    <m/>
    <s v="on Track"/>
    <s v="On Track - Part pending - Waleed"/>
    <n v="1"/>
    <s v="Placed"/>
    <m/>
    <m/>
    <m/>
    <m/>
    <m/>
    <m/>
    <m/>
    <m/>
    <m/>
    <m/>
    <m/>
    <m/>
    <n v="0"/>
    <m/>
    <m/>
    <m/>
    <m/>
    <m/>
    <m/>
    <n v="277731.5"/>
    <n v="764542.5"/>
    <n v="48840"/>
    <n v="703037.3"/>
    <n v="77975"/>
    <n v="207281.5"/>
    <n v="2079407.8"/>
    <n v="310130.15000000002"/>
    <n v="466119"/>
    <n v="195891.5"/>
    <n v="972140.65"/>
    <n v="326739.07500000001"/>
    <m/>
    <n v="3051548.45"/>
    <n v="8"/>
    <n v="381443.55625000002"/>
    <m/>
    <n v="-172788.44374999998"/>
    <m/>
    <n v="-21598.555468749997"/>
    <m/>
    <n v="0"/>
    <n v="0"/>
  </r>
  <r>
    <s v="Jahangir Jalil"/>
    <x v="2"/>
    <s v="Vitros ECiQ Immunodiagnostic System"/>
    <n v="15002760"/>
    <s v="Immunoassay"/>
    <m/>
    <s v="From hormone to Ridhan to Med Care Hospital"/>
    <n v="30006181"/>
    <m/>
    <m/>
    <s v="05.12.2024"/>
    <m/>
    <m/>
    <x v="0"/>
    <x v="1"/>
    <s v="Gujranwala"/>
    <n v="3020000979"/>
    <x v="65"/>
    <m/>
    <s v="Gill road, Civil Lines, Punjab"/>
    <s v="055-3732003 &amp; 0337-0460249"/>
    <s v="sheeza.tariq94@gmail.com"/>
    <s v="3965326-9"/>
    <m/>
    <n v="5415000"/>
    <n v="37"/>
    <n v="518873"/>
    <m/>
    <m/>
    <m/>
    <m/>
    <m/>
    <m/>
    <m/>
    <m/>
    <m/>
    <m/>
    <m/>
    <m/>
    <m/>
    <m/>
    <m/>
    <m/>
    <m/>
    <m/>
    <e v="#N/A"/>
    <m/>
    <m/>
    <m/>
    <m/>
    <m/>
    <m/>
    <m/>
    <s v="Behind Target"/>
    <s v="Will be on track"/>
    <n v="1"/>
    <m/>
    <m/>
    <m/>
    <m/>
    <m/>
    <m/>
    <m/>
    <m/>
    <m/>
    <m/>
    <m/>
    <m/>
    <n v="1454603"/>
    <n v="1454603"/>
    <n v="0"/>
    <n v="802483"/>
    <n v="409692"/>
    <n v="411828"/>
    <n v="949897"/>
    <n v="278043"/>
    <n v="1045122"/>
    <n v="522335"/>
    <n v="305569"/>
    <n v="176821"/>
    <m/>
    <m/>
    <n v="4901790"/>
    <n v="406749"/>
    <n v="245162"/>
    <n v="0"/>
    <n v="651911"/>
    <n v="207183"/>
    <m/>
    <n v="7008304"/>
    <n v="12"/>
    <n v="584025.33333333337"/>
    <n v="2611678.4"/>
    <n v="65152.333333333372"/>
    <s v="Sales on track "/>
    <n v="5429.361111111114"/>
    <n v="0.4"/>
    <n v="2803321.6"/>
    <n v="0.4"/>
  </r>
  <r>
    <s v="Hammad Noor"/>
    <x v="0"/>
    <s v="iFlash 1800 "/>
    <n v="15002462"/>
    <s v="Immunoassay"/>
    <m/>
    <m/>
    <m/>
    <m/>
    <m/>
    <s v="25.11.2025"/>
    <m/>
    <m/>
    <x v="1"/>
    <x v="1"/>
    <s v="Gujranwala"/>
    <n v="3020000979"/>
    <x v="64"/>
    <m/>
    <s v="GT road, civil lines, Gujranwala"/>
    <s v="055-3732003"/>
    <s v="sheeza.tariq94@gmail.com"/>
    <s v="3965326-9"/>
    <m/>
    <n v="4910685"/>
    <n v="36"/>
    <n v="330776"/>
    <m/>
    <m/>
    <m/>
    <m/>
    <m/>
    <m/>
    <m/>
    <m/>
    <m/>
    <m/>
    <m/>
    <m/>
    <m/>
    <m/>
    <m/>
    <m/>
    <m/>
    <m/>
    <m/>
    <m/>
    <m/>
    <m/>
    <m/>
    <m/>
    <m/>
    <m/>
    <s v="Closed"/>
    <m/>
    <m/>
    <s v="Closed"/>
    <m/>
    <m/>
    <m/>
    <m/>
    <m/>
    <m/>
    <m/>
    <m/>
    <m/>
    <m/>
    <m/>
    <m/>
    <n v="0"/>
    <m/>
    <m/>
    <m/>
    <m/>
    <m/>
    <m/>
    <m/>
    <m/>
    <m/>
    <m/>
    <m/>
    <m/>
    <n v="0"/>
    <m/>
    <m/>
    <m/>
    <n v="0"/>
    <n v="0"/>
    <m/>
    <n v="0"/>
    <m/>
    <e v="#DIV/0!"/>
    <m/>
    <e v="#DIV/0!"/>
    <m/>
    <e v="#DIV/0!"/>
    <m/>
    <n v="0"/>
    <n v="0"/>
  </r>
  <r>
    <s v="Hammad Noor"/>
    <x v="0"/>
    <s v="iFlash 1200"/>
    <n v="15002553"/>
    <s v="Immunoassay"/>
    <n v="3002000099"/>
    <m/>
    <s v="ID00175847"/>
    <m/>
    <m/>
    <s v="14.05.2025"/>
    <m/>
    <m/>
    <x v="0"/>
    <x v="2"/>
    <s v="Peshawar"/>
    <n v="3020000987"/>
    <x v="66"/>
    <m/>
    <m/>
    <m/>
    <m/>
    <m/>
    <m/>
    <n v="2915000"/>
    <n v="36"/>
    <n v="307062"/>
    <m/>
    <m/>
    <m/>
    <m/>
    <m/>
    <m/>
    <m/>
    <m/>
    <m/>
    <m/>
    <m/>
    <m/>
    <m/>
    <m/>
    <m/>
    <m/>
    <m/>
    <m/>
    <m/>
    <m/>
    <m/>
    <m/>
    <m/>
    <m/>
    <m/>
    <m/>
    <s v="Behind track"/>
    <s v="Waqar will confirm about the status"/>
    <n v="1"/>
    <s v="Placed"/>
    <m/>
    <m/>
    <m/>
    <m/>
    <m/>
    <m/>
    <m/>
    <m/>
    <m/>
    <m/>
    <m/>
    <n v="703400"/>
    <n v="703400"/>
    <m/>
    <m/>
    <m/>
    <n v="568280"/>
    <n v="0"/>
    <n v="0"/>
    <n v="0"/>
    <n v="271800"/>
    <n v="0"/>
    <n v="0"/>
    <n v="0"/>
    <n v="844820"/>
    <n v="1684900"/>
    <n v="174700"/>
    <m/>
    <m/>
    <n v="174700"/>
    <n v="254880"/>
    <m/>
    <n v="2563000"/>
    <n v="10"/>
    <n v="256300"/>
    <n v="1889800"/>
    <n v="-50762"/>
    <s v="Sales behind track"/>
    <n v="-5076.2"/>
    <n v="0.4"/>
    <n v="1025200"/>
    <n v="0.4"/>
  </r>
  <r>
    <s v="Jahangir Jalil"/>
    <x v="4"/>
    <s v="STA Compact Max"/>
    <n v="15003000"/>
    <s v="Coagulation Analyzer"/>
    <s v="AR#300141"/>
    <s v="N/A"/>
    <m/>
    <m/>
    <m/>
    <s v="02.04.2024"/>
    <s v="Not Available"/>
    <m/>
    <x v="1"/>
    <x v="0"/>
    <s v="Karachi"/>
    <n v="3020001019"/>
    <x v="67"/>
    <s v="N/A"/>
    <s v="A-5/A, National Highway, DHA Phase-1, Near Kalapul, Sindh"/>
    <s v="021-35380000, 0345-2086204"/>
    <s v="info@nmc.net.pk"/>
    <s v="0818709-6"/>
    <m/>
    <n v="4045003"/>
    <n v="36"/>
    <n v="465012"/>
    <m/>
    <m/>
    <m/>
    <m/>
    <m/>
    <m/>
    <m/>
    <m/>
    <m/>
    <m/>
    <m/>
    <m/>
    <m/>
    <m/>
    <m/>
    <m/>
    <m/>
    <m/>
    <m/>
    <m/>
    <m/>
    <m/>
    <m/>
    <m/>
    <m/>
    <m/>
    <s v="Closed"/>
    <m/>
    <m/>
    <m/>
    <m/>
    <m/>
    <m/>
    <m/>
    <m/>
    <m/>
    <m/>
    <m/>
    <m/>
    <m/>
    <m/>
    <m/>
    <n v="0"/>
    <m/>
    <m/>
    <m/>
    <m/>
    <m/>
    <m/>
    <m/>
    <m/>
    <m/>
    <m/>
    <m/>
    <m/>
    <n v="0"/>
    <m/>
    <m/>
    <m/>
    <n v="0"/>
    <n v="0"/>
    <s v="Pulled back and placed at Karachi warehouse."/>
    <n v="0"/>
    <s v="-"/>
    <e v="#VALUE!"/>
    <n v="4045003"/>
    <e v="#VALUE!"/>
    <s v="Sales not started yet"/>
    <e v="#VALUE!"/>
    <n v="0.4"/>
    <n v="0"/>
    <n v="0.4"/>
  </r>
  <r>
    <s v="Hammad Noor"/>
    <x v="1"/>
    <s v="Selectra PRO M "/>
    <n v="15002128"/>
    <s v="Clinical Chemistry"/>
    <s v="AR # 300323"/>
    <s v="Transferred from demo"/>
    <s v="20-4085"/>
    <m/>
    <m/>
    <s v="23.05.2025"/>
    <m/>
    <s v="Demo order still not received"/>
    <x v="0"/>
    <x v="1"/>
    <s v="Quetta"/>
    <n v="3020001042"/>
    <x v="68"/>
    <m/>
    <s v="Shop 2, Whdat Colony, Brewary Road, Balochistan"/>
    <s v="081-2440931 &amp; 0300-3805199"/>
    <s v="bilal.chishti@ahf.com.pk"/>
    <s v="7600330-1"/>
    <m/>
    <n v="4100000"/>
    <n v="37"/>
    <n v="163502"/>
    <m/>
    <m/>
    <m/>
    <m/>
    <m/>
    <m/>
    <m/>
    <m/>
    <m/>
    <m/>
    <m/>
    <m/>
    <m/>
    <m/>
    <m/>
    <m/>
    <m/>
    <m/>
    <m/>
    <m/>
    <m/>
    <m/>
    <m/>
    <m/>
    <m/>
    <m/>
    <s v="on Track"/>
    <s v="on Track"/>
    <n v="1"/>
    <s v="Placed"/>
    <m/>
    <n v="1000000"/>
    <n v="5357692"/>
    <n v="512300"/>
    <m/>
    <m/>
    <n v="693179"/>
    <n v="252622"/>
    <m/>
    <m/>
    <m/>
    <n v="13540"/>
    <n v="7829333"/>
    <m/>
    <n v="0"/>
    <n v="0"/>
    <n v="0"/>
    <n v="0"/>
    <n v="530000"/>
    <n v="0"/>
    <n v="629759"/>
    <n v="23244"/>
    <m/>
    <n v="1284379"/>
    <n v="500000"/>
    <n v="2967382"/>
    <n v="0"/>
    <n v="0"/>
    <n v="0"/>
    <n v="0"/>
    <n v="356875.8"/>
    <m/>
    <n v="10796715"/>
    <n v="20"/>
    <n v="539835.75"/>
    <n v="-758521.75"/>
    <n v="-582258.24076923076"/>
    <s v="Sales behind track"/>
    <n v="-29112.912038461538"/>
    <n v="0.45"/>
    <n v="4858521.75"/>
    <n v="0.45"/>
  </r>
  <r>
    <s v="Hammad Noor"/>
    <x v="3"/>
    <s v="Swelab Lumi"/>
    <n v="15002248"/>
    <s v="Hematology"/>
    <s v="AR # 300320"/>
    <m/>
    <s v="TE11042147005"/>
    <m/>
    <s v="12.07.2024"/>
    <m/>
    <s v="Available"/>
    <m/>
    <x v="0"/>
    <x v="2"/>
    <s v="Mirpur Azad Kashmir"/>
    <n v="3020001042"/>
    <x v="69"/>
    <m/>
    <s v="Al khidmat complex, 3-km Khayban-e-Jinnah road, Punjab"/>
    <s v="0333-4695192 &amp; 042-35957260"/>
    <s v="asad.tufail@ahf.com.pk"/>
    <s v="7600330-1"/>
    <m/>
    <n v="2059750"/>
    <n v="36"/>
    <n v="100802"/>
    <m/>
    <m/>
    <m/>
    <m/>
    <m/>
    <m/>
    <m/>
    <m/>
    <m/>
    <m/>
    <m/>
    <m/>
    <m/>
    <m/>
    <m/>
    <m/>
    <m/>
    <m/>
    <e v="#N/A"/>
    <m/>
    <m/>
    <m/>
    <m/>
    <m/>
    <m/>
    <m/>
    <s v="Behind Track due to supply issue"/>
    <s v="Visit in April and then update the status"/>
    <n v="1"/>
    <s v="Placed"/>
    <m/>
    <m/>
    <n v="1216000"/>
    <n v="198000"/>
    <n v="0"/>
    <n v="0"/>
    <n v="0"/>
    <n v="99000"/>
    <n v="29000"/>
    <n v="0"/>
    <n v="0"/>
    <n v="349000"/>
    <n v="1891000"/>
    <n v="0"/>
    <n v="0"/>
    <n v="0"/>
    <n v="0"/>
    <n v="0"/>
    <n v="0"/>
    <n v="0"/>
    <n v="0"/>
    <n v="0"/>
    <n v="0"/>
    <n v="0"/>
    <n v="112250"/>
    <n v="112250"/>
    <n v="0"/>
    <n v="0"/>
    <m/>
    <n v="0"/>
    <n v="22450"/>
    <m/>
    <n v="2003250"/>
    <n v="4"/>
    <n v="500812.5"/>
    <n v="1258450"/>
    <n v="400010.5"/>
    <s v="Sales on track"/>
    <n v="100002.625"/>
    <n v="0.4"/>
    <n v="801300"/>
    <n v="0.4"/>
  </r>
  <r>
    <s v="Hammad Noor"/>
    <x v="1"/>
    <s v="Selectra Mach 5"/>
    <n v="15002463"/>
    <s v="Clinical Chemistry"/>
    <n v="3002000017"/>
    <m/>
    <s v="22-5023"/>
    <s v="29.08.2022"/>
    <s v="16.08.2022"/>
    <s v="22.08.2022"/>
    <s v="Available"/>
    <m/>
    <x v="1"/>
    <x v="0"/>
    <s v="Karachi"/>
    <n v="3020001047"/>
    <x v="70"/>
    <s v="Shazia Parveen"/>
    <s v="R 8, Sector 5c/4 Sector 5 C 4 New Karachi Town, Karachi,"/>
    <s v="0323-2342326"/>
    <s v="not available"/>
    <m/>
    <s v="42101-4970811-0"/>
    <m/>
    <m/>
    <m/>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s v="Problem with machines. Now new business case will be prepared"/>
    <m/>
    <s v="New business case submitted for approval, due to machine problem."/>
    <m/>
    <m/>
    <m/>
    <m/>
    <m/>
    <m/>
    <m/>
    <m/>
    <m/>
    <n v="75305.23"/>
    <n v="162894.44500000001"/>
    <n v="0"/>
    <n v="0"/>
    <n v="108085.85500000001"/>
    <n v="12500"/>
    <n v="0"/>
    <n v="245489"/>
    <n v="160439.5"/>
    <n v="0"/>
    <n v="0"/>
    <n v="0"/>
    <n v="764714.03"/>
    <n v="0"/>
    <m/>
    <n v="0"/>
    <m/>
    <m/>
    <m/>
    <m/>
    <m/>
    <m/>
    <m/>
    <m/>
    <m/>
    <n v="0"/>
    <m/>
    <m/>
    <m/>
    <n v="0"/>
    <n v="0"/>
    <m/>
    <n v="764714.03"/>
    <n v="37"/>
    <n v="20667.946756756759"/>
    <n v="-344121.31350000005"/>
    <n v="20667.946756756759"/>
    <s v="Sales on track"/>
    <n v="558.59315558802052"/>
    <n v="0.45"/>
    <n v="344121.31350000005"/>
    <n v="0.45"/>
  </r>
  <r>
    <s v="Hammad Noor"/>
    <x v="1"/>
    <s v="Selectra Mach 5"/>
    <n v="15002463"/>
    <s v="Clinical Chemistry"/>
    <n v="3002000017"/>
    <s v="N/A"/>
    <s v="22-5023"/>
    <m/>
    <m/>
    <s v="04.04.2024"/>
    <s v="Not Available"/>
    <m/>
    <x v="5"/>
    <x v="0"/>
    <s v="Karachi"/>
    <n v="3020001047"/>
    <x v="70"/>
    <s v="Shazia Parveen"/>
    <s v="R 8, Sector 5c/4 Sector 5 C 4 New Karachi Town, Karachi,"/>
    <s v="0323-2342326"/>
    <s v="not available"/>
    <m/>
    <s v="42101-4970811-0"/>
    <n v="4500000"/>
    <n v="37"/>
    <n v="404240"/>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s v="Mach 5 kits were N/A initally, once kits were order was on hold due to non payment"/>
    <s v="Now machine is fixed after the visit of Elitech Team and we are getting supplies timely which will help us to improve our business."/>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m/>
    <m/>
    <m/>
    <s v="Order in hand, awaiting for shipment "/>
    <m/>
    <s v="no sales in july"/>
    <m/>
    <m/>
    <s v="behind track need followup"/>
    <s v="Pull back by April 30"/>
    <n v="1"/>
    <s v="Placed"/>
    <n v="75305.23"/>
    <n v="162894.44500000001"/>
    <n v="0"/>
    <n v="0"/>
    <n v="108085.85500000001"/>
    <n v="12500"/>
    <n v="0"/>
    <n v="245489"/>
    <n v="160439.5"/>
    <n v="0"/>
    <n v="0"/>
    <n v="0"/>
    <n v="764714.03"/>
    <n v="0"/>
    <n v="0"/>
    <n v="0"/>
    <n v="261520.54"/>
    <n v="90822.950000000012"/>
    <n v="149392"/>
    <n v="0"/>
    <n v="204777"/>
    <n v="145376"/>
    <n v="181755"/>
    <n v="0"/>
    <n v="0"/>
    <n v="1033643.49"/>
    <n v="73919.67"/>
    <n v="0"/>
    <n v="0"/>
    <n v="73919.67"/>
    <n v="42612.445"/>
    <s v="No Sales after sep-24"/>
    <n v="1872277.19"/>
    <n v="20"/>
    <n v="93613.859499999991"/>
    <n v="3657475.2645"/>
    <n v="-310626.14049999998"/>
    <s v="Sales behind track"/>
    <n v="-15531.307024999998"/>
    <n v="0.45"/>
    <n v="842524.73549999995"/>
    <n v="0.45"/>
  </r>
  <r>
    <s v="Jahangir Jalil"/>
    <x v="4"/>
    <s v="STA Compact Max Cap precing"/>
    <n v="15003159"/>
    <s v="Coagulation Analyzer"/>
    <n v="3002000096"/>
    <m/>
    <n v="8673"/>
    <m/>
    <m/>
    <s v="14.10.2024"/>
    <m/>
    <m/>
    <x v="0"/>
    <x v="0"/>
    <s v="Karachi"/>
    <n v="3020001067"/>
    <x v="71"/>
    <m/>
    <s v="H.J Rafique Shaheed Road, South Saddar Town, Karachi "/>
    <s v="0322-2328894"/>
    <s v="mursaleem.nicvd@gmail.com"/>
    <s v="9033300-4"/>
    <m/>
    <n v="5741480.5"/>
    <n v="6"/>
    <n v="2106303.5"/>
    <m/>
    <m/>
    <m/>
    <m/>
    <m/>
    <m/>
    <m/>
    <m/>
    <m/>
    <m/>
    <m/>
    <m/>
    <m/>
    <m/>
    <m/>
    <m/>
    <m/>
    <m/>
    <e v="#REF!"/>
    <m/>
    <m/>
    <m/>
    <m/>
    <m/>
    <m/>
    <m/>
    <s v="on Track"/>
    <s v="on track - check March Sales Rafay"/>
    <n v="1"/>
    <s v="Placed"/>
    <m/>
    <m/>
    <m/>
    <m/>
    <m/>
    <m/>
    <m/>
    <m/>
    <m/>
    <n v="10851396"/>
    <n v="1239776"/>
    <n v="4030196"/>
    <n v="16121368"/>
    <n v="0"/>
    <n v="246892"/>
    <n v="2964712"/>
    <n v="0"/>
    <n v="0"/>
    <n v="2600500"/>
    <n v="0"/>
    <n v="0"/>
    <n v="3437600"/>
    <n v="2287400"/>
    <n v="2865200"/>
    <n v="244000"/>
    <n v="14646304"/>
    <m/>
    <n v="23200"/>
    <n v="972400"/>
    <n v="995600"/>
    <n v="1278440"/>
    <m/>
    <n v="31763272"/>
    <n v="15"/>
    <n v="2117551.4666666668"/>
    <n v="-6963828.3000000007"/>
    <n v="11247.966666666791"/>
    <s v="Sales behind track"/>
    <n v="749.86444444445272"/>
    <n v="0.4"/>
    <n v="12705308.800000001"/>
    <n v="0.4"/>
  </r>
  <r>
    <s v="Hammad Noor"/>
    <x v="3"/>
    <s v="Swelab Alfa Plus Sampler BD Ar"/>
    <n v="15001968"/>
    <s v="Hematology "/>
    <n v="3002000041"/>
    <s v="N/A"/>
    <n v="120754"/>
    <s v="22.11.2022"/>
    <s v="07.11.2022"/>
    <s v="27.10.2023"/>
    <s v="Available"/>
    <m/>
    <x v="0"/>
    <x v="0"/>
    <s v="Karachi"/>
    <n v="3020001067"/>
    <x v="71"/>
    <s v="N/A"/>
    <s v="H.J Rafique Shaheed Road, South Saddar Town, Karachi "/>
    <s v="0322-2328894"/>
    <s v="mursaleem.nicvd@gmail.com"/>
    <s v="9033300-4"/>
    <m/>
    <n v="1954396"/>
    <n v="36"/>
    <n v="323047"/>
    <m/>
    <m/>
    <m/>
    <m/>
    <m/>
    <m/>
    <m/>
    <m/>
    <m/>
    <m/>
    <m/>
    <m/>
    <m/>
    <m/>
    <m/>
    <m/>
    <s v="Order is in process due to Payment issue we didnt consider po."/>
    <s v="this month we will recevie order and exicute "/>
    <s v="we will increase our prices in new tender which is in process."/>
    <m/>
    <s v="Technical Evaluation in process, prices will reviesed once new awarded to us."/>
    <s v="New tender in technical Evalualtion"/>
    <m/>
    <m/>
    <m/>
    <m/>
    <s v="on Track"/>
    <s v="on Track"/>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n v="37"/>
    <n v="147121.74689189187"/>
    <n v="-223005.85399999982"/>
    <n v="-175925.25310810813"/>
    <s v="Sales behind track"/>
    <n v="-4754.7365704894091"/>
    <n v="0.4"/>
    <n v="2177401.8539999998"/>
    <n v="0.4"/>
  </r>
  <r>
    <s v="Jahangir Jalil"/>
    <x v="4"/>
    <s v="STA Compact Max Cap precing"/>
    <n v="15003159"/>
    <s v="Coagulation Analyzer"/>
    <m/>
    <m/>
    <m/>
    <m/>
    <m/>
    <s v="15.10.2025"/>
    <m/>
    <m/>
    <x v="4"/>
    <x v="0"/>
    <s v="Karachi"/>
    <n v="3020001067"/>
    <x v="71"/>
    <m/>
    <s v="H.J Rafique Shaheed Road, South Saddar Town, Karachi "/>
    <s v="0322-2328894"/>
    <s v="mursaleem.nicvd@gmail.com"/>
    <s v="9033300-4"/>
    <m/>
    <n v="5557031"/>
    <n v="6"/>
    <n v="2106303.5"/>
    <m/>
    <m/>
    <m/>
    <m/>
    <m/>
    <m/>
    <m/>
    <m/>
    <m/>
    <m/>
    <m/>
    <m/>
    <m/>
    <m/>
    <m/>
    <m/>
    <m/>
    <m/>
    <e v="#REF!"/>
    <m/>
    <m/>
    <m/>
    <m/>
    <m/>
    <m/>
    <m/>
    <s v="Behind Track machine placed in july 2025"/>
    <s v="on track - check March Sales Rafay"/>
    <n v="1"/>
    <s v="Placed - Operational"/>
    <m/>
    <m/>
    <m/>
    <m/>
    <m/>
    <m/>
    <m/>
    <m/>
    <m/>
    <m/>
    <m/>
    <m/>
    <n v="0"/>
    <m/>
    <m/>
    <m/>
    <m/>
    <m/>
    <m/>
    <m/>
    <m/>
    <m/>
    <m/>
    <m/>
    <m/>
    <n v="0"/>
    <m/>
    <n v="0"/>
    <n v="972400"/>
    <n v="972400"/>
    <n v="486200"/>
    <m/>
    <n v="972400"/>
    <m/>
    <e v="#DIV/0!"/>
    <n v="5168071"/>
    <e v="#DIV/0!"/>
    <s v="Sales behind track"/>
    <e v="#DIV/0!"/>
    <n v="0.4"/>
    <n v="388960"/>
    <n v="0.4"/>
  </r>
  <r>
    <s v="Hammad Noor"/>
    <x v="3"/>
    <s v="Swelab Alfa Plus Sampler BD Ar"/>
    <n v="15001968"/>
    <s v="Hematology "/>
    <n v="3002000041"/>
    <s v="N/A"/>
    <n v="120751"/>
    <m/>
    <m/>
    <s v="20.12.2024"/>
    <m/>
    <m/>
    <x v="5"/>
    <x v="0"/>
    <s v="Karachi"/>
    <n v="3020001067"/>
    <x v="71"/>
    <m/>
    <s v="H.J Rafique Shaheed Road, South Saddar Town, Karachi "/>
    <s v="0322-2328894"/>
    <s v="mursaleem.nicvd@gmail.com"/>
    <s v="9033300-4"/>
    <m/>
    <n v="1071000"/>
    <n v="60"/>
    <n v="111305"/>
    <m/>
    <m/>
    <m/>
    <m/>
    <m/>
    <m/>
    <m/>
    <m/>
    <m/>
    <m/>
    <m/>
    <m/>
    <m/>
    <m/>
    <m/>
    <m/>
    <m/>
    <m/>
    <e v="#REF!"/>
    <m/>
    <m/>
    <m/>
    <m/>
    <m/>
    <m/>
    <m/>
    <s v="on Track"/>
    <s v="on Track"/>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n v="37"/>
    <n v="147121.74689189187"/>
    <n v="-1106401.8539999998"/>
    <n v="35816.746891891875"/>
    <s v="Sales on track"/>
    <n v="968.02018626734798"/>
    <n v="0.4"/>
    <n v="2177401.8539999998"/>
    <n v="0.4"/>
  </r>
  <r>
    <s v="Hammad Noor"/>
    <x v="3"/>
    <s v="Swelab Alfa Plus Sampler BD Ar"/>
    <n v="15001967"/>
    <s v="Hematology"/>
    <s v="AR # 300410"/>
    <m/>
    <n v="127707"/>
    <m/>
    <m/>
    <s v="05.13.2025"/>
    <m/>
    <s v="Appropriation request pending but machine delivered against B.C"/>
    <x v="0"/>
    <x v="0"/>
    <s v="Karachi"/>
    <n v="3020001074"/>
    <x v="72"/>
    <m/>
    <s v="Plot No ST-15, Block 16, Federal B Area, Sindh"/>
    <s v="021-99330011"/>
    <s v="kihd@cdgk@gmail.com"/>
    <s v="9030950-8"/>
    <m/>
    <n v="1515000"/>
    <n v="36"/>
    <n v="109047"/>
    <m/>
    <m/>
    <m/>
    <m/>
    <m/>
    <m/>
    <m/>
    <m/>
    <m/>
    <m/>
    <m/>
    <m/>
    <m/>
    <m/>
    <m/>
    <m/>
    <m/>
    <m/>
    <m/>
    <m/>
    <m/>
    <m/>
    <m/>
    <m/>
    <m/>
    <m/>
    <s v="on Track"/>
    <s v="Sales not in track - April Sales 650k"/>
    <n v="1"/>
    <s v="Placed"/>
    <m/>
    <m/>
    <m/>
    <m/>
    <m/>
    <m/>
    <m/>
    <m/>
    <m/>
    <m/>
    <m/>
    <m/>
    <n v="0"/>
    <m/>
    <m/>
    <m/>
    <m/>
    <n v="635200"/>
    <n v="0"/>
    <n v="0"/>
    <n v="0"/>
    <n v="144340"/>
    <m/>
    <m/>
    <m/>
    <n v="779540"/>
    <n v="0"/>
    <n v="0"/>
    <n v="0"/>
    <n v="0"/>
    <n v="0"/>
    <m/>
    <n v="779540"/>
    <n v="5"/>
    <n v="155908"/>
    <n v="1203184"/>
    <n v="-223571"/>
    <s v="Sales behind track"/>
    <n v="-44714.2"/>
    <n v="0.4"/>
    <n v="311816"/>
    <n v="0.4"/>
  </r>
  <r>
    <s v="Hammad Noor"/>
    <x v="0"/>
    <s v="iFlash 1800"/>
    <n v="15002462"/>
    <s v="Immunoassay"/>
    <n v="3002000009"/>
    <s v="Machine has been transferred from Noor to Jiliani"/>
    <s v="IA00092922"/>
    <s v="01.07.2022"/>
    <s v="28.06.2022"/>
    <s v="28.06.2022"/>
    <s v="Available"/>
    <m/>
    <x v="3"/>
    <x v="0"/>
    <s v="Quetta"/>
    <n v="3020001083"/>
    <x v="73"/>
    <s v="Asad Ullah"/>
    <s v="Shop # 5, Yet Road, Near M.A. Jinnah Road,"/>
    <s v="0307-3800575 , 081-2826500"/>
    <s v="noor.lab.surgical@gmail.com"/>
    <m/>
    <s v="54400-0524139-1"/>
    <n v="2675000"/>
    <n v="14"/>
    <n v="690432"/>
    <m/>
    <m/>
    <m/>
    <m/>
    <m/>
    <m/>
    <m/>
    <m/>
    <m/>
    <m/>
    <m/>
    <m/>
    <m/>
    <m/>
    <m/>
    <m/>
    <m/>
    <m/>
    <m/>
    <m/>
    <s v="This machine was pullback and installed in Burhani khi "/>
    <m/>
    <m/>
    <m/>
    <m/>
    <m/>
    <m/>
    <m/>
    <m/>
    <m/>
    <m/>
    <m/>
    <m/>
    <m/>
    <m/>
    <m/>
    <m/>
    <m/>
    <m/>
    <m/>
    <m/>
    <m/>
    <n v="0"/>
    <m/>
    <m/>
    <m/>
    <m/>
    <m/>
    <m/>
    <m/>
    <m/>
    <n v="0"/>
    <m/>
    <n v="0"/>
    <m/>
    <n v="0"/>
    <m/>
    <m/>
    <m/>
    <n v="0"/>
    <n v="0"/>
    <s v="Closed - No sales after Feb 23"/>
    <n v="0"/>
    <n v="10"/>
    <n v="0"/>
    <n v="2675000"/>
    <n v="-690432"/>
    <s v="Sales behind track"/>
    <n v="-69043.199999999997"/>
    <n v="0.4"/>
    <n v="0"/>
    <n v="0.4"/>
  </r>
  <r>
    <s v="Jahangir Jalil"/>
    <x v="6"/>
    <s v="Nova Prime CCS"/>
    <n v="15002705"/>
    <s v="Arterial Blood Gas Analyzer"/>
    <m/>
    <m/>
    <m/>
    <m/>
    <m/>
    <s v="02.07.2025"/>
    <m/>
    <m/>
    <x v="4"/>
    <x v="1"/>
    <s v="Lahore"/>
    <n v="3020001092"/>
    <x v="74"/>
    <m/>
    <m/>
    <m/>
    <m/>
    <m/>
    <m/>
    <n v="1904821"/>
    <n v="30"/>
    <n v="299183"/>
    <m/>
    <m/>
    <m/>
    <m/>
    <m/>
    <m/>
    <m/>
    <m/>
    <m/>
    <m/>
    <m/>
    <m/>
    <m/>
    <m/>
    <m/>
    <m/>
    <m/>
    <m/>
    <m/>
    <m/>
    <m/>
    <m/>
    <m/>
    <m/>
    <m/>
    <m/>
    <s v="Due to shortages of stock"/>
    <s v="Due to shortages of stock"/>
    <m/>
    <s v="Placed"/>
    <m/>
    <m/>
    <m/>
    <m/>
    <m/>
    <m/>
    <m/>
    <m/>
    <m/>
    <m/>
    <m/>
    <m/>
    <n v="0"/>
    <m/>
    <m/>
    <m/>
    <m/>
    <m/>
    <m/>
    <m/>
    <m/>
    <m/>
    <m/>
    <m/>
    <m/>
    <n v="0"/>
    <n v="368850"/>
    <m/>
    <m/>
    <n v="368850"/>
    <n v="368850"/>
    <m/>
    <n v="368850"/>
    <n v="1"/>
    <n v="368850"/>
    <n v="1904821"/>
    <n v="69667"/>
    <m/>
    <n v="69667"/>
    <m/>
    <n v="0"/>
    <n v="0"/>
  </r>
  <r>
    <s v="Jahangir Jalil"/>
    <x v="7"/>
    <s v="Laura XL"/>
    <n v="15002673"/>
    <s v="Urine Analyzer"/>
    <m/>
    <m/>
    <m/>
    <m/>
    <m/>
    <s v="14.10.2025"/>
    <m/>
    <m/>
    <x v="4"/>
    <x v="0"/>
    <s v="Karachi"/>
    <n v="3020000135"/>
    <x v="75"/>
    <m/>
    <m/>
    <m/>
    <m/>
    <m/>
    <m/>
    <n v="6101141"/>
    <n v="37"/>
    <n v="432965"/>
    <m/>
    <m/>
    <m/>
    <m/>
    <m/>
    <m/>
    <m/>
    <m/>
    <m/>
    <m/>
    <m/>
    <m/>
    <m/>
    <m/>
    <m/>
    <m/>
    <m/>
    <m/>
    <m/>
    <m/>
    <m/>
    <m/>
    <m/>
    <m/>
    <m/>
    <m/>
    <s v="Behind track"/>
    <s v="will be on track by April"/>
    <m/>
    <s v="Placed"/>
    <m/>
    <m/>
    <m/>
    <m/>
    <m/>
    <m/>
    <m/>
    <m/>
    <m/>
    <m/>
    <m/>
    <m/>
    <n v="0"/>
    <m/>
    <m/>
    <m/>
    <m/>
    <m/>
    <m/>
    <m/>
    <m/>
    <m/>
    <m/>
    <m/>
    <m/>
    <n v="0"/>
    <n v="404200"/>
    <n v="111800"/>
    <n v="725400"/>
    <n v="1241400"/>
    <n v="413800"/>
    <m/>
    <n v="1241400"/>
    <m/>
    <e v="#DIV/0!"/>
    <m/>
    <e v="#DIV/0!"/>
    <m/>
    <e v="#DIV/0!"/>
    <m/>
    <n v="0"/>
    <n v="0"/>
  </r>
  <r>
    <s v="Jahangir Jalil"/>
    <x v="4"/>
    <s v="STA Compact Max3"/>
    <n v="15003001"/>
    <s v="Urine Analyzer"/>
    <m/>
    <m/>
    <m/>
    <m/>
    <m/>
    <s v="13.10.2025"/>
    <m/>
    <m/>
    <x v="2"/>
    <x v="0"/>
    <s v="Karachi"/>
    <n v="3020001115"/>
    <x v="76"/>
    <m/>
    <m/>
    <m/>
    <m/>
    <m/>
    <m/>
    <n v="7395308"/>
    <n v="40"/>
    <n v="688873"/>
    <m/>
    <m/>
    <m/>
    <m/>
    <m/>
    <m/>
    <m/>
    <m/>
    <m/>
    <m/>
    <m/>
    <m/>
    <m/>
    <m/>
    <m/>
    <m/>
    <m/>
    <m/>
    <m/>
    <m/>
    <m/>
    <m/>
    <m/>
    <m/>
    <m/>
    <m/>
    <s v="New Installation"/>
    <s v="on track - check March Sales Rafay"/>
    <m/>
    <s v="Placed"/>
    <m/>
    <m/>
    <m/>
    <m/>
    <m/>
    <m/>
    <m/>
    <m/>
    <m/>
    <m/>
    <m/>
    <m/>
    <n v="0"/>
    <m/>
    <m/>
    <m/>
    <m/>
    <m/>
    <m/>
    <m/>
    <m/>
    <m/>
    <m/>
    <m/>
    <m/>
    <n v="0"/>
    <m/>
    <m/>
    <m/>
    <n v="0"/>
    <n v="0"/>
    <m/>
    <n v="0"/>
    <m/>
    <e v="#DIV/0!"/>
    <m/>
    <e v="#DIV/0!"/>
    <m/>
    <e v="#DIV/0!"/>
    <m/>
    <n v="0"/>
    <n v="0"/>
  </r>
  <r>
    <s v="Jahangir Jalil"/>
    <x v="2"/>
    <s v="Vitros ECiQ"/>
    <n v="15002760"/>
    <s v="Immunoassay"/>
    <n v="3002000080"/>
    <m/>
    <n v="30006375"/>
    <m/>
    <m/>
    <m/>
    <m/>
    <m/>
    <x v="0"/>
    <x v="1"/>
    <s v="Lahore"/>
    <n v="3020001124"/>
    <x v="77"/>
    <m/>
    <m/>
    <m/>
    <m/>
    <m/>
    <m/>
    <n v="18808000"/>
    <m/>
    <n v="3123750"/>
    <m/>
    <m/>
    <m/>
    <m/>
    <m/>
    <m/>
    <m/>
    <m/>
    <m/>
    <m/>
    <m/>
    <m/>
    <m/>
    <m/>
    <m/>
    <m/>
    <m/>
    <m/>
    <m/>
    <m/>
    <m/>
    <m/>
    <m/>
    <m/>
    <m/>
    <m/>
    <s v="Behind Target need to followup"/>
    <s v="issue settled will be on track soon"/>
    <n v="1"/>
    <m/>
    <m/>
    <m/>
    <m/>
    <m/>
    <m/>
    <m/>
    <m/>
    <m/>
    <m/>
    <m/>
    <m/>
    <m/>
    <n v="0"/>
    <m/>
    <m/>
    <n v="0"/>
    <n v="6230153"/>
    <n v="3749491.8000000003"/>
    <n v="19000"/>
    <n v="0"/>
    <n v="0"/>
    <n v="0"/>
    <n v="0"/>
    <m/>
    <m/>
    <n v="9998644.8000000007"/>
    <n v="0"/>
    <n v="0"/>
    <n v="0"/>
    <n v="0"/>
    <n v="0"/>
    <m/>
    <n v="9998644.8000000007"/>
    <n v="10"/>
    <n v="999864.4800000001"/>
    <m/>
    <n v="-2123885.52"/>
    <m/>
    <n v="-212388.552"/>
    <m/>
    <n v="0"/>
    <n v="0"/>
  </r>
  <r>
    <s v="Jahangir Jalil"/>
    <x v="4"/>
    <s v="STA Compact Max3"/>
    <n v="15003001"/>
    <s v="coagulation"/>
    <m/>
    <m/>
    <m/>
    <m/>
    <m/>
    <s v="20.10.2025"/>
    <m/>
    <m/>
    <x v="4"/>
    <x v="1"/>
    <s v="Lahore"/>
    <n v="3020001124"/>
    <x v="78"/>
    <s v="Hafiz Aneaq Ahmed"/>
    <s v="Ghaus-ul-azam Road, jail road punjab lahore"/>
    <s v="042-99203053, 03008183288"/>
    <s v="punjab.cardiology@gmail.com"/>
    <s v="9020107-1"/>
    <s v="_"/>
    <n v="15492667"/>
    <n v="23"/>
    <n v="4804146"/>
    <m/>
    <m/>
    <m/>
    <m/>
    <m/>
    <m/>
    <m/>
    <m/>
    <m/>
    <m/>
    <m/>
    <m/>
    <m/>
    <m/>
    <m/>
    <m/>
    <m/>
    <m/>
    <m/>
    <m/>
    <m/>
    <m/>
    <m/>
    <m/>
    <m/>
    <m/>
    <s v="On Track"/>
    <s v="on Track"/>
    <n v="1"/>
    <s v="Placed  "/>
    <m/>
    <m/>
    <m/>
    <m/>
    <m/>
    <m/>
    <m/>
    <m/>
    <m/>
    <m/>
    <m/>
    <m/>
    <n v="0"/>
    <m/>
    <m/>
    <m/>
    <m/>
    <m/>
    <m/>
    <m/>
    <m/>
    <m/>
    <m/>
    <n v="2462400"/>
    <n v="16873200"/>
    <n v="19335600"/>
    <m/>
    <m/>
    <m/>
    <n v="0"/>
    <n v="9667800"/>
    <m/>
    <n v="19335600"/>
    <n v="3"/>
    <n v="6445200"/>
    <m/>
    <n v="1641054"/>
    <m/>
    <n v="547018"/>
    <m/>
    <n v="0"/>
    <n v="0"/>
  </r>
  <r>
    <s v="Hammad Noor"/>
    <x v="0"/>
    <s v="iFlash 1200"/>
    <n v="15002553"/>
    <s v="Immunoassay"/>
    <m/>
    <m/>
    <m/>
    <m/>
    <m/>
    <s v="02.09.2025"/>
    <m/>
    <m/>
    <x v="0"/>
    <x v="1"/>
    <s v="Wazirabad"/>
    <n v="3020001131"/>
    <x v="79"/>
    <m/>
    <m/>
    <m/>
    <m/>
    <m/>
    <m/>
    <n v="3032232"/>
    <n v="36"/>
    <n v="147374"/>
    <m/>
    <m/>
    <m/>
    <m/>
    <m/>
    <m/>
    <m/>
    <m/>
    <m/>
    <m/>
    <m/>
    <m/>
    <m/>
    <m/>
    <m/>
    <m/>
    <m/>
    <m/>
    <m/>
    <m/>
    <m/>
    <m/>
    <m/>
    <m/>
    <m/>
    <m/>
    <s v="On Track"/>
    <s v="On Track"/>
    <n v="1"/>
    <s v="Placed"/>
    <m/>
    <m/>
    <m/>
    <m/>
    <m/>
    <m/>
    <m/>
    <m/>
    <m/>
    <m/>
    <m/>
    <m/>
    <n v="0"/>
    <m/>
    <m/>
    <m/>
    <m/>
    <m/>
    <m/>
    <m/>
    <m/>
    <n v="251840"/>
    <n v="381770"/>
    <n v="0"/>
    <m/>
    <n v="633610"/>
    <m/>
    <m/>
    <n v="391470"/>
    <n v="391470"/>
    <n v="257746.66666666666"/>
    <m/>
    <n v="1025080"/>
    <n v="3"/>
    <n v="341693.33333333331"/>
    <m/>
    <n v="194319.33333333331"/>
    <m/>
    <n v="64773.111111111102"/>
    <m/>
    <n v="0"/>
    <n v="0"/>
  </r>
  <r>
    <s v="Hammad Noor"/>
    <x v="0"/>
    <s v="IFlash 1800 "/>
    <n v="15002462"/>
    <s v="Immunoassay"/>
    <n v="3002000028"/>
    <s v="N/A"/>
    <s v="IA00096624"/>
    <s v="27.01.2023"/>
    <s v="10.01.2023"/>
    <s v="27.02.2023"/>
    <s v="Available"/>
    <m/>
    <x v="0"/>
    <x v="1"/>
    <s v="Gujranwala"/>
    <n v="3020001141"/>
    <x v="80"/>
    <s v="Mr. Nawaz Ahmed Bajwa"/>
    <s v="Sialkot Road, Gujranwala."/>
    <s v="055-3259061-3"/>
    <s v="Not Available"/>
    <s v="2298630-8"/>
    <m/>
    <n v="3706000"/>
    <n v="15"/>
    <n v="541370"/>
    <m/>
    <m/>
    <s v="1 month sales, first order sale still not completed due to unavailiblity of stock"/>
    <s v="Stock unavailable "/>
    <s v="account has been blocked "/>
    <s v="invoice 0.7 Mio has been recieved "/>
    <s v="order will be executed in Aug 0.6 Mio"/>
    <s v="Stocks issue resolved few new parameters added we are expecting in Q3 we will cover the deficit ."/>
    <s v="800,000 order invoiced "/>
    <s v="in line as per business comitment "/>
    <m/>
    <m/>
    <m/>
    <m/>
    <m/>
    <m/>
    <m/>
    <m/>
    <s v="Sales are on track"/>
    <m/>
    <m/>
    <m/>
    <m/>
    <m/>
    <m/>
    <m/>
    <s v="On Track"/>
    <s v="On Track"/>
    <n v="1"/>
    <s v="Placed"/>
    <n v="640175"/>
    <n v="530975"/>
    <n v="569950"/>
    <n v="469775"/>
    <n v="561800"/>
    <n v="577100"/>
    <n v="873725"/>
    <n v="747100"/>
    <n v="811225"/>
    <n v="365700"/>
    <n v="855075"/>
    <n v="583900"/>
    <n v="7586500"/>
    <n v="672050"/>
    <n v="462125"/>
    <n v="422120"/>
    <n v="576650"/>
    <n v="634525"/>
    <n v="468775"/>
    <n v="514375"/>
    <n v="574200"/>
    <n v="505350"/>
    <n v="359125"/>
    <n v="714925"/>
    <n v="377400"/>
    <n v="6281620"/>
    <n v="574900"/>
    <n v="986225"/>
    <n v="843500"/>
    <n v="2404625"/>
    <n v="642679.16666666663"/>
    <m/>
    <n v="16272745"/>
    <n v="35"/>
    <n v="464935.57142857142"/>
    <n v="-2803098"/>
    <n v="-76434.42857142858"/>
    <s v="Sales on track"/>
    <n v="-2183.8408163265308"/>
    <n v="0.4"/>
    <n v="6509098"/>
    <n v="0.4"/>
  </r>
  <r>
    <s v="Jahangir Jalil"/>
    <x v="7"/>
    <s v="EC90"/>
    <n v="15002674"/>
    <s v="Electrolyte Analyzer"/>
    <m/>
    <m/>
    <s v="5867-2-202302"/>
    <m/>
    <m/>
    <s v="12.09.2025"/>
    <m/>
    <m/>
    <x v="0"/>
    <x v="0"/>
    <s v="Karachi"/>
    <n v="3020001174"/>
    <x v="81"/>
    <m/>
    <m/>
    <m/>
    <m/>
    <m/>
    <m/>
    <n v="633821"/>
    <n v="22"/>
    <n v="63930"/>
    <m/>
    <m/>
    <m/>
    <m/>
    <m/>
    <m/>
    <m/>
    <m/>
    <m/>
    <m/>
    <m/>
    <m/>
    <m/>
    <m/>
    <m/>
    <m/>
    <m/>
    <m/>
    <m/>
    <m/>
    <m/>
    <m/>
    <m/>
    <m/>
    <m/>
    <m/>
    <s v="Pull Back"/>
    <s v="invoice in April"/>
    <n v="1"/>
    <s v="Placed"/>
    <m/>
    <m/>
    <m/>
    <m/>
    <m/>
    <m/>
    <m/>
    <m/>
    <m/>
    <m/>
    <m/>
    <m/>
    <n v="0"/>
    <m/>
    <m/>
    <m/>
    <m/>
    <m/>
    <m/>
    <m/>
    <m/>
    <n v="87100"/>
    <m/>
    <m/>
    <m/>
    <n v="87100"/>
    <n v="0"/>
    <n v="0"/>
    <n v="0"/>
    <n v="0"/>
    <n v="0"/>
    <m/>
    <n v="87100"/>
    <n v="5"/>
    <n v="17420"/>
    <m/>
    <n v="-46510"/>
    <m/>
    <n v="-9302"/>
    <m/>
    <n v="0"/>
    <n v="0"/>
  </r>
  <r>
    <s v="Jahangir Jalil"/>
    <x v="7"/>
    <s v="ECL412"/>
    <n v="15002668"/>
    <s v="Coagulation Analyzer"/>
    <n v="3002000074"/>
    <m/>
    <s v="E0672-41-300621"/>
    <m/>
    <m/>
    <s v="16.09.2024"/>
    <m/>
    <m/>
    <x v="0"/>
    <x v="0"/>
    <s v="Nawabshah"/>
    <n v="3020001175"/>
    <x v="82"/>
    <m/>
    <m/>
    <m/>
    <m/>
    <m/>
    <m/>
    <n v="483475"/>
    <n v="6"/>
    <n v="143250"/>
    <m/>
    <m/>
    <m/>
    <m/>
    <m/>
    <m/>
    <m/>
    <m/>
    <m/>
    <m/>
    <m/>
    <m/>
    <m/>
    <m/>
    <m/>
    <m/>
    <m/>
    <m/>
    <e v="#N/A"/>
    <m/>
    <m/>
    <m/>
    <m/>
    <m/>
    <m/>
    <m/>
    <s v="behind track need followup"/>
    <s v="will be on track by April - follow up by Daniyal"/>
    <n v="1"/>
    <s v="Placed"/>
    <m/>
    <m/>
    <m/>
    <m/>
    <m/>
    <m/>
    <m/>
    <m/>
    <m/>
    <m/>
    <m/>
    <m/>
    <n v="0"/>
    <m/>
    <m/>
    <m/>
    <m/>
    <n v="0"/>
    <n v="154153"/>
    <n v="0"/>
    <n v="0"/>
    <n v="150763"/>
    <n v="0"/>
    <n v="0"/>
    <n v="0"/>
    <n v="304916"/>
    <n v="155085"/>
    <m/>
    <n v="113390"/>
    <n v="268475"/>
    <n v="53695"/>
    <s v="tender based busi. Demo kits have been issued then they’ll order"/>
    <n v="573391"/>
    <n v="6"/>
    <n v="95565.166666666672"/>
    <n v="254118.59999999998"/>
    <n v="-47684.833333333328"/>
    <s v="Sales from June, Sales on track"/>
    <n v="-7947.4722222222217"/>
    <n v="0.4"/>
    <n v="229356.40000000002"/>
    <n v="0.4"/>
  </r>
  <r>
    <s v="Hammad Noor"/>
    <x v="0"/>
    <s v="iFlash 1200"/>
    <n v="15002553"/>
    <s v="Immunoassay"/>
    <m/>
    <m/>
    <m/>
    <m/>
    <m/>
    <s v="12.09.2024"/>
    <s v="Not Available"/>
    <m/>
    <x v="1"/>
    <x v="0"/>
    <s v="Nawabshah"/>
    <n v="3020001175"/>
    <x v="82"/>
    <m/>
    <m/>
    <m/>
    <m/>
    <m/>
    <m/>
    <n v="2915000"/>
    <n v="36"/>
    <n v="295221"/>
    <m/>
    <m/>
    <m/>
    <m/>
    <m/>
    <m/>
    <m/>
    <m/>
    <m/>
    <m/>
    <m/>
    <m/>
    <m/>
    <m/>
    <m/>
    <m/>
    <m/>
    <m/>
    <e v="#N/A"/>
    <m/>
    <m/>
    <m/>
    <m/>
    <m/>
    <m/>
    <m/>
    <m/>
    <m/>
    <m/>
    <m/>
    <m/>
    <m/>
    <m/>
    <m/>
    <m/>
    <m/>
    <m/>
    <m/>
    <m/>
    <m/>
    <m/>
    <m/>
    <n v="0"/>
    <m/>
    <m/>
    <m/>
    <m/>
    <m/>
    <m/>
    <n v="0"/>
    <n v="0"/>
    <m/>
    <n v="0"/>
    <n v="0"/>
    <m/>
    <n v="0"/>
    <m/>
    <m/>
    <m/>
    <n v="0"/>
    <n v="0"/>
    <m/>
    <n v="0"/>
    <m/>
    <e v="#DIV/0!"/>
    <n v="2915000"/>
    <m/>
    <s v="No sales yet"/>
    <e v="#DIV/0!"/>
    <n v="0.4"/>
    <n v="0"/>
    <n v="0.4"/>
  </r>
  <r>
    <s v="Hammad Noor"/>
    <x v="1"/>
    <s v="Selectra Mach 5"/>
    <n v="15002463"/>
    <s v="Clinical Chemistry"/>
    <n v="3002000002"/>
    <s v="N/A"/>
    <s v="21-5017"/>
    <m/>
    <s v="21.9.2023"/>
    <s v="19.03.2024"/>
    <s v="Available"/>
    <m/>
    <x v="0"/>
    <x v="1"/>
    <s v="Gujrat"/>
    <n v="3020001192"/>
    <x v="83"/>
    <s v="Govt. Institute"/>
    <s v="AZIZ BHATTI SHAHEED TEACHING HOSPITAL"/>
    <s v="053-9260104"/>
    <s v=" shaistasyed28@hotmail.com"/>
    <s v="9021249-0"/>
    <m/>
    <n v="4350000"/>
    <n v="30"/>
    <n v="391086"/>
    <m/>
    <m/>
    <m/>
    <m/>
    <m/>
    <m/>
    <m/>
    <m/>
    <m/>
    <m/>
    <m/>
    <m/>
    <m/>
    <m/>
    <m/>
    <m/>
    <m/>
    <m/>
    <m/>
    <m/>
    <m/>
    <m/>
    <m/>
    <m/>
    <m/>
    <m/>
    <s v="Pull Back"/>
    <s v="Waleed - Imran Rana will upate on it"/>
    <n v="1"/>
    <s v="Placed"/>
    <n v="3781305.1599999997"/>
    <n v="0"/>
    <n v="236600"/>
    <n v="0"/>
    <n v="0"/>
    <n v="0"/>
    <n v="2442712.11"/>
    <n v="-335500"/>
    <n v="0"/>
    <n v="685254.27"/>
    <n v="0"/>
    <n v="1821694.8600000003"/>
    <n v="8632066.3999999985"/>
    <n v="0"/>
    <n v="0"/>
    <n v="878818"/>
    <n v="0"/>
    <n v="0"/>
    <n v="0"/>
    <n v="0"/>
    <n v="0"/>
    <n v="0"/>
    <m/>
    <m/>
    <m/>
    <n v="878818"/>
    <n v="0"/>
    <n v="0"/>
    <n v="0"/>
    <n v="0"/>
    <n v="0"/>
    <m/>
    <n v="9510884.3999999985"/>
    <n v="25"/>
    <n v="380435.37599999993"/>
    <n v="70102.020000000484"/>
    <n v="-10650.624000000069"/>
    <s v="Sales on track"/>
    <n v="-426.02496000000275"/>
    <n v="0.45"/>
    <n v="4279897.9799999995"/>
    <n v="0.45"/>
  </r>
  <r>
    <s v="Hammad Noor"/>
    <x v="1"/>
    <s v="Selectra Mach 5"/>
    <n v="15002463"/>
    <s v="Clinical Chemistry"/>
    <n v="3002000105"/>
    <s v="Transferred to Medcare"/>
    <s v="24-5018"/>
    <m/>
    <m/>
    <s v="13.05.2025"/>
    <m/>
    <m/>
    <x v="1"/>
    <x v="1"/>
    <s v="Lahore"/>
    <n v="3020001221"/>
    <x v="84"/>
    <m/>
    <s v="Jatti Umra, Adda Plot Rawand Road, Punjab"/>
    <s v="042-37860101"/>
    <s v="smch@brain.net.pk"/>
    <s v="1888872-7"/>
    <m/>
    <n v="4335000"/>
    <n v="35"/>
    <n v="272436"/>
    <m/>
    <m/>
    <m/>
    <m/>
    <m/>
    <m/>
    <m/>
    <m/>
    <m/>
    <m/>
    <m/>
    <m/>
    <m/>
    <m/>
    <m/>
    <m/>
    <m/>
    <m/>
    <m/>
    <m/>
    <m/>
    <m/>
    <m/>
    <m/>
    <m/>
    <m/>
    <s v="Closed"/>
    <m/>
    <m/>
    <m/>
    <m/>
    <m/>
    <m/>
    <m/>
    <m/>
    <m/>
    <n v="258474.57"/>
    <n v="494000"/>
    <n v="354880"/>
    <m/>
    <m/>
    <n v="280000"/>
    <n v="1387354.57"/>
    <n v="0"/>
    <n v="0"/>
    <n v="0"/>
    <n v="0"/>
    <n v="0"/>
    <n v="0"/>
    <n v="0"/>
    <n v="0"/>
    <n v="0"/>
    <n v="0"/>
    <n v="0"/>
    <m/>
    <n v="0"/>
    <m/>
    <m/>
    <m/>
    <n v="0"/>
    <n v="0"/>
    <m/>
    <n v="1387354.57"/>
    <n v="16"/>
    <n v="86709.660625000004"/>
    <n v="3710690.4435000001"/>
    <n v="122659.33333333331"/>
    <s v="Sales on track"/>
    <n v="7666.2083333333321"/>
    <n v="0.45"/>
    <n v="624309.55650000006"/>
    <n v="0.45"/>
  </r>
  <r>
    <s v="Hammad Noor"/>
    <x v="1"/>
    <s v="Selectra Mach 5"/>
    <n v="15002463"/>
    <s v="Clinical Chemistry"/>
    <n v="3002000110"/>
    <m/>
    <s v="24-5032"/>
    <s v="11.02.2025"/>
    <m/>
    <s v="20.12.2024"/>
    <s v="Available"/>
    <m/>
    <x v="1"/>
    <x v="0"/>
    <s v="Karachi"/>
    <n v="3020001224"/>
    <x v="85"/>
    <m/>
    <s v="Fauji Foundation, Shahfaisal colony-2"/>
    <s v="021-3814060"/>
    <s v="shaffat.hussain@fauji.org.pk"/>
    <s v="0710317-2"/>
    <m/>
    <n v="8800000"/>
    <n v="35"/>
    <n v="389145"/>
    <m/>
    <m/>
    <m/>
    <m/>
    <m/>
    <m/>
    <m/>
    <m/>
    <m/>
    <m/>
    <m/>
    <m/>
    <m/>
    <m/>
    <m/>
    <m/>
    <m/>
    <m/>
    <e v="#N/A"/>
    <m/>
    <m/>
    <m/>
    <m/>
    <m/>
    <m/>
    <m/>
    <m/>
    <m/>
    <m/>
    <m/>
    <m/>
    <m/>
    <m/>
    <m/>
    <m/>
    <m/>
    <m/>
    <m/>
    <m/>
    <m/>
    <m/>
    <m/>
    <n v="0"/>
    <m/>
    <m/>
    <n v="4557907"/>
    <m/>
    <n v="259077"/>
    <m/>
    <m/>
    <m/>
    <m/>
    <m/>
    <m/>
    <m/>
    <n v="4816984"/>
    <m/>
    <m/>
    <m/>
    <n v="0"/>
    <n v="0"/>
    <m/>
    <n v="4816984"/>
    <n v="8"/>
    <n v="602123"/>
    <n v="6632357.1999999993"/>
    <n v="212978"/>
    <s v="Sales on track"/>
    <n v="26622.25"/>
    <n v="0.45"/>
    <n v="2167642.8000000003"/>
    <n v="0.45"/>
  </r>
  <r>
    <s v="Hammad Noor"/>
    <x v="1"/>
    <s v="Selectra Mach 5"/>
    <n v="15002463"/>
    <s v="Clinical Chemistry"/>
    <m/>
    <m/>
    <m/>
    <m/>
    <m/>
    <m/>
    <m/>
    <m/>
    <x v="5"/>
    <x v="0"/>
    <s v="Karachi"/>
    <n v="3020001224"/>
    <x v="85"/>
    <m/>
    <m/>
    <m/>
    <m/>
    <m/>
    <m/>
    <n v="8800000"/>
    <n v="37"/>
    <n v="379664"/>
    <m/>
    <m/>
    <m/>
    <m/>
    <m/>
    <m/>
    <m/>
    <m/>
    <m/>
    <m/>
    <m/>
    <m/>
    <m/>
    <m/>
    <m/>
    <m/>
    <m/>
    <m/>
    <m/>
    <m/>
    <m/>
    <m/>
    <m/>
    <m/>
    <m/>
    <m/>
    <s v="on Track"/>
    <s v="on Track - check BC - Fasi"/>
    <n v="1"/>
    <s v="Placed"/>
    <m/>
    <m/>
    <m/>
    <m/>
    <m/>
    <m/>
    <m/>
    <m/>
    <m/>
    <m/>
    <m/>
    <m/>
    <n v="0"/>
    <m/>
    <m/>
    <n v="4557907"/>
    <m/>
    <n v="259077"/>
    <m/>
    <m/>
    <n v="30000"/>
    <n v="2618773"/>
    <n v="3250213"/>
    <n v="3363259"/>
    <n v="2171078"/>
    <n v="16250307"/>
    <n v="5612247"/>
    <n v="221538"/>
    <n v="418339"/>
    <n v="6252124"/>
    <n v="2506112.3333333335"/>
    <m/>
    <n v="22502431"/>
    <n v="6"/>
    <n v="3750405.1666666665"/>
    <m/>
    <n v="3370741.1666666665"/>
    <m/>
    <n v="561790.19444444438"/>
    <m/>
    <n v="0"/>
    <n v="0"/>
  </r>
  <r>
    <s v="Jahangir Jalil"/>
    <x v="7"/>
    <s v="EC90"/>
    <n v="15002674"/>
    <s v="Electrolyte Analyzer"/>
    <n v="3002000116"/>
    <m/>
    <s v="81-1-202207"/>
    <m/>
    <m/>
    <s v="27.06.2025"/>
    <m/>
    <m/>
    <x v="0"/>
    <x v="1"/>
    <s v="Rahim Yar Khan"/>
    <n v="3020001230"/>
    <x v="86"/>
    <m/>
    <m/>
    <m/>
    <m/>
    <m/>
    <m/>
    <n v="653000"/>
    <n v="27"/>
    <n v="79375"/>
    <m/>
    <m/>
    <m/>
    <m/>
    <m/>
    <m/>
    <m/>
    <m/>
    <m/>
    <m/>
    <m/>
    <m/>
    <m/>
    <m/>
    <m/>
    <m/>
    <m/>
    <m/>
    <m/>
    <m/>
    <m/>
    <m/>
    <m/>
    <m/>
    <m/>
    <m/>
    <s v="Pull Back"/>
    <s v="Pulled Back and placed in Children Hospital  as backup - New case to be submitted"/>
    <m/>
    <s v="Placed"/>
    <m/>
    <m/>
    <m/>
    <m/>
    <m/>
    <m/>
    <m/>
    <m/>
    <m/>
    <m/>
    <n v="190500"/>
    <m/>
    <n v="190500"/>
    <m/>
    <m/>
    <n v="381000"/>
    <n v="0"/>
    <n v="0"/>
    <n v="0"/>
    <n v="0"/>
    <n v="0"/>
    <n v="0"/>
    <m/>
    <m/>
    <m/>
    <n v="381000"/>
    <m/>
    <m/>
    <m/>
    <n v="0"/>
    <n v="0"/>
    <m/>
    <n v="571500"/>
    <n v="12"/>
    <n v="47625"/>
    <n v="653000"/>
    <n v="-31750"/>
    <m/>
    <n v="-2645.8333333333335"/>
    <m/>
    <n v="0"/>
    <n v="0"/>
  </r>
  <r>
    <s v="Hammad Noor"/>
    <x v="5"/>
    <s v="DYMIND DH-76"/>
    <n v="15003243"/>
    <s v="Hematology "/>
    <m/>
    <m/>
    <s v="DM11052437001"/>
    <m/>
    <m/>
    <s v="25.04.2025"/>
    <s v="Available"/>
    <m/>
    <x v="0"/>
    <x v="1"/>
    <s v="Gujranwala"/>
    <n v="3020001237"/>
    <x v="87"/>
    <s v="N/A"/>
    <s v="Sheikhupura road, Gujranwala"/>
    <s v="0308-4227064"/>
    <s v="ssmtci@yahoo.com"/>
    <s v="2073349-6"/>
    <m/>
    <n v="2324427"/>
    <n v="37"/>
    <n v="92242"/>
    <m/>
    <m/>
    <m/>
    <m/>
    <m/>
    <m/>
    <m/>
    <m/>
    <m/>
    <m/>
    <m/>
    <m/>
    <m/>
    <m/>
    <m/>
    <m/>
    <m/>
    <m/>
    <m/>
    <m/>
    <m/>
    <m/>
    <m/>
    <m/>
    <m/>
    <m/>
    <s v="On Track but supply issue"/>
    <s v="Supply issue due to DRAP"/>
    <n v="1"/>
    <s v="Placed"/>
    <m/>
    <m/>
    <m/>
    <m/>
    <m/>
    <m/>
    <m/>
    <m/>
    <m/>
    <m/>
    <m/>
    <m/>
    <n v="0"/>
    <n v="0"/>
    <n v="0"/>
    <n v="0"/>
    <n v="238820"/>
    <n v="0"/>
    <n v="0"/>
    <n v="222380"/>
    <n v="916400"/>
    <n v="98940"/>
    <n v="100200"/>
    <m/>
    <n v="273000"/>
    <n v="1849740"/>
    <n v="0"/>
    <n v="0"/>
    <m/>
    <n v="0"/>
    <n v="93300"/>
    <m/>
    <n v="1849740"/>
    <n v="8"/>
    <n v="231217.5"/>
    <n v="1584531"/>
    <n v="138975.5"/>
    <s v="Sales on track"/>
    <n v="17371.9375"/>
    <n v="0.4"/>
    <n v="739896"/>
    <n v="0.4"/>
  </r>
  <r>
    <s v="Hammad Noor"/>
    <x v="1"/>
    <s v="Selectra Mach 5"/>
    <n v="15002463"/>
    <s v="Clinical Chemistry"/>
    <n v="3002000001"/>
    <s v="N/A"/>
    <s v="22-5003"/>
    <s v="18.01.2022"/>
    <s v="29.03.2022"/>
    <s v="20.03.2022"/>
    <s v="Available"/>
    <m/>
    <x v="0"/>
    <x v="1"/>
    <s v="Gujranwala"/>
    <n v="3020001237"/>
    <x v="87"/>
    <s v="Mr. Usman"/>
    <s v="Sheikhupura road, Gujranwala"/>
    <s v="0304-1114242"/>
    <s v=" ssmtci@yahoo.com       "/>
    <s v="2073349-6"/>
    <m/>
    <n v="4520275"/>
    <n v="32"/>
    <n v="40000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s v="issue in instrument "/>
    <s v="Sales is below agreed terms ,reason prob in instrument and shortage of stocks . We are going to revise the prices @20% .Stocks issue resolved in next three month we will cover the deficit ."/>
    <s v=" Order is in process expected orderRs. 800,000 "/>
    <s v="prices revised to mitigate the commited Sales gap "/>
    <m/>
    <m/>
    <m/>
    <m/>
    <m/>
    <m/>
    <m/>
    <m/>
    <s v="Sales are on track. We have revised the prices. Gap will be covered within next 3 months"/>
    <m/>
    <s v="Revised case"/>
    <m/>
    <m/>
    <m/>
    <m/>
    <m/>
    <s v="behind track need followup"/>
    <s v="behind track - few items short due to supply"/>
    <n v="1"/>
    <s v="Placed"/>
    <n v="0"/>
    <n v="324345"/>
    <n v="19245"/>
    <n v="225042"/>
    <n v="677282"/>
    <n v="0"/>
    <n v="710770"/>
    <n v="0"/>
    <n v="29800"/>
    <n v="298061"/>
    <n v="610185"/>
    <n v="41090"/>
    <n v="2935820"/>
    <n v="269486"/>
    <n v="487678"/>
    <n v="93646"/>
    <n v="1110653"/>
    <n v="10602"/>
    <n v="87624"/>
    <n v="45600"/>
    <n v="815305"/>
    <n v="336333"/>
    <n v="571545"/>
    <n v="-18142"/>
    <n v="441948"/>
    <n v="4252278"/>
    <n v="141569"/>
    <n v="520230"/>
    <n v="188558"/>
    <n v="850357"/>
    <n v="307618"/>
    <m/>
    <n v="8038455"/>
    <n v="45"/>
    <n v="178632.33333333334"/>
    <n v="902970.25"/>
    <n v="-221367.66666666666"/>
    <s v="Sales behind track"/>
    <n v="-4919.281481481481"/>
    <n v="0.45"/>
    <n v="3617304.75"/>
    <n v="0.45"/>
  </r>
  <r>
    <s v="Jahangir Jalil"/>
    <x v="2"/>
    <s v="Vitros ECiQ Immunodiagnostic System"/>
    <n v="15002760"/>
    <s v="Immunoassay"/>
    <n v="3002000035"/>
    <s v="N/A"/>
    <n v="30006187"/>
    <s v="20.07.2023"/>
    <s v="17.05.2023"/>
    <s v="17.05.2023"/>
    <s v="Available"/>
    <m/>
    <x v="1"/>
    <x v="1"/>
    <s v="Lahore"/>
    <n v="3020001238"/>
    <x v="88"/>
    <s v="Dr. Mateen Izhar"/>
    <s v="100-A, Shadman-1, Lahore-54000"/>
    <s v="042-37550666 &amp; 37550555"/>
    <s v="zubairee786@gmail.com     "/>
    <s v="1533283-7"/>
    <m/>
    <n v="7000000"/>
    <n v="23"/>
    <n v="909975"/>
    <m/>
    <m/>
    <m/>
    <m/>
    <s v="System is still not installed "/>
    <m/>
    <s v="System is still not installed "/>
    <s v="System is still not installed "/>
    <s v="Waiting for Inventory &amp; then invoice execution "/>
    <m/>
    <s v="New PO has been Recieved Amount Subject to Invoice "/>
    <s v="Parameter Woking Planning to shift from Roche "/>
    <m/>
    <s v="Parameter Woking Planning to shift from Roche "/>
    <s v="PO is in hand , waiting for payment "/>
    <s v="once payment will receive then order will be released by our finance and number will shown in sales "/>
    <s v="credit days issue , actually we block the orders after 30 days and our competitor has given the supplies. i think we redefine the credit days to 60"/>
    <m/>
    <s v="we have received an order of 0.4 mio. Re-negotiating the prices/Contract"/>
    <m/>
    <s v="Revised case"/>
    <m/>
    <m/>
    <s v="No sales in June and July"/>
    <m/>
    <m/>
    <m/>
    <m/>
    <m/>
    <m/>
    <n v="0"/>
    <n v="0"/>
    <n v="232100"/>
    <n v="47000"/>
    <n v="164500"/>
    <n v="0"/>
    <n v="0"/>
    <n v="0"/>
    <n v="249200"/>
    <n v="0"/>
    <n v="0"/>
    <n v="65700"/>
    <n v="758500"/>
    <n v="0"/>
    <n v="0"/>
    <n v="0"/>
    <n v="0"/>
    <n v="0"/>
    <m/>
    <m/>
    <m/>
    <m/>
    <m/>
    <m/>
    <m/>
    <n v="0"/>
    <m/>
    <m/>
    <m/>
    <n v="0"/>
    <n v="0"/>
    <m/>
    <n v="758500"/>
    <n v="23"/>
    <n v="32978.260869565216"/>
    <n v="6696600"/>
    <n v="-876996.73913043481"/>
    <s v="Sales behind track"/>
    <n v="-38130.293005671076"/>
    <n v="0.4"/>
    <n v="303400"/>
    <n v="0.35"/>
  </r>
  <r>
    <s v="Jahangir Jalil"/>
    <x v="7"/>
    <s v="EC90"/>
    <n v="15002674"/>
    <s v="Electrolyte Analyzer "/>
    <n v="3002000043"/>
    <s v="N/A"/>
    <s v="5782-2-202302 "/>
    <s v="07.08.2023 "/>
    <s v="07.11.2023"/>
    <s v="03.08.2023"/>
    <s v="Available"/>
    <m/>
    <x v="1"/>
    <x v="0"/>
    <s v="Karachi"/>
    <n v="3020001255"/>
    <x v="89"/>
    <s v="N/A"/>
    <s v="House B-24, Block 20, FB Area, Gulberg Town,"/>
    <s v="0333-3351024, 021-36341059"/>
    <s v=" lab@jdcwelfare.org"/>
    <s v="4003056-3"/>
    <m/>
    <n v="442697"/>
    <n v="11"/>
    <n v="105332.5"/>
    <m/>
    <m/>
    <m/>
    <m/>
    <m/>
    <m/>
    <n v="0"/>
    <n v="0"/>
    <s v="We've received order of 280,000 in August 2023 "/>
    <s v="Order received as per commitment"/>
    <s v="No Orders received in Sep 2023 due to innaguration preparation"/>
    <s v="Working with customer to get the desired orders as per comittment"/>
    <m/>
    <m/>
    <m/>
    <m/>
    <s v="Still lab isnt completely opperational"/>
    <m/>
    <s v="Business case to be check for monthly commitment One machine to be pull back by 15 April"/>
    <m/>
    <s v="Under dicussion on pull back of one instrument, infromed to Insituite. We will pull back one unit by May 2024."/>
    <m/>
    <m/>
    <m/>
    <m/>
    <m/>
    <m/>
    <m/>
    <m/>
    <m/>
    <m/>
    <n v="122500"/>
    <m/>
    <n v="17500"/>
    <n v="0"/>
    <m/>
    <m/>
    <m/>
    <m/>
    <m/>
    <m/>
    <m/>
    <n v="140000"/>
    <m/>
    <m/>
    <m/>
    <m/>
    <m/>
    <m/>
    <m/>
    <m/>
    <m/>
    <m/>
    <m/>
    <m/>
    <n v="0"/>
    <m/>
    <m/>
    <m/>
    <n v="0"/>
    <n v="0"/>
    <s v="Return confirm status/Hopefully pull back this month coz they were not satisfied by the services"/>
    <n v="140000"/>
    <n v="20"/>
    <n v="7000"/>
    <n v="386697"/>
    <n v="-98332.5"/>
    <s v="Sales behind track"/>
    <n v="-4916.625"/>
    <n v="0.4"/>
    <n v="56000"/>
    <n v="0.4"/>
  </r>
  <r>
    <s v="Jahangir Jalil"/>
    <x v="7"/>
    <s v="EC90"/>
    <n v="15002674"/>
    <s v="Electrolyte Analyzer "/>
    <n v="3002000043"/>
    <s v="N/A"/>
    <s v="4286-2-202208"/>
    <s v="04.07.2023"/>
    <s v="07.11.2023"/>
    <s v="08.03.2024"/>
    <s v="Available"/>
    <m/>
    <x v="1"/>
    <x v="0"/>
    <s v="Karachi"/>
    <n v="3020001255"/>
    <x v="89"/>
    <s v="N/A"/>
    <s v="House B-24, Block 20, FB Area, Gulberg Town,"/>
    <s v="0333-3351024, 021-36341059"/>
    <s v=" lab@jdcwelfare.org"/>
    <s v="4003056-3"/>
    <m/>
    <n v="442697"/>
    <n v="11"/>
    <n v="105332.5"/>
    <m/>
    <m/>
    <m/>
    <m/>
    <m/>
    <m/>
    <m/>
    <m/>
    <m/>
    <m/>
    <m/>
    <m/>
    <m/>
    <m/>
    <m/>
    <m/>
    <m/>
    <m/>
    <s v="Business case to be check for monthly commitment One machine to be pull back by 15 April"/>
    <m/>
    <s v="Under dicussion on pull back of one instrument, infromed to Insituite. We will pull back one unit by May 2024."/>
    <s v="Letter submitted to pull back one Unit"/>
    <m/>
    <m/>
    <m/>
    <m/>
    <m/>
    <m/>
    <m/>
    <m/>
    <m/>
    <n v="122500"/>
    <m/>
    <n v="17500"/>
    <n v="0"/>
    <m/>
    <m/>
    <m/>
    <m/>
    <m/>
    <m/>
    <m/>
    <n v="140000"/>
    <m/>
    <m/>
    <n v="0"/>
    <m/>
    <m/>
    <m/>
    <m/>
    <m/>
    <m/>
    <m/>
    <m/>
    <m/>
    <n v="0"/>
    <m/>
    <m/>
    <m/>
    <n v="0"/>
    <n v="0"/>
    <s v="Return confirm status/Hopefully pull back this month coz they were not satisfied by the services"/>
    <n v="140000"/>
    <n v="20"/>
    <n v="7000"/>
    <n v="386697"/>
    <n v="-98332.5"/>
    <s v="Sales behind track"/>
    <n v="-4916.625"/>
    <n v="0.4"/>
    <n v="56000"/>
    <n v="0.4"/>
  </r>
  <r>
    <s v="Hammad Noor"/>
    <x v="0"/>
    <s v="IFlash 1800 "/>
    <n v="15002462"/>
    <s v="Immunoassay"/>
    <n v="3002000071"/>
    <m/>
    <s v="IA00096724 "/>
    <m/>
    <s v="Not mentioned on the agreement "/>
    <s v="30.09.2024"/>
    <s v="Available"/>
    <m/>
    <x v="0"/>
    <x v="1"/>
    <s v="Lahore"/>
    <n v="3020001280"/>
    <x v="90"/>
    <m/>
    <s v="133-A Faisal town opposite to Allama Iqbal medical college gate no. 2"/>
    <s v="0336-4820296 &amp; 042-35163747"/>
    <s v="support@testzone.com.pk"/>
    <s v="4008662-3"/>
    <m/>
    <n v="4615000"/>
    <n v="15"/>
    <n v="2046333"/>
    <m/>
    <m/>
    <m/>
    <m/>
    <m/>
    <m/>
    <m/>
    <m/>
    <m/>
    <m/>
    <m/>
    <m/>
    <m/>
    <m/>
    <m/>
    <m/>
    <m/>
    <m/>
    <e v="#N/A"/>
    <m/>
    <m/>
    <m/>
    <m/>
    <m/>
    <m/>
    <m/>
    <s v="behind track need followup"/>
    <s v="Customer issues need to be settle in April"/>
    <n v="1"/>
    <s v="Placed"/>
    <m/>
    <m/>
    <m/>
    <m/>
    <m/>
    <m/>
    <m/>
    <n v="2085200"/>
    <n v="804000"/>
    <n v="590000"/>
    <n v="803000"/>
    <n v="0"/>
    <n v="4282200"/>
    <n v="2171000"/>
    <n v="0"/>
    <n v="0"/>
    <n v="496000"/>
    <n v="1771200"/>
    <m/>
    <n v="2783753"/>
    <m/>
    <n v="1174300"/>
    <n v="2198150"/>
    <n v="0"/>
    <m/>
    <n v="10594403"/>
    <m/>
    <m/>
    <m/>
    <n v="0"/>
    <n v="1099075"/>
    <m/>
    <n v="14876603"/>
    <n v="16"/>
    <n v="929787.6875"/>
    <n v="-1335641.2000000002"/>
    <n v="-1116545.3125"/>
    <s v="Sales beerind track"/>
    <n v="-69784.08203125"/>
    <n v="0.4"/>
    <n v="5950641.2000000002"/>
    <n v="0.4"/>
  </r>
  <r>
    <s v="Hammad Noor"/>
    <x v="0"/>
    <s v="iFlash 1200"/>
    <n v="15002553"/>
    <s v="Immunoassay"/>
    <s v="AR # 300346"/>
    <m/>
    <s v="ID00148543"/>
    <m/>
    <m/>
    <s v="17.07.2025"/>
    <m/>
    <m/>
    <x v="0"/>
    <x v="1"/>
    <s v="Multan"/>
    <n v="3020001280"/>
    <x v="91"/>
    <m/>
    <m/>
    <m/>
    <m/>
    <m/>
    <m/>
    <n v="2894655"/>
    <n v="36"/>
    <n v="529290"/>
    <m/>
    <m/>
    <m/>
    <m/>
    <m/>
    <m/>
    <m/>
    <m/>
    <m/>
    <m/>
    <m/>
    <m/>
    <m/>
    <m/>
    <m/>
    <m/>
    <m/>
    <m/>
    <m/>
    <m/>
    <m/>
    <m/>
    <m/>
    <m/>
    <m/>
    <m/>
    <s v="behind track need followup"/>
    <s v="Customer issues need to be settle in April"/>
    <n v="1"/>
    <s v="Placed"/>
    <m/>
    <m/>
    <m/>
    <m/>
    <m/>
    <m/>
    <m/>
    <m/>
    <m/>
    <m/>
    <m/>
    <n v="0"/>
    <n v="0"/>
    <m/>
    <m/>
    <m/>
    <m/>
    <m/>
    <m/>
    <m/>
    <m/>
    <m/>
    <m/>
    <n v="0"/>
    <m/>
    <n v="0"/>
    <m/>
    <m/>
    <m/>
    <n v="0"/>
    <n v="0"/>
    <m/>
    <n v="0"/>
    <m/>
    <e v="#DIV/0!"/>
    <m/>
    <e v="#DIV/0!"/>
    <m/>
    <e v="#DIV/0!"/>
    <m/>
    <n v="0"/>
    <n v="0"/>
  </r>
  <r>
    <s v="Hammad Noor"/>
    <x v="0"/>
    <s v="iFlash 3000"/>
    <n v="15003241"/>
    <s v="Immunoassay"/>
    <s v="AR # 300245"/>
    <m/>
    <s v="FC4040144B"/>
    <m/>
    <m/>
    <s v="17.07.2025"/>
    <m/>
    <m/>
    <x v="0"/>
    <x v="1"/>
    <s v="Lahore"/>
    <n v="3020001280"/>
    <x v="90"/>
    <m/>
    <s v="133-A Faisal town opposite to Allama Iqbal medical college gate no. 2"/>
    <s v="0336-4820296 &amp; 042-35163747"/>
    <s v="support@testzone.com.pk"/>
    <s v="4008662-3"/>
    <m/>
    <n v="5025642"/>
    <n v="36"/>
    <n v="1028560"/>
    <m/>
    <m/>
    <m/>
    <m/>
    <m/>
    <m/>
    <m/>
    <m/>
    <m/>
    <m/>
    <m/>
    <m/>
    <m/>
    <m/>
    <m/>
    <m/>
    <m/>
    <m/>
    <m/>
    <m/>
    <m/>
    <m/>
    <m/>
    <m/>
    <m/>
    <m/>
    <s v="behind track need followup"/>
    <s v="Customer issues need to be settle in April"/>
    <n v="1"/>
    <s v="Placed"/>
    <m/>
    <m/>
    <m/>
    <m/>
    <m/>
    <m/>
    <m/>
    <m/>
    <m/>
    <m/>
    <m/>
    <m/>
    <n v="0"/>
    <m/>
    <m/>
    <m/>
    <m/>
    <m/>
    <m/>
    <m/>
    <m/>
    <m/>
    <m/>
    <n v="0"/>
    <m/>
    <n v="0"/>
    <m/>
    <m/>
    <m/>
    <n v="0"/>
    <n v="0"/>
    <m/>
    <n v="0"/>
    <m/>
    <e v="#DIV/0!"/>
    <m/>
    <e v="#DIV/0!"/>
    <m/>
    <e v="#DIV/0!"/>
    <m/>
    <n v="0"/>
    <n v="0"/>
  </r>
  <r>
    <s v="Hammad Noor"/>
    <x v="0"/>
    <s v="iFlash 1800"/>
    <n v="15002462"/>
    <s v="Immunoassay"/>
    <n v="3002000100"/>
    <m/>
    <s v="IA00147046"/>
    <m/>
    <m/>
    <s v="14.05.2025"/>
    <m/>
    <m/>
    <x v="0"/>
    <x v="2"/>
    <s v="Rawalpindi"/>
    <n v="3020001357"/>
    <x v="92"/>
    <m/>
    <m/>
    <m/>
    <m/>
    <m/>
    <m/>
    <n v="4715000"/>
    <n v="35"/>
    <n v="551283"/>
    <m/>
    <m/>
    <m/>
    <m/>
    <m/>
    <m/>
    <m/>
    <m/>
    <m/>
    <m/>
    <m/>
    <m/>
    <m/>
    <m/>
    <m/>
    <m/>
    <m/>
    <m/>
    <m/>
    <m/>
    <m/>
    <m/>
    <m/>
    <m/>
    <m/>
    <m/>
    <s v="Behind Track Followup"/>
    <s v="over due, order of 800k will be processed in April"/>
    <n v="1"/>
    <s v="Placed"/>
    <m/>
    <m/>
    <m/>
    <m/>
    <m/>
    <m/>
    <m/>
    <m/>
    <m/>
    <m/>
    <m/>
    <m/>
    <n v="0"/>
    <n v="1124145"/>
    <n v="181223"/>
    <n v="286961"/>
    <n v="695411"/>
    <n v="722945"/>
    <n v="448757"/>
    <n v="881376"/>
    <n v="397279"/>
    <n v="571425"/>
    <n v="0"/>
    <n v="0"/>
    <n v="1474506"/>
    <n v="6784028"/>
    <n v="40800"/>
    <n v="0"/>
    <m/>
    <n v="40800"/>
    <n v="303061.2"/>
    <m/>
    <n v="6824828"/>
    <n v="13"/>
    <n v="524986.76923076925"/>
    <n v="1985068.7999999998"/>
    <n v="-26296.230769230751"/>
    <s v="Sales on track"/>
    <n v="-2022.7869822485193"/>
    <n v="0.4"/>
    <n v="2729931.2"/>
    <n v="0.4"/>
  </r>
  <r>
    <s v="Hammad Noor"/>
    <x v="3"/>
    <s v="Swelab Alfa Plus Standard"/>
    <n v="15001967"/>
    <s v="Hematology"/>
    <n v="3002000039"/>
    <m/>
    <n v="121495"/>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s v="Close"/>
    <m/>
    <m/>
    <m/>
    <m/>
    <n v="855000"/>
    <m/>
    <m/>
    <n v="1710000"/>
    <m/>
    <m/>
    <m/>
    <m/>
    <m/>
    <m/>
    <m/>
    <n v="2565000"/>
    <m/>
    <m/>
    <n v="0"/>
    <m/>
    <m/>
    <m/>
    <m/>
    <m/>
    <m/>
    <m/>
    <m/>
    <m/>
    <n v="0"/>
    <n v="0"/>
    <n v="0"/>
    <m/>
    <n v="0"/>
    <n v="0"/>
    <s v="3 machines are placed. Business case is in process. 2 machines will be placed"/>
    <n v="2565000"/>
    <n v="18"/>
    <n v="142500"/>
    <n v="-145698.59999999998"/>
    <n v="-14249.399999999994"/>
    <s v="Sales on track"/>
    <n v="-791.63333333333298"/>
    <n v="0.4"/>
    <n v="1026000"/>
    <n v="0.4"/>
  </r>
  <r>
    <s v="Hammad Noor"/>
    <x v="3"/>
    <s v="Swelab Alfa Plus Standard"/>
    <n v="15001967"/>
    <s v="Hematology"/>
    <n v="3002000064"/>
    <m/>
    <n v="121497"/>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s v="Hammad Noor"/>
    <x v="3"/>
    <s v="Swelab Alfa Plus Standard"/>
    <n v="15001967"/>
    <s v="Hematology"/>
    <n v="3002000050"/>
    <m/>
    <n v="122531"/>
    <s v="07.11.2023"/>
    <s v="31.10.2023"/>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s v="Hammad Noor"/>
    <x v="3"/>
    <s v="Swelab Alfa Plus Standard"/>
    <n v="15001967"/>
    <s v="Hematology "/>
    <n v="3002000051"/>
    <s v="N/A"/>
    <n v="123197"/>
    <s v="22.11.2023"/>
    <s v="31.10.2023"/>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s v="Hammad Noor"/>
    <x v="3"/>
    <s v="Swelab Alfa Plus Standard"/>
    <n v="15001967"/>
    <s v="Hematology"/>
    <n v="3002000048"/>
    <m/>
    <n v="121496"/>
    <s v="07.11.2023"/>
    <m/>
    <s v="07.11.2023"/>
    <s v="Available"/>
    <m/>
    <x v="1"/>
    <x v="0"/>
    <s v="Hyderabad"/>
    <n v="3020001382"/>
    <x v="93"/>
    <s v="Junaid Ahmed Jatoi"/>
    <s v="National Stadium Road, Karachi"/>
    <s v="022-2666644, 0333-2751669"/>
    <s v="enterprisesojal@gmail.com"/>
    <m/>
    <s v="45501-4957284-1"/>
    <n v="880301.4"/>
    <n v="15"/>
    <n v="156749.4"/>
    <m/>
    <m/>
    <m/>
    <m/>
    <m/>
    <m/>
    <m/>
    <m/>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n v="18"/>
    <n v="142500"/>
    <n v="-145698.59999999998"/>
    <n v="-14249.399999999994"/>
    <s v="Sales on track"/>
    <n v="-791.63333333333298"/>
    <n v="0.4"/>
    <n v="1026000"/>
    <n v="0.4"/>
  </r>
  <r>
    <s v="Hammad Noor"/>
    <x v="0"/>
    <s v="iFlash 1200"/>
    <n v="15002553"/>
    <s v="Immunoassay"/>
    <s v="AR # 300322"/>
    <s v="Transferred from demo"/>
    <s v="ID00094934"/>
    <m/>
    <m/>
    <s v="23.05.2025"/>
    <m/>
    <m/>
    <x v="0"/>
    <x v="1"/>
    <s v="Gujranwala"/>
    <n v="3020001384"/>
    <x v="94"/>
    <m/>
    <s v="Sialkot Road, Civil Lines, Punjab"/>
    <s v="055-3841018 &amp; 0322-5955955"/>
    <s v="waleed.tarrar000gmail.com"/>
    <m/>
    <s v="34101-5252040-3"/>
    <n v="2549913"/>
    <n v="36"/>
    <n v="237632"/>
    <m/>
    <m/>
    <m/>
    <m/>
    <m/>
    <m/>
    <m/>
    <m/>
    <m/>
    <m/>
    <m/>
    <m/>
    <m/>
    <m/>
    <m/>
    <m/>
    <m/>
    <m/>
    <m/>
    <m/>
    <m/>
    <m/>
    <m/>
    <m/>
    <m/>
    <m/>
    <s v="On Track"/>
    <s v="On Track"/>
    <n v="1"/>
    <s v="Placed"/>
    <m/>
    <m/>
    <m/>
    <n v="177445"/>
    <n v="495075"/>
    <m/>
    <n v="420095"/>
    <n v="211140"/>
    <n v="266225"/>
    <n v="568130"/>
    <m/>
    <n v="894585"/>
    <n v="3032695"/>
    <n v="443670"/>
    <n v="0"/>
    <n v="582767"/>
    <n v="418255"/>
    <n v="542800"/>
    <n v="664740"/>
    <n v="95220"/>
    <n v="403765"/>
    <n v="295895"/>
    <n v="671485"/>
    <n v="766780"/>
    <n v="660790"/>
    <n v="5546167"/>
    <n v="280370"/>
    <n v="77280"/>
    <n v="923220"/>
    <n v="1280870"/>
    <n v="563320.83333333337"/>
    <m/>
    <n v="9859732"/>
    <n v="23"/>
    <n v="428684"/>
    <n v="-1393979.8000000003"/>
    <n v="-125977.13888888888"/>
    <s v="Sales behind track"/>
    <n v="-5477.2669082125594"/>
    <n v="0.4"/>
    <n v="3943892.8000000003"/>
    <n v="0.4"/>
  </r>
  <r>
    <s v="Jahangir Jalil"/>
    <x v="6"/>
    <s v="Nova Prime CCS"/>
    <n v="15002705"/>
    <s v="Arterial Blood Gas Analyzer"/>
    <n v="3002000104"/>
    <m/>
    <s v="P078240140C"/>
    <m/>
    <m/>
    <s v="14.05.2025"/>
    <m/>
    <m/>
    <x v="0"/>
    <x v="2"/>
    <s v="Peshawar"/>
    <n v="3020001399"/>
    <x v="95"/>
    <m/>
    <m/>
    <m/>
    <m/>
    <m/>
    <m/>
    <n v="2270000"/>
    <n v="20"/>
    <n v="380500"/>
    <m/>
    <m/>
    <m/>
    <m/>
    <m/>
    <m/>
    <m/>
    <m/>
    <m/>
    <m/>
    <m/>
    <m/>
    <m/>
    <m/>
    <m/>
    <m/>
    <m/>
    <m/>
    <m/>
    <m/>
    <m/>
    <m/>
    <m/>
    <m/>
    <m/>
    <m/>
    <s v="Behind Track"/>
    <s v="will be on track by April"/>
    <n v="1"/>
    <s v="Placed"/>
    <m/>
    <m/>
    <m/>
    <m/>
    <m/>
    <m/>
    <m/>
    <m/>
    <m/>
    <m/>
    <m/>
    <m/>
    <n v="0"/>
    <n v="536000"/>
    <n v="0"/>
    <n v="0"/>
    <n v="0"/>
    <n v="0"/>
    <n v="1018000"/>
    <n v="0"/>
    <n v="0"/>
    <n v="0"/>
    <n v="0"/>
    <m/>
    <n v="1198000"/>
    <n v="2752000"/>
    <n v="0"/>
    <n v="-120000"/>
    <n v="120000"/>
    <n v="0"/>
    <n v="239600"/>
    <m/>
    <n v="2752000"/>
    <n v="11"/>
    <n v="250181.81818181818"/>
    <n v="1582000"/>
    <n v="-130318.18181818182"/>
    <s v="Sales behind track"/>
    <n v="-11847.10743801653"/>
    <n v="0.25"/>
    <n v="688000"/>
    <n v="0.25"/>
  </r>
  <r>
    <s v="Jahangir Jalil"/>
    <x v="9"/>
    <s v="HUBT-20P"/>
    <m/>
    <m/>
    <m/>
    <s v="Transferred from demo"/>
    <n v="2024070199"/>
    <m/>
    <m/>
    <s v="04.06.2025"/>
    <m/>
    <s v="Issued to Fawad shah for exhibition purpose in Peshawar on dated 14.04.2025 against LS Demo # 8300058987 customer # 3020001583"/>
    <x v="2"/>
    <x v="2"/>
    <s v="Peshawar"/>
    <n v="3020001399"/>
    <x v="96"/>
    <m/>
    <s v="5/B-2, Phase 5, Hayatabad, KPK"/>
    <s v="091-5838333 &amp; 0336-2244360"/>
    <s v="raees.ahmed@rmi.edu.pk"/>
    <s v="1804447-6"/>
    <m/>
    <n v="1272000"/>
    <n v="9"/>
    <n v="350000"/>
    <m/>
    <m/>
    <m/>
    <m/>
    <m/>
    <m/>
    <m/>
    <m/>
    <m/>
    <m/>
    <m/>
    <m/>
    <m/>
    <m/>
    <m/>
    <m/>
    <m/>
    <m/>
    <m/>
    <m/>
    <m/>
    <m/>
    <m/>
    <m/>
    <m/>
    <m/>
    <s v="Behind Track Followup"/>
    <s v="order will receive in April - Supply issue"/>
    <n v="1"/>
    <s v="Placed"/>
    <m/>
    <m/>
    <m/>
    <m/>
    <m/>
    <m/>
    <m/>
    <m/>
    <m/>
    <m/>
    <m/>
    <m/>
    <n v="0"/>
    <m/>
    <m/>
    <m/>
    <m/>
    <m/>
    <m/>
    <m/>
    <m/>
    <m/>
    <m/>
    <m/>
    <m/>
    <n v="0"/>
    <n v="0"/>
    <n v="0"/>
    <n v="0"/>
    <n v="0"/>
    <n v="0"/>
    <m/>
    <n v="0"/>
    <m/>
    <e v="#DIV/0!"/>
    <n v="1272000"/>
    <n v="-431006.33333333337"/>
    <s v="Sales behind track"/>
    <e v="#DIV/0!"/>
    <n v="0.4"/>
    <n v="0"/>
    <n v="0.4"/>
  </r>
  <r>
    <s v="Hammad Noor"/>
    <x v="0"/>
    <s v="iFlash 1800"/>
    <n v="15002462"/>
    <s v="Immunoassay"/>
    <n v="3002000072"/>
    <s v="Transfer to Bio Care Islamabad"/>
    <s v="iA00093422"/>
    <s v="19.09.2023"/>
    <s v="20.09.2023"/>
    <s v="20.09.2023"/>
    <s v="Not Available"/>
    <m/>
    <x v="1"/>
    <x v="2"/>
    <s v="Swat"/>
    <n v="3020001430"/>
    <x v="97"/>
    <s v="N/A"/>
    <s v=" Opposite Azeem Medical Centre, Fatima Jinnah Road"/>
    <s v="081-2823350, 0331-8055742"/>
    <s v=" sohailenterprisesqta@gmail.com"/>
    <s v="4471634-7"/>
    <s v=" 54400-4142931-3"/>
    <n v="2983545"/>
    <n v="12"/>
    <n v="751293"/>
    <m/>
    <m/>
    <m/>
    <m/>
    <m/>
    <m/>
    <m/>
    <m/>
    <m/>
    <m/>
    <m/>
    <m/>
    <m/>
    <m/>
    <m/>
    <m/>
    <m/>
    <m/>
    <s v="Recently installed "/>
    <m/>
    <m/>
    <m/>
    <m/>
    <s v="No sales in June and July"/>
    <m/>
    <m/>
    <s v="Closed"/>
    <m/>
    <n v="1"/>
    <m/>
    <n v="0"/>
    <n v="0"/>
    <n v="0"/>
    <n v="0"/>
    <n v="494250"/>
    <n v="0"/>
    <n v="0"/>
    <n v="1113140"/>
    <n v="397760"/>
    <n v="0"/>
    <n v="0"/>
    <n v="0"/>
    <n v="2005150"/>
    <n v="0"/>
    <n v="0"/>
    <n v="0"/>
    <n v="0"/>
    <n v="0"/>
    <n v="0"/>
    <n v="0"/>
    <n v="0"/>
    <n v="0"/>
    <n v="0"/>
    <n v="0"/>
    <m/>
    <n v="0"/>
    <m/>
    <m/>
    <m/>
    <n v="0"/>
    <n v="0"/>
    <m/>
    <n v="2005150"/>
    <n v="23"/>
    <n v="87180.434782608689"/>
    <n v="2181485"/>
    <n v="-664112.56521739135"/>
    <s v="No sales after May-24"/>
    <n v="-28874.459357277887"/>
    <n v="0.4"/>
    <n v="802060"/>
    <n v="0.4"/>
  </r>
  <r>
    <s v="Jahangir Jalil"/>
    <x v="6"/>
    <s v="Nova Prime CCS"/>
    <n v="15002705"/>
    <s v="Arterial Blood Gas Analyzer"/>
    <m/>
    <m/>
    <s v="P078240080C"/>
    <m/>
    <m/>
    <s v="1.27.2025"/>
    <s v="Available"/>
    <m/>
    <x v="1"/>
    <x v="2"/>
    <s v="Islamabad"/>
    <n v="3020001475"/>
    <x v="98"/>
    <m/>
    <s v="12-G, aih building G-8 marqaz near pso pump, Capital territory"/>
    <s v="0307-5629510"/>
    <s v="junaid@aih.net.pk"/>
    <s v="A049244-5"/>
    <m/>
    <n v="1790491"/>
    <n v="18"/>
    <n v="243750"/>
    <m/>
    <m/>
    <m/>
    <m/>
    <m/>
    <m/>
    <m/>
    <m/>
    <m/>
    <m/>
    <m/>
    <m/>
    <m/>
    <m/>
    <m/>
    <m/>
    <m/>
    <m/>
    <m/>
    <m/>
    <m/>
    <m/>
    <m/>
    <m/>
    <m/>
    <m/>
    <s v="Trf to WH KHI"/>
    <m/>
    <m/>
    <s v="Pulled Back"/>
    <m/>
    <m/>
    <m/>
    <m/>
    <m/>
    <m/>
    <m/>
    <m/>
    <m/>
    <m/>
    <m/>
    <m/>
    <n v="0"/>
    <n v="300000"/>
    <n v="300000"/>
    <n v="330000"/>
    <n v="300000"/>
    <n v="300000"/>
    <n v="0"/>
    <n v="0"/>
    <n v="0"/>
    <n v="0"/>
    <m/>
    <m/>
    <m/>
    <n v="1530000"/>
    <m/>
    <m/>
    <m/>
    <n v="0"/>
    <n v="0"/>
    <m/>
    <n v="1530000"/>
    <n v="9"/>
    <n v="170000"/>
    <n v="1407991"/>
    <n v="-73750"/>
    <s v="Sales on track "/>
    <n v="-8194.4444444444453"/>
    <n v="0.25"/>
    <n v="382500"/>
    <n v="0.25"/>
  </r>
  <r>
    <s v="Jahangir Jalil"/>
    <x v="2"/>
    <s v="Vitros ECiQ"/>
    <n v="15002760"/>
    <s v="Immunoassay"/>
    <m/>
    <s v="Transfer to GAMCA Venus"/>
    <m/>
    <m/>
    <m/>
    <s v="04.06.2025"/>
    <m/>
    <m/>
    <x v="1"/>
    <x v="2"/>
    <s v="Peshawar"/>
    <n v="3020001479"/>
    <x v="99"/>
    <m/>
    <s v="Office # 632, 6th Floor Pak Medical Centre,  Khyber Bazar, KPK"/>
    <s v="0333-9102734 &amp; 091-2562734"/>
    <s v="janmarketingservices@gmail.com"/>
    <m/>
    <s v="17301-1612771-3"/>
    <n v="14396400"/>
    <n v="31"/>
    <n v="1127700"/>
    <m/>
    <m/>
    <m/>
    <m/>
    <m/>
    <m/>
    <m/>
    <m/>
    <m/>
    <m/>
    <m/>
    <m/>
    <m/>
    <m/>
    <m/>
    <m/>
    <m/>
    <m/>
    <m/>
    <m/>
    <m/>
    <m/>
    <m/>
    <m/>
    <m/>
    <m/>
    <s v="Closed"/>
    <m/>
    <m/>
    <s v="Not Placed"/>
    <m/>
    <m/>
    <m/>
    <m/>
    <m/>
    <m/>
    <m/>
    <m/>
    <m/>
    <m/>
    <m/>
    <m/>
    <n v="0"/>
    <m/>
    <m/>
    <m/>
    <n v="0"/>
    <n v="0"/>
    <n v="0"/>
    <n v="0"/>
    <n v="0"/>
    <n v="438708"/>
    <m/>
    <m/>
    <n v="-255468"/>
    <n v="183240"/>
    <m/>
    <m/>
    <m/>
    <n v="0"/>
    <n v="-255468"/>
    <m/>
    <n v="183240"/>
    <n v="7"/>
    <n v="26177.142857142859"/>
    <n v="14323104"/>
    <n v="-295678.4370370371"/>
    <s v="Sales behind track"/>
    <n v="-42239.77671957673"/>
    <n v="0.4"/>
    <n v="73296"/>
    <n v="0.4"/>
  </r>
  <r>
    <s v="Jahangir Jalil"/>
    <x v="7"/>
    <s v="EC105"/>
    <n v="15002669"/>
    <s v="Coagulation Analyzer"/>
    <n v="3002000085"/>
    <m/>
    <s v="E0848-11-140423"/>
    <m/>
    <m/>
    <m/>
    <m/>
    <m/>
    <x v="0"/>
    <x v="0"/>
    <s v="Nokundi"/>
    <n v="3020001511"/>
    <x v="100"/>
    <m/>
    <s v="Korangi crossing, Korangi"/>
    <s v="0332-0366593"/>
    <s v="unsa.sajjad@tih.org.pk"/>
    <m/>
    <m/>
    <n v="162901"/>
    <n v="16"/>
    <n v="38357"/>
    <m/>
    <m/>
    <m/>
    <m/>
    <m/>
    <m/>
    <m/>
    <m/>
    <m/>
    <m/>
    <m/>
    <m/>
    <m/>
    <m/>
    <m/>
    <m/>
    <m/>
    <m/>
    <e v="#N/A"/>
    <m/>
    <m/>
    <m/>
    <m/>
    <m/>
    <m/>
    <m/>
    <s v="on Track"/>
    <s v="on Track"/>
    <n v="1"/>
    <s v="Placed"/>
    <m/>
    <m/>
    <m/>
    <m/>
    <m/>
    <m/>
    <m/>
    <m/>
    <m/>
    <m/>
    <n v="77700"/>
    <n v="25400"/>
    <n v="103100"/>
    <m/>
    <m/>
    <n v="74800"/>
    <n v="25400"/>
    <m/>
    <n v="80600"/>
    <m/>
    <m/>
    <m/>
    <m/>
    <m/>
    <n v="92900"/>
    <n v="273700"/>
    <n v="442633.33333333331"/>
    <n v="-81200"/>
    <n v="95900"/>
    <n v="457333.33333333331"/>
    <n v="137558.33333333331"/>
    <s v="Tender based busi"/>
    <n v="834133.33333333326"/>
    <n v="11"/>
    <n v="75830.303030303025"/>
    <n v="-170752.33333333331"/>
    <n v="37473.303030303025"/>
    <s v="Sales on track"/>
    <n v="3406.6639118457297"/>
    <n v="0.4"/>
    <n v="333653.33333333331"/>
    <n v="0.4"/>
  </r>
  <r>
    <s v="Jahangir Jalil"/>
    <x v="7"/>
    <s v="EC90"/>
    <n v="15002674"/>
    <s v="Electrolyte Analyzer"/>
    <s v="AR # 1900389-414"/>
    <m/>
    <s v="8931-2-202401/8034-2-202308/8036-2-202308/8961-2-202402/8982-2-202402/8933-2-202402/9273-2-202405/9275-2-202405/8170-2-202308/8183-2-202309/8197-2-202309/8173-2-202308/8196-2-202309/8177-2-202309/8140-2-202308/8185-202309/8198-2-202309/9268-2-202405/9272-2-202405/9262-2-202405/9261-2-202405/9257-2-202405/9269-2-202405/9256-2-202405/9259-2-202405/8953-2-202401"/>
    <m/>
    <m/>
    <s v="12.05.2025"/>
    <m/>
    <s v="26 Machines"/>
    <x v="0"/>
    <x v="0"/>
    <s v="Karachi"/>
    <n v="3020001511"/>
    <x v="101"/>
    <m/>
    <s v="Korangi crossing, Korangi"/>
    <s v="0332-0366596"/>
    <s v="unsa.sajjad@tih.org.pk"/>
    <s v="3162706-4"/>
    <m/>
    <n v="17326991"/>
    <n v="29"/>
    <n v="1242200"/>
    <m/>
    <m/>
    <m/>
    <m/>
    <m/>
    <m/>
    <m/>
    <m/>
    <m/>
    <m/>
    <m/>
    <m/>
    <m/>
    <m/>
    <m/>
    <m/>
    <m/>
    <m/>
    <m/>
    <m/>
    <m/>
    <m/>
    <m/>
    <m/>
    <m/>
    <m/>
    <s v="20 machines and all will be pull back"/>
    <s v="pull by - Nasir"/>
    <n v="1"/>
    <s v="Humayun"/>
    <m/>
    <m/>
    <m/>
    <m/>
    <m/>
    <m/>
    <m/>
    <m/>
    <m/>
    <m/>
    <m/>
    <m/>
    <n v="0"/>
    <m/>
    <m/>
    <m/>
    <n v="47950"/>
    <n v="344900"/>
    <n v="389200"/>
    <n v="1633400"/>
    <n v="47950"/>
    <n v="1269750"/>
    <n v="65150"/>
    <n v="0"/>
    <n v="285700"/>
    <n v="4084000"/>
    <m/>
    <m/>
    <m/>
    <n v="0"/>
    <n v="116950"/>
    <m/>
    <n v="4084000"/>
    <n v="7"/>
    <n v="583428.57142857148"/>
    <n v="15693391"/>
    <n v="-21293.666666666672"/>
    <s v=" Sales behind track 28 machines 1 quetaa 2 muzafgarh 2 badeen 1 bhong"/>
    <n v="-3041.9523809523816"/>
    <n v="0.4"/>
    <n v="1633600"/>
    <n v="0.4"/>
  </r>
  <r>
    <s v="Jahangir Jalil"/>
    <x v="7"/>
    <s v="EC90 "/>
    <n v="15002674"/>
    <s v="Electrolyte Analyzer"/>
    <n v="3002000084"/>
    <m/>
    <s v="6909-2-202305"/>
    <m/>
    <m/>
    <m/>
    <m/>
    <m/>
    <x v="0"/>
    <x v="0"/>
    <s v="Nokundi"/>
    <n v="3020001511"/>
    <x v="100"/>
    <m/>
    <s v="Korangi crossing, Korangi"/>
    <s v="0332-0366595"/>
    <s v="unsa.sajjad@tih.org.pk"/>
    <m/>
    <m/>
    <n v="275285"/>
    <n v="10"/>
    <n v="64040"/>
    <m/>
    <m/>
    <m/>
    <m/>
    <m/>
    <m/>
    <m/>
    <m/>
    <m/>
    <m/>
    <m/>
    <m/>
    <m/>
    <m/>
    <m/>
    <m/>
    <m/>
    <m/>
    <e v="#N/A"/>
    <m/>
    <m/>
    <m/>
    <m/>
    <m/>
    <m/>
    <m/>
    <s v="on Track"/>
    <s v="on Track"/>
    <n v="1"/>
    <s v="Placed"/>
    <m/>
    <m/>
    <m/>
    <m/>
    <m/>
    <m/>
    <m/>
    <m/>
    <m/>
    <m/>
    <n v="38800"/>
    <n v="70000"/>
    <n v="108800"/>
    <n v="0"/>
    <n v="0"/>
    <n v="0"/>
    <n v="47950"/>
    <n v="344900"/>
    <n v="389200"/>
    <n v="1633400"/>
    <n v="47950"/>
    <n v="1269750"/>
    <n v="65150"/>
    <n v="0"/>
    <n v="285700"/>
    <n v="4084000"/>
    <n v="442633.33333333331"/>
    <n v="-81200"/>
    <n v="95900"/>
    <n v="457333.33333333331"/>
    <n v="134697.22222222222"/>
    <s v="Tender based busi"/>
    <n v="4650133.333333333"/>
    <n v="13"/>
    <n v="357702.56410256407"/>
    <n v="-1584768.3333333333"/>
    <n v="293662.56410256407"/>
    <s v="Sales on track"/>
    <n v="22589.428007889543"/>
    <n v="0.4"/>
    <n v="1860053.3333333333"/>
    <n v="0.4"/>
  </r>
  <r>
    <s v="Jahangir Jalil"/>
    <x v="7"/>
    <s v="Laura Smart "/>
    <n v="15002670"/>
    <s v="Urine Analyzer"/>
    <n v="3002000086"/>
    <m/>
    <s v="10477-1-202306"/>
    <m/>
    <m/>
    <m/>
    <m/>
    <m/>
    <x v="0"/>
    <x v="0"/>
    <s v="Nokundi"/>
    <n v="3020001511"/>
    <x v="100"/>
    <m/>
    <s v="Korangi crossing, Korangi"/>
    <s v="0332-0366594"/>
    <s v="unsa.sajjad@tih.org.pk"/>
    <m/>
    <m/>
    <n v="188518"/>
    <n v="16"/>
    <n v="25920"/>
    <m/>
    <m/>
    <m/>
    <m/>
    <m/>
    <m/>
    <m/>
    <m/>
    <m/>
    <m/>
    <m/>
    <m/>
    <m/>
    <m/>
    <m/>
    <m/>
    <m/>
    <m/>
    <e v="#N/A"/>
    <m/>
    <m/>
    <m/>
    <m/>
    <m/>
    <m/>
    <m/>
    <s v="on Track"/>
    <s v="on Track"/>
    <n v="1"/>
    <s v="Placed"/>
    <m/>
    <m/>
    <m/>
    <m/>
    <m/>
    <m/>
    <m/>
    <m/>
    <m/>
    <m/>
    <m/>
    <n v="12800"/>
    <n v="12800"/>
    <n v="0"/>
    <n v="0"/>
    <n v="51800"/>
    <n v="0"/>
    <n v="0"/>
    <n v="39600"/>
    <n v="0"/>
    <n v="0"/>
    <n v="0"/>
    <n v="0"/>
    <n v="0"/>
    <n v="25600"/>
    <n v="117000"/>
    <n v="442633.33333333331"/>
    <n v="-81200"/>
    <n v="95900"/>
    <n v="457333.33333333331"/>
    <n v="80488.888888888891"/>
    <s v="Tender based busi"/>
    <n v="587133.33333333326"/>
    <n v="11"/>
    <n v="53375.757575757569"/>
    <n v="-46335.333333333314"/>
    <n v="27455.757575757569"/>
    <s v="Sales behind track"/>
    <n v="2495.9779614325062"/>
    <n v="0.4"/>
    <n v="234853.33333333331"/>
    <n v="0.4"/>
  </r>
  <r>
    <s v="Hammad Noor"/>
    <x v="1"/>
    <s v="Microlab 300"/>
    <n v="15000003"/>
    <s v="Clinical Chemistry"/>
    <n v="3002000083"/>
    <m/>
    <s v="23-46854"/>
    <m/>
    <m/>
    <m/>
    <m/>
    <m/>
    <x v="0"/>
    <x v="0"/>
    <s v="Nokundi"/>
    <n v="3020001511"/>
    <x v="100"/>
    <m/>
    <s v="Korangi crossing, Korangi"/>
    <s v="0332-0366596"/>
    <s v="unsa.sajjad@tih.org.pk"/>
    <m/>
    <m/>
    <n v="420800"/>
    <n v="3"/>
    <n v="327855"/>
    <m/>
    <m/>
    <m/>
    <m/>
    <m/>
    <m/>
    <m/>
    <m/>
    <m/>
    <m/>
    <m/>
    <m/>
    <m/>
    <m/>
    <m/>
    <m/>
    <m/>
    <m/>
    <e v="#N/A"/>
    <m/>
    <m/>
    <m/>
    <m/>
    <m/>
    <m/>
    <m/>
    <s v="on Track"/>
    <s v="on Track"/>
    <n v="1"/>
    <s v="Placed"/>
    <m/>
    <m/>
    <m/>
    <m/>
    <m/>
    <m/>
    <m/>
    <m/>
    <m/>
    <m/>
    <n v="463978"/>
    <n v="42978"/>
    <n v="506956"/>
    <n v="0"/>
    <n v="0"/>
    <n v="1407054.5"/>
    <n v="578759"/>
    <n v="0"/>
    <n v="313687"/>
    <n v="199298.5"/>
    <n v="0"/>
    <n v="197023"/>
    <n v="232304"/>
    <m/>
    <n v="1779910"/>
    <n v="4708036"/>
    <n v="184333"/>
    <n v="301359"/>
    <n v="350305.66666666669"/>
    <n v="835997.66666666674"/>
    <n v="569642.33333333326"/>
    <m/>
    <n v="6050989.666666667"/>
    <n v="11"/>
    <n v="550089.96969696973"/>
    <n v="-2302145.35"/>
    <n v="222234.96969696973"/>
    <s v="Sales on track"/>
    <n v="20203.179063360883"/>
    <n v="0.45"/>
    <n v="2722945.35"/>
    <n v="0.45"/>
  </r>
  <r>
    <s v="Hammad Noor"/>
    <x v="3"/>
    <s v="Swelab Alfa Plus Standard"/>
    <n v="15001967"/>
    <s v="Hematology "/>
    <n v="3002000082"/>
    <m/>
    <n v="122534"/>
    <m/>
    <m/>
    <m/>
    <m/>
    <m/>
    <x v="0"/>
    <x v="0"/>
    <s v="Nokundi"/>
    <n v="3020001511"/>
    <x v="100"/>
    <m/>
    <s v="Korangi crossing, Korangi"/>
    <s v="0332-0366592"/>
    <s v="unsa.sajjad@tih.org.pk"/>
    <s v="3162706-4"/>
    <m/>
    <n v="1071664"/>
    <n v="26"/>
    <n v="95790"/>
    <m/>
    <m/>
    <m/>
    <m/>
    <m/>
    <m/>
    <m/>
    <m/>
    <m/>
    <m/>
    <m/>
    <m/>
    <m/>
    <m/>
    <m/>
    <m/>
    <m/>
    <m/>
    <e v="#N/A"/>
    <m/>
    <m/>
    <m/>
    <m/>
    <m/>
    <m/>
    <m/>
    <s v="Behind track"/>
    <s v="behind track April Sales"/>
    <n v="1"/>
    <s v="Placed"/>
    <m/>
    <m/>
    <m/>
    <m/>
    <m/>
    <m/>
    <m/>
    <m/>
    <m/>
    <m/>
    <n v="126000"/>
    <n v="30000"/>
    <n v="156000"/>
    <n v="0"/>
    <n v="0"/>
    <n v="126000"/>
    <n v="0"/>
    <n v="0"/>
    <n v="0"/>
    <n v="0"/>
    <n v="0"/>
    <n v="30000"/>
    <m/>
    <m/>
    <n v="363000"/>
    <n v="519000"/>
    <n v="0"/>
    <n v="0"/>
    <m/>
    <n v="0"/>
    <n v="121000"/>
    <m/>
    <n v="675000"/>
    <n v="12"/>
    <n v="56250"/>
    <n v="801664"/>
    <n v="-39540"/>
    <s v="Sales behind track"/>
    <n v="-3295"/>
    <n v="0.4"/>
    <n v="270000"/>
    <n v="0.4"/>
  </r>
  <r>
    <s v="Hammad Noor"/>
    <x v="1"/>
    <s v="Microlab 300"/>
    <n v="15000003"/>
    <s v="Clinical Chemistry"/>
    <s v="AR # 19000491"/>
    <m/>
    <s v="25-47705"/>
    <m/>
    <m/>
    <s v="27.08.2025"/>
    <m/>
    <m/>
    <x v="2"/>
    <x v="0"/>
    <s v="Quetta"/>
    <n v="3020001511"/>
    <x v="102"/>
    <m/>
    <s v="Korangi crossing, Korangi"/>
    <s v="0332-0366592"/>
    <s v="unsa.sajjad@tih.org.pk"/>
    <s v="3162706-4"/>
    <m/>
    <n v="507833"/>
    <n v="3"/>
    <n v="327855"/>
    <m/>
    <m/>
    <m/>
    <m/>
    <m/>
    <m/>
    <m/>
    <m/>
    <m/>
    <m/>
    <m/>
    <m/>
    <m/>
    <m/>
    <m/>
    <m/>
    <m/>
    <m/>
    <m/>
    <m/>
    <m/>
    <m/>
    <m/>
    <m/>
    <m/>
    <m/>
    <s v="New machines"/>
    <s v="New machines"/>
    <n v="1"/>
    <s v="Placed"/>
    <m/>
    <m/>
    <m/>
    <m/>
    <m/>
    <m/>
    <m/>
    <m/>
    <m/>
    <m/>
    <m/>
    <m/>
    <n v="0"/>
    <m/>
    <m/>
    <m/>
    <m/>
    <m/>
    <m/>
    <m/>
    <m/>
    <m/>
    <m/>
    <m/>
    <m/>
    <n v="0"/>
    <m/>
    <n v="301359"/>
    <n v="350305.66666666669"/>
    <n v="651664.66666666674"/>
    <n v="325832.33333333337"/>
    <m/>
    <n v="651664.66666666674"/>
    <n v="2"/>
    <n v="325832.33333333337"/>
    <n v="507833"/>
    <n v="-2022.6666666666279"/>
    <m/>
    <n v="-1011.3333333333139"/>
    <m/>
    <n v="0"/>
    <n v="0"/>
  </r>
  <r>
    <s v="Jahangir Jalil"/>
    <x v="7"/>
    <s v="Erba EC90"/>
    <n v="15002674"/>
    <s v="Electrolyte Analyzer "/>
    <m/>
    <m/>
    <m/>
    <m/>
    <m/>
    <s v="11.20.2025"/>
    <m/>
    <m/>
    <x v="2"/>
    <x v="0"/>
    <s v="Sui Balochistan"/>
    <n v="3020001511"/>
    <x v="103"/>
    <m/>
    <s v="Korangi crossing, Korangi"/>
    <s v="0332-0366592"/>
    <s v="unsa.sajjad@tih.org.pk"/>
    <s v="3162706-4"/>
    <m/>
    <n v="597824"/>
    <n v="37"/>
    <n v="28928"/>
    <m/>
    <m/>
    <m/>
    <m/>
    <m/>
    <m/>
    <m/>
    <m/>
    <m/>
    <m/>
    <m/>
    <m/>
    <m/>
    <m/>
    <m/>
    <m/>
    <m/>
    <m/>
    <m/>
    <m/>
    <m/>
    <m/>
    <m/>
    <m/>
    <m/>
    <m/>
    <s v="New installation"/>
    <s v="Sales started in March - Rafay"/>
    <n v="1"/>
    <s v="Placed"/>
    <m/>
    <m/>
    <m/>
    <m/>
    <m/>
    <m/>
    <m/>
    <m/>
    <m/>
    <m/>
    <m/>
    <m/>
    <n v="0"/>
    <m/>
    <m/>
    <m/>
    <m/>
    <m/>
    <m/>
    <m/>
    <m/>
    <m/>
    <m/>
    <m/>
    <m/>
    <n v="0"/>
    <m/>
    <m/>
    <m/>
    <n v="0"/>
    <n v="0"/>
    <m/>
    <n v="0"/>
    <m/>
    <e v="#DIV/0!"/>
    <m/>
    <e v="#DIV/0!"/>
    <m/>
    <e v="#DIV/0!"/>
    <m/>
    <n v="0"/>
    <n v="0"/>
  </r>
  <r>
    <s v="Jahangir Jalil"/>
    <x v="7"/>
    <s v="Laura Semi Automatic"/>
    <n v="15002671"/>
    <s v="Urine Analyzer"/>
    <n v="3002000038"/>
    <m/>
    <s v="898-1-202110"/>
    <m/>
    <s v="26.07.2022"/>
    <s v="23.10.2023"/>
    <m/>
    <m/>
    <x v="1"/>
    <x v="0"/>
    <s v="Karachi"/>
    <n v="3020001552"/>
    <x v="104"/>
    <m/>
    <s v="Plot # N-118, 1st Floor, Block-2, P.E.C.H.S Karachi"/>
    <s v="021-34331144, 0335-3322085"/>
    <s v="info@mhk.com.pk"/>
    <s v="4267791-2"/>
    <s v="N/A"/>
    <n v="200000"/>
    <n v="27"/>
    <n v="96304"/>
    <m/>
    <m/>
    <m/>
    <m/>
    <m/>
    <m/>
    <m/>
    <m/>
    <m/>
    <m/>
    <m/>
    <m/>
    <m/>
    <m/>
    <m/>
    <m/>
    <m/>
    <m/>
    <e v="#N/A"/>
    <m/>
    <m/>
    <m/>
    <m/>
    <s v="no Sales after feb"/>
    <m/>
    <m/>
    <m/>
    <m/>
    <m/>
    <m/>
    <n v="0"/>
    <n v="839375"/>
    <n v="0"/>
    <n v="0"/>
    <n v="0"/>
    <n v="0"/>
    <n v="0"/>
    <n v="0"/>
    <n v="0"/>
    <n v="0"/>
    <n v="0"/>
    <n v="0"/>
    <n v="839375"/>
    <n v="0"/>
    <n v="0"/>
    <n v="0"/>
    <n v="0"/>
    <n v="0"/>
    <n v="0"/>
    <n v="0"/>
    <n v="0"/>
    <n v="0"/>
    <m/>
    <m/>
    <m/>
    <n v="0"/>
    <n v="0"/>
    <n v="0"/>
    <m/>
    <n v="0"/>
    <n v="0"/>
    <s v="It’s a tender based business so when theres new tender sales will increase - confim status from hammad hafeez"/>
    <n v="839375"/>
    <n v="24"/>
    <n v="34973.958333333336"/>
    <n v="-135750"/>
    <n v="-61330.041666666664"/>
    <s v="Sales on track "/>
    <n v="-2555.4184027777778"/>
    <n v="0.4"/>
    <n v="335750"/>
    <n v="0.4"/>
  </r>
  <r>
    <s v="Jahangir Jalil"/>
    <x v="7"/>
    <s v="Laura Semi Automatic"/>
    <n v="15002671"/>
    <s v="Urine Analyzer"/>
    <s v="12- 7-24 demo 8300051872"/>
    <m/>
    <s v="897-1-202110"/>
    <m/>
    <s v="26.07.2022"/>
    <s v="23.10.2023"/>
    <m/>
    <m/>
    <x v="1"/>
    <x v="0"/>
    <s v="Karachi"/>
    <n v="3020001552"/>
    <x v="104"/>
    <m/>
    <s v="Plot # N-118, 1st Floor, Block-2, P.E.C.H.S Karachi"/>
    <s v="021-34331144, 0335-3322085"/>
    <s v="info@mhk.com.pk"/>
    <s v="4267791-2"/>
    <s v="N/A"/>
    <n v="200000"/>
    <n v="27"/>
    <n v="96304"/>
    <m/>
    <m/>
    <m/>
    <m/>
    <m/>
    <m/>
    <m/>
    <m/>
    <m/>
    <m/>
    <m/>
    <m/>
    <m/>
    <m/>
    <m/>
    <m/>
    <m/>
    <m/>
    <e v="#N/A"/>
    <m/>
    <m/>
    <m/>
    <m/>
    <s v="no Sales after feb"/>
    <m/>
    <m/>
    <m/>
    <m/>
    <m/>
    <m/>
    <n v="0"/>
    <n v="839375"/>
    <n v="0"/>
    <n v="0"/>
    <n v="0"/>
    <n v="0"/>
    <n v="0"/>
    <n v="0"/>
    <n v="0"/>
    <n v="0"/>
    <n v="0"/>
    <n v="0"/>
    <n v="839375"/>
    <n v="0"/>
    <n v="0"/>
    <n v="0"/>
    <n v="0"/>
    <n v="0"/>
    <n v="0"/>
    <n v="0"/>
    <n v="0"/>
    <n v="0"/>
    <m/>
    <m/>
    <m/>
    <n v="0"/>
    <n v="0"/>
    <n v="0"/>
    <m/>
    <n v="0"/>
    <n v="0"/>
    <s v="Its not at jpmc"/>
    <n v="839375"/>
    <n v="23"/>
    <n v="36494.565217391304"/>
    <n v="-135750"/>
    <n v="-59809.434782608696"/>
    <s v="Sales on track "/>
    <n v="-2600.4102079395084"/>
    <n v="0.4"/>
    <n v="335750"/>
    <n v="0.4"/>
  </r>
  <r>
    <s v="Jahangir Jalil"/>
    <x v="7"/>
    <s v="Laura XL"/>
    <n v="15002673"/>
    <s v="Urine Analyzer"/>
    <n v="3002000042"/>
    <s v="202-X2-120520"/>
    <s v="106-X2-260419"/>
    <m/>
    <s v="26.07.2022"/>
    <s v="23.10.2023"/>
    <m/>
    <m/>
    <x v="1"/>
    <x v="0"/>
    <s v="Karachi"/>
    <n v="3020001552"/>
    <x v="104"/>
    <m/>
    <s v="Plot # N-118, 1st Floor, Block-2, P.E.C.H.S Karachi"/>
    <m/>
    <m/>
    <s v="4267791-2"/>
    <s v="N/A"/>
    <n v="1600000"/>
    <n v="27"/>
    <n v="109972"/>
    <m/>
    <m/>
    <m/>
    <m/>
    <m/>
    <m/>
    <m/>
    <m/>
    <m/>
    <m/>
    <m/>
    <m/>
    <m/>
    <m/>
    <m/>
    <m/>
    <m/>
    <m/>
    <e v="#N/A"/>
    <m/>
    <m/>
    <m/>
    <m/>
    <m/>
    <m/>
    <m/>
    <m/>
    <m/>
    <m/>
    <m/>
    <m/>
    <m/>
    <m/>
    <m/>
    <m/>
    <m/>
    <m/>
    <m/>
    <m/>
    <m/>
    <m/>
    <m/>
    <n v="0"/>
    <m/>
    <m/>
    <n v="0"/>
    <m/>
    <n v="0"/>
    <m/>
    <n v="0"/>
    <n v="0"/>
    <n v="0"/>
    <m/>
    <m/>
    <m/>
    <n v="0"/>
    <n v="0"/>
    <n v="0"/>
    <m/>
    <n v="0"/>
    <n v="0"/>
    <s v="Tender based busi"/>
    <n v="0"/>
    <m/>
    <e v="#DIV/0!"/>
    <n v="1600000"/>
    <m/>
    <m/>
    <e v="#DIV/0!"/>
    <n v="0.4"/>
    <n v="0"/>
    <m/>
  </r>
  <r>
    <s v="Jahangir Jalil"/>
    <x v="7"/>
    <s v="Laura XL"/>
    <n v="15002673"/>
    <s v="Urine Analyzer"/>
    <n v="3002000049"/>
    <s v="202-X2-120520"/>
    <s v="202-X2-120520"/>
    <m/>
    <m/>
    <m/>
    <m/>
    <m/>
    <x v="1"/>
    <x v="0"/>
    <s v="Karachi"/>
    <n v="3020001552"/>
    <x v="104"/>
    <m/>
    <s v="Plot # N-118, 1st Floor, Block-2, P.E.C.H.S Karachi"/>
    <m/>
    <m/>
    <s v="4267791-2"/>
    <s v="N/A"/>
    <n v="3378744"/>
    <n v="37"/>
    <n v="365779"/>
    <m/>
    <m/>
    <m/>
    <m/>
    <m/>
    <m/>
    <m/>
    <m/>
    <m/>
    <m/>
    <m/>
    <m/>
    <m/>
    <m/>
    <m/>
    <m/>
    <m/>
    <m/>
    <e v="#N/A"/>
    <m/>
    <m/>
    <m/>
    <m/>
    <m/>
    <m/>
    <m/>
    <m/>
    <m/>
    <m/>
    <m/>
    <m/>
    <m/>
    <m/>
    <m/>
    <m/>
    <m/>
    <m/>
    <m/>
    <m/>
    <m/>
    <m/>
    <m/>
    <n v="0"/>
    <m/>
    <m/>
    <n v="0"/>
    <m/>
    <n v="0"/>
    <m/>
    <n v="0"/>
    <n v="0"/>
    <n v="0"/>
    <m/>
    <m/>
    <m/>
    <n v="0"/>
    <n v="0"/>
    <n v="0"/>
    <m/>
    <n v="0"/>
    <n v="0"/>
    <s v="Tender based busi"/>
    <n v="0"/>
    <m/>
    <e v="#DIV/0!"/>
    <n v="3378744"/>
    <m/>
    <m/>
    <e v="#DIV/0!"/>
    <n v="0.4"/>
    <n v="0"/>
    <m/>
  </r>
  <r>
    <s v="Jahangir Jalil"/>
    <x v="4"/>
    <s v="STA Compact Max"/>
    <n v="15003000"/>
    <s v="Coagulation Analyzer"/>
    <n v="3002000058"/>
    <m/>
    <n v="8657"/>
    <m/>
    <s v="30.11.2023"/>
    <s v="07.12.2023"/>
    <s v="Available"/>
    <m/>
    <x v="1"/>
    <x v="0"/>
    <s v="Karachi"/>
    <n v="3020001552"/>
    <x v="105"/>
    <m/>
    <s v="Plot # N-118, 1st Floor, Block-2, P.E.C.H.S Karachi"/>
    <s v="021-34331144, 0335-3322085"/>
    <s v="info@mhk.com.pk"/>
    <s v="4267791-2"/>
    <s v="N/A"/>
    <n v="5274883"/>
    <n v="36"/>
    <n v="1615386"/>
    <m/>
    <m/>
    <m/>
    <m/>
    <m/>
    <m/>
    <m/>
    <m/>
    <m/>
    <m/>
    <m/>
    <m/>
    <m/>
    <m/>
    <m/>
    <m/>
    <m/>
    <m/>
    <e v="#N/A"/>
    <m/>
    <m/>
    <m/>
    <m/>
    <s v="No Sales after Feb-24"/>
    <m/>
    <m/>
    <s v="Closed need to check with WH"/>
    <m/>
    <m/>
    <m/>
    <m/>
    <n v="3585000"/>
    <n v="0"/>
    <n v="0"/>
    <n v="0"/>
    <n v="0"/>
    <n v="0"/>
    <n v="0"/>
    <n v="0"/>
    <n v="0"/>
    <n v="0"/>
    <n v="0"/>
    <n v="3585000"/>
    <n v="0"/>
    <n v="0"/>
    <n v="0"/>
    <n v="0"/>
    <n v="0"/>
    <n v="0"/>
    <n v="0"/>
    <n v="0"/>
    <n v="0"/>
    <n v="0"/>
    <m/>
    <m/>
    <n v="0"/>
    <m/>
    <m/>
    <m/>
    <n v="0"/>
    <n v="0"/>
    <s v="Tender will be issued this month and paymen expected to be in the mid of dec"/>
    <n v="3585000"/>
    <n v="17"/>
    <n v="210882.35294117648"/>
    <n v="3840883"/>
    <n v="-1404503.6470588236"/>
    <s v="Sales behind track"/>
    <n v="-82617.861591695502"/>
    <n v="0.4"/>
    <n v="1434000"/>
    <n v="0.4"/>
  </r>
  <r>
    <s v="Hammad Noor"/>
    <x v="0"/>
    <s v="IFlash 1800 "/>
    <n v="15002462"/>
    <s v="Immunoassay"/>
    <s v="E-mail forwarded to Mr. Asim &amp; Mr. Abdul Khalid for CAPEX appropriation requested because demo performed from 3200 Plant Lahore (mail attached)"/>
    <s v="N/A"/>
    <s v="IA00096724 "/>
    <s v="21.09.2023"/>
    <s v="14.06.2023"/>
    <s v="06.07.2023"/>
    <s v="Available"/>
    <m/>
    <x v="1"/>
    <x v="1"/>
    <s v="Sialkot"/>
    <n v="3020001659"/>
    <x v="106"/>
    <s v="N/A"/>
    <s v="2-Km Daska Raod, "/>
    <s v="0324-8787299, 052-3574812"/>
    <s v=" info.iih@smcs.edu.pk"/>
    <s v="8892361-1"/>
    <m/>
    <n v="4497465"/>
    <n v="34"/>
    <n v="592145"/>
    <m/>
    <m/>
    <m/>
    <m/>
    <m/>
    <m/>
    <e v="#N/A"/>
    <e v="#N/A"/>
    <m/>
    <m/>
    <s v=" "/>
    <s v=" "/>
    <m/>
    <m/>
    <m/>
    <m/>
    <m/>
    <m/>
    <s v="Machine is not installed at customer site and it will be pulled back from customer to shift the machine at Test zone Lab till 10th-15th April."/>
    <m/>
    <m/>
    <m/>
    <m/>
    <s v="Machine is on demo here"/>
    <m/>
    <m/>
    <s v="Closed"/>
    <m/>
    <m/>
    <m/>
    <m/>
    <m/>
    <m/>
    <m/>
    <m/>
    <m/>
    <m/>
    <m/>
    <m/>
    <m/>
    <m/>
    <m/>
    <n v="0"/>
    <m/>
    <m/>
    <m/>
    <m/>
    <m/>
    <m/>
    <m/>
    <m/>
    <m/>
    <m/>
    <n v="0"/>
    <m/>
    <n v="0"/>
    <m/>
    <m/>
    <m/>
    <n v="0"/>
    <n v="0"/>
    <s v="The machine is pull back from imran idress and placed at test zone."/>
    <n v="0"/>
    <s v="-"/>
    <e v="#VALUE!"/>
    <n v="4497465"/>
    <e v="#VALUE!"/>
    <s v="Sales not started yet/closed"/>
    <e v="#VALUE!"/>
    <n v="0.4"/>
    <n v="0"/>
    <n v="0.4"/>
  </r>
  <r>
    <s v="Hammad Noor"/>
    <x v="0"/>
    <s v="iFlash 1200"/>
    <n v="15002553"/>
    <s v="Immunoassay"/>
    <m/>
    <m/>
    <s v="ID00175747"/>
    <m/>
    <m/>
    <s v="20.12.2024"/>
    <m/>
    <m/>
    <x v="0"/>
    <x v="0"/>
    <s v="Quetta"/>
    <n v="3020001748"/>
    <x v="107"/>
    <m/>
    <m/>
    <s v="0336-3557475"/>
    <s v="ahmed_ullah26@yahoo.com"/>
    <s v="5132026-1"/>
    <s v="54400-1404155-1"/>
    <n v="2587355"/>
    <n v="35"/>
    <n v="223571"/>
    <m/>
    <m/>
    <m/>
    <m/>
    <m/>
    <m/>
    <m/>
    <m/>
    <m/>
    <m/>
    <m/>
    <m/>
    <m/>
    <m/>
    <m/>
    <m/>
    <m/>
    <m/>
    <s v="Revise case submitted"/>
    <m/>
    <m/>
    <m/>
    <m/>
    <m/>
    <m/>
    <m/>
    <s v="on track"/>
    <s v="orders on hold - will be on track"/>
    <n v="1"/>
    <s v="Placed"/>
    <m/>
    <m/>
    <m/>
    <m/>
    <m/>
    <m/>
    <m/>
    <m/>
    <m/>
    <m/>
    <m/>
    <m/>
    <n v="0"/>
    <n v="123186"/>
    <n v="1367339"/>
    <m/>
    <n v="0"/>
    <n v="859806"/>
    <m/>
    <n v="373472"/>
    <n v="514242"/>
    <n v="3201023"/>
    <n v="3372670"/>
    <n v="539515"/>
    <n v="4130990"/>
    <n v="14482243"/>
    <n v="205240"/>
    <n v="424978"/>
    <n v="79312.5"/>
    <n v="709530.5"/>
    <n v="1458784.25"/>
    <m/>
    <n v="15191773.5"/>
    <n v="14"/>
    <n v="1085126.6785714286"/>
    <n v="-3489354.4000000004"/>
    <n v="861555.67857142864"/>
    <s v="Sales behind track"/>
    <n v="61539.691326530614"/>
    <n v="0.4"/>
    <n v="6076709.4000000004"/>
    <n v="0.4"/>
  </r>
  <r>
    <s v="Jahangir Jalil"/>
    <x v="2"/>
    <s v="Vitros ECiQ Analyzer"/>
    <n v="15002760"/>
    <s v="Immunoassay"/>
    <s v="AR # 300403"/>
    <m/>
    <n v="30006366"/>
    <s v="19.02.2025"/>
    <m/>
    <s v="12.03.2024"/>
    <m/>
    <m/>
    <x v="0"/>
    <x v="0"/>
    <s v="Quetta"/>
    <n v="3020001748"/>
    <x v="108"/>
    <m/>
    <m/>
    <s v="0336-3557475"/>
    <s v="ahmed_ullah26@yahoo.com"/>
    <s v="5132026-1"/>
    <s v="54400-1404155-1"/>
    <n v="18824399"/>
    <n v="34"/>
    <n v="1550725"/>
    <m/>
    <m/>
    <m/>
    <m/>
    <m/>
    <m/>
    <m/>
    <m/>
    <m/>
    <m/>
    <m/>
    <m/>
    <m/>
    <m/>
    <m/>
    <m/>
    <m/>
    <m/>
    <m/>
    <m/>
    <m/>
    <m/>
    <m/>
    <m/>
    <m/>
    <m/>
    <s v="Behind Track"/>
    <s v="sales will be invoiced in April"/>
    <n v="1"/>
    <s v="Placed"/>
    <m/>
    <m/>
    <m/>
    <m/>
    <m/>
    <m/>
    <m/>
    <m/>
    <m/>
    <m/>
    <m/>
    <m/>
    <n v="0"/>
    <m/>
    <m/>
    <n v="1089608"/>
    <n v="578220"/>
    <n v="1859355.5561303066"/>
    <n v="0"/>
    <n v="350113"/>
    <n v="210000"/>
    <n v="425000"/>
    <m/>
    <n v="167883.5"/>
    <m/>
    <n v="4680180.0561303068"/>
    <n v="24300"/>
    <n v="328038.5"/>
    <n v="126481"/>
    <n v="478819.5"/>
    <n v="161675.75"/>
    <m/>
    <n v="5158999.5561303068"/>
    <n v="6"/>
    <n v="859833.25935505109"/>
    <n v="16760799.177547878"/>
    <n v="-690891.74064494891"/>
    <s v="Sales behind track"/>
    <n v="-115148.62344082481"/>
    <n v="0.4"/>
    <n v="2063599.8224521228"/>
    <n v="0.35"/>
  </r>
  <r>
    <s v="Jahangir Jalil"/>
    <x v="2"/>
    <s v="Vitros ECiQ Analyzer"/>
    <n v="15002760"/>
    <s v="Immunoassay"/>
    <n v="3002000089"/>
    <m/>
    <n v="30006362"/>
    <s v="29.08.2024"/>
    <m/>
    <s v="12.09.2024"/>
    <m/>
    <m/>
    <x v="0"/>
    <x v="0"/>
    <s v="Quetta"/>
    <n v="3020001748"/>
    <x v="109"/>
    <m/>
    <m/>
    <s v="0336-3557475"/>
    <s v="ahmed_ullah26@yahoo.com"/>
    <s v="5132026-1"/>
    <s v="54400-1404155-1"/>
    <n v="8002112"/>
    <n v="48"/>
    <n v="497587"/>
    <m/>
    <m/>
    <m/>
    <m/>
    <m/>
    <m/>
    <m/>
    <m/>
    <m/>
    <m/>
    <m/>
    <m/>
    <m/>
    <m/>
    <m/>
    <m/>
    <m/>
    <m/>
    <m/>
    <m/>
    <m/>
    <m/>
    <m/>
    <m/>
    <m/>
    <m/>
    <s v="Behind Track"/>
    <s v="sales will be invoiced in April"/>
    <n v="1"/>
    <s v="Placed"/>
    <m/>
    <m/>
    <m/>
    <m/>
    <m/>
    <m/>
    <m/>
    <m/>
    <m/>
    <m/>
    <m/>
    <m/>
    <n v="0"/>
    <m/>
    <n v="170450"/>
    <n v="386349"/>
    <n v="80000"/>
    <n v="585500"/>
    <n v="72000"/>
    <n v="188000"/>
    <n v="120000"/>
    <n v="398000"/>
    <m/>
    <n v="167883.5"/>
    <m/>
    <n v="2168182.5"/>
    <n v="24300"/>
    <n v="328038.5"/>
    <n v="126481"/>
    <n v="478819.5"/>
    <n v="161675.75"/>
    <m/>
    <n v="2647002"/>
    <n v="8"/>
    <n v="330875.25"/>
    <n v="6943311.2000000002"/>
    <n v="-166711.75"/>
    <s v="Sales behind track"/>
    <n v="-20838.96875"/>
    <n v="0.4"/>
    <n v="1058800.8"/>
    <n v="0.35"/>
  </r>
  <r>
    <s v="Hammad Noor"/>
    <x v="0"/>
    <s v="iFlash 1200"/>
    <n v="15002553"/>
    <s v="Immunoassay"/>
    <s v="AR # 300362"/>
    <m/>
    <s v="ID00176348"/>
    <m/>
    <m/>
    <s v="20.12.2024"/>
    <m/>
    <m/>
    <x v="1"/>
    <x v="0"/>
    <s v="Quetta"/>
    <n v="3020001748"/>
    <x v="110"/>
    <m/>
    <m/>
    <s v="0336-3557475"/>
    <s v="ahmed_ullah26@yahoo.com"/>
    <s v="5132026-1"/>
    <s v="54400-1404155-1"/>
    <n v="2587355"/>
    <n v="35"/>
    <n v="223571"/>
    <m/>
    <m/>
    <m/>
    <m/>
    <m/>
    <m/>
    <m/>
    <m/>
    <m/>
    <m/>
    <m/>
    <m/>
    <m/>
    <m/>
    <m/>
    <m/>
    <m/>
    <m/>
    <s v="Revise case submitted"/>
    <m/>
    <m/>
    <m/>
    <m/>
    <m/>
    <m/>
    <m/>
    <m/>
    <m/>
    <n v="1"/>
    <m/>
    <m/>
    <m/>
    <m/>
    <m/>
    <m/>
    <m/>
    <m/>
    <m/>
    <m/>
    <m/>
    <m/>
    <m/>
    <n v="0"/>
    <n v="30796.5"/>
    <n v="341834.75"/>
    <n v="0"/>
    <n v="0"/>
    <n v="225000"/>
    <n v="870000"/>
    <n v="95000"/>
    <n v="130000"/>
    <n v="166475"/>
    <n v="843167.5"/>
    <n v="134878.75"/>
    <m/>
    <n v="2837152.5"/>
    <m/>
    <m/>
    <m/>
    <n v="0"/>
    <n v="489023.125"/>
    <m/>
    <n v="2837152.5"/>
    <n v="11"/>
    <n v="257922.95454545456"/>
    <n v="1452494"/>
    <n v="34351.954545454559"/>
    <s v="Sales behind track"/>
    <n v="3122.9049586776873"/>
    <n v="0.4"/>
    <n v="1134861"/>
    <n v="0.4"/>
  </r>
  <r>
    <s v="Hammad Noor"/>
    <x v="0"/>
    <s v="iFlash 1200"/>
    <n v="15002553"/>
    <s v="Immunoassay"/>
    <n v="3002000109"/>
    <m/>
    <s v="ID00093734"/>
    <m/>
    <m/>
    <s v="25.04.2025"/>
    <m/>
    <m/>
    <x v="1"/>
    <x v="0"/>
    <s v="Quetta"/>
    <n v="3020001748"/>
    <x v="111"/>
    <m/>
    <m/>
    <s v="0336-3557475"/>
    <s v="ahmed_ullah26@yahoo.com"/>
    <s v="5132026-1"/>
    <s v="54400-1404155-1"/>
    <n v="2587355"/>
    <n v="31"/>
    <n v="302952"/>
    <m/>
    <m/>
    <m/>
    <m/>
    <m/>
    <m/>
    <m/>
    <m/>
    <m/>
    <m/>
    <m/>
    <m/>
    <m/>
    <m/>
    <m/>
    <m/>
    <m/>
    <m/>
    <s v="Revise case submitted"/>
    <m/>
    <m/>
    <m/>
    <m/>
    <m/>
    <m/>
    <m/>
    <m/>
    <m/>
    <n v="1"/>
    <m/>
    <m/>
    <m/>
    <m/>
    <m/>
    <m/>
    <m/>
    <m/>
    <m/>
    <m/>
    <m/>
    <m/>
    <m/>
    <n v="0"/>
    <n v="30796.5"/>
    <n v="341834.75"/>
    <n v="0"/>
    <n v="0"/>
    <n v="198000"/>
    <n v="246000"/>
    <n v="136000"/>
    <n v="142000"/>
    <n v="201000"/>
    <n v="843167.5"/>
    <n v="134878.75"/>
    <m/>
    <n v="2273677.5"/>
    <m/>
    <m/>
    <m/>
    <n v="0"/>
    <n v="489023.125"/>
    <s v="Demo Machine will transfer to Capex"/>
    <n v="2273677.5"/>
    <n v="11"/>
    <n v="206697.95454545456"/>
    <n v="1677884"/>
    <n v="-96254.045454545441"/>
    <s v="Sales behind track"/>
    <n v="-8750.3677685950406"/>
    <n v="0.4"/>
    <n v="909471"/>
    <n v="0.4"/>
  </r>
  <r>
    <s v="Hammad Noor"/>
    <x v="0"/>
    <s v="iFlash 1200"/>
    <n v="15002553"/>
    <s v="Immunoassay"/>
    <n v="3002000108"/>
    <m/>
    <s v="ID00082632"/>
    <m/>
    <m/>
    <s v="25.04.2025"/>
    <m/>
    <m/>
    <x v="1"/>
    <x v="0"/>
    <s v="Quetta"/>
    <n v="3020001748"/>
    <x v="112"/>
    <m/>
    <m/>
    <s v="0336-3557475"/>
    <s v="ahmed_ullah26@yahoo.com"/>
    <s v="5132026-1"/>
    <s v="54400-1404155-1"/>
    <n v="2587355"/>
    <n v="30"/>
    <n v="291732"/>
    <m/>
    <m/>
    <m/>
    <m/>
    <m/>
    <m/>
    <m/>
    <m/>
    <m/>
    <m/>
    <m/>
    <m/>
    <m/>
    <m/>
    <m/>
    <m/>
    <m/>
    <m/>
    <s v="Revise case submitted"/>
    <m/>
    <m/>
    <m/>
    <m/>
    <m/>
    <m/>
    <m/>
    <m/>
    <m/>
    <n v="1"/>
    <m/>
    <m/>
    <m/>
    <m/>
    <m/>
    <m/>
    <m/>
    <m/>
    <m/>
    <m/>
    <m/>
    <m/>
    <m/>
    <n v="0"/>
    <n v="30796.5"/>
    <n v="341834.75"/>
    <n v="0"/>
    <n v="0"/>
    <n v="229806"/>
    <n v="299331"/>
    <n v="0"/>
    <n v="92242"/>
    <n v="214000"/>
    <n v="843167.5"/>
    <n v="134878.75"/>
    <m/>
    <n v="2186056.5"/>
    <m/>
    <m/>
    <m/>
    <n v="0"/>
    <n v="489023.125"/>
    <s v="Demo Machine will transfer to Capex"/>
    <n v="2186056.5"/>
    <n v="11"/>
    <n v="198732.40909090909"/>
    <n v="1712932.4"/>
    <n v="-92999.590909090912"/>
    <s v="Sales behind track"/>
    <n v="-8454.508264462811"/>
    <n v="0.4"/>
    <n v="874422.60000000009"/>
    <n v="0.4"/>
  </r>
  <r>
    <s v="Jahangir Jalil"/>
    <x v="2"/>
    <s v="Vitros Eciq Immunoassay"/>
    <n v="15002758"/>
    <s v="Immunoassay"/>
    <n v="3002000025"/>
    <s v="N/A"/>
    <n v="36000907"/>
    <s v="04.01.2023"/>
    <s v="06.12.2022"/>
    <s v="06.12.2022"/>
    <s v="Available"/>
    <m/>
    <x v="7"/>
    <x v="0"/>
    <s v="Quetta"/>
    <n v="3020001748"/>
    <x v="113"/>
    <s v="Dr. Fayaz butt"/>
    <s v="Jinnah Road Quetta"/>
    <s v="0812-822360"/>
    <s v="Not Available"/>
    <s v="5132026-1"/>
    <s v="54400-1404155-1"/>
    <n v="10856400"/>
    <n v="29"/>
    <n v="1266339"/>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m/>
    <m/>
    <m/>
    <m/>
    <n v="301920"/>
    <n v="604500"/>
    <n v="602950"/>
    <n v="0"/>
    <n v="432564"/>
    <n v="1646505"/>
    <n v="625224"/>
    <n v="334868"/>
    <n v="160290"/>
    <n v="103427"/>
    <n v="617018.57999999996"/>
    <n v="744021"/>
    <n v="6173287.5800000001"/>
    <n v="405650"/>
    <m/>
    <m/>
    <m/>
    <m/>
    <m/>
    <m/>
    <m/>
    <m/>
    <m/>
    <m/>
    <m/>
    <n v="405650"/>
    <m/>
    <m/>
    <m/>
    <n v="0"/>
    <n v="0"/>
    <m/>
    <n v="6578937.5800000001"/>
    <n v="25"/>
    <n v="263157.50319999998"/>
    <n v="8224824.9680000003"/>
    <n v="-1003181.4968000001"/>
    <s v="Sales behind track, sales every month"/>
    <n v="-40127.259872000002"/>
    <n v="0.4"/>
    <n v="2631575.0320000001"/>
    <n v="0.35"/>
  </r>
  <r>
    <s v="Jahangir Jalil"/>
    <x v="2"/>
    <s v="Vitros ECiQ Immunodiagnostic System"/>
    <n v="15002760"/>
    <s v="Immunoassay"/>
    <n v="3002000021"/>
    <s v="N/A"/>
    <n v="30006248"/>
    <s v="01.10.2022"/>
    <s v="23.09.2022"/>
    <s v="26.09.2022"/>
    <s v="Available"/>
    <m/>
    <x v="7"/>
    <x v="0"/>
    <s v="Quetta"/>
    <n v="3020001748"/>
    <x v="114"/>
    <s v="Installed through Trader Jamal Brothers"/>
    <s v="Saleem Medical Complex, Quetta, Pakistan-87300"/>
    <s v="0336-3557475"/>
    <s v="ahmed_ullah26@yahoo.com"/>
    <s v="5132026-1"/>
    <s v="54400-1404155-1"/>
    <n v="9297200"/>
    <n v="30"/>
    <n v="1002975"/>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08000"/>
    <n v="452532"/>
    <n v="411355"/>
    <n v="0"/>
    <n v="405250"/>
    <n v="1372088"/>
    <n v="729428"/>
    <n v="298852"/>
    <n v="280510"/>
    <n v="120665"/>
    <n v="594166.04"/>
    <n v="637733"/>
    <n v="5510579.04"/>
    <n v="376675"/>
    <m/>
    <m/>
    <m/>
    <m/>
    <m/>
    <m/>
    <m/>
    <m/>
    <m/>
    <m/>
    <m/>
    <n v="376675"/>
    <m/>
    <m/>
    <m/>
    <n v="0"/>
    <n v="0"/>
    <m/>
    <n v="5887254.04"/>
    <n v="25"/>
    <n v="235490.16159999999"/>
    <n v="6942298.3839999996"/>
    <n v="-767484.83840000001"/>
    <s v="behind track, sales every month"/>
    <n v="-30699.393536"/>
    <n v="0.4"/>
    <n v="2354901.6159999999"/>
    <n v="0.35"/>
  </r>
  <r>
    <s v="Jahangir Jalil"/>
    <x v="2"/>
    <s v="Vitros ECiQ Immunodiagnostic System"/>
    <n v="15002760"/>
    <s v="Immunoassay"/>
    <n v="3002000020"/>
    <s v="N/A"/>
    <n v="30006249"/>
    <s v="01.10.2022"/>
    <s v="26.09.2022"/>
    <s v="26.09.2022"/>
    <s v="Available"/>
    <m/>
    <x v="7"/>
    <x v="0"/>
    <s v="Quetta"/>
    <n v="3020001748"/>
    <x v="115"/>
    <s v="Installed through Trader Jamal Brothers"/>
    <s v="Art School Rd, Quetta, Balochistan 83200"/>
    <s v="0336-3557475"/>
    <s v="ahmed_ullah26@yahoo.com"/>
    <s v="5132026-1"/>
    <s v="54400-1404155-1"/>
    <n v="9297200"/>
    <n v="30"/>
    <n v="1380048"/>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21000"/>
    <n v="425300"/>
    <n v="425361"/>
    <n v="0"/>
    <n v="412580"/>
    <n v="1317204"/>
    <n v="573122"/>
    <n v="286810"/>
    <n v="240438"/>
    <n v="94809"/>
    <n v="525723.42000000004"/>
    <n v="584588"/>
    <n v="5106935.42"/>
    <n v="318725"/>
    <m/>
    <m/>
    <m/>
    <m/>
    <m/>
    <m/>
    <m/>
    <m/>
    <m/>
    <m/>
    <m/>
    <n v="318725"/>
    <m/>
    <m/>
    <m/>
    <n v="0"/>
    <n v="0"/>
    <m/>
    <n v="5425660.4199999999"/>
    <n v="25"/>
    <n v="217026.41680000001"/>
    <n v="7126935.8320000004"/>
    <n v="-1163021.5832"/>
    <s v="behind track, sales every month"/>
    <n v="-46520.863327999999"/>
    <n v="0.4"/>
    <n v="2170264.1680000001"/>
    <n v="0.35"/>
  </r>
  <r>
    <s v="Jahangir Jalil"/>
    <x v="2"/>
    <s v="Vitros ECiQ Immunodiagnostic System"/>
    <n v="15002760"/>
    <s v="Immunoassay"/>
    <n v="3002000022"/>
    <s v="N/A"/>
    <n v="30006240"/>
    <s v="29.10.2022"/>
    <s v="19.10.2022"/>
    <s v="19.10.2022"/>
    <s v="Available"/>
    <m/>
    <x v="7"/>
    <x v="0"/>
    <s v="Quetta"/>
    <n v="3020001748"/>
    <x v="116"/>
    <s v="Dr. Hanif Mangel"/>
    <s v="52Q5+VJ4, Patel Road, Patel Bagh Quetta, Balochistan"/>
    <s v="0336-3557475"/>
    <s v="ahmed_ullah26@yahoo.com"/>
    <s v="5132026-1"/>
    <s v="54400-1404155-1"/>
    <n v="9297200"/>
    <n v="29"/>
    <n v="1059783"/>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08820"/>
    <n v="384000"/>
    <n v="458717"/>
    <n v="0"/>
    <n v="380600"/>
    <n v="1152556"/>
    <n v="677326"/>
    <n v="323429"/>
    <n v="120257"/>
    <n v="112046"/>
    <n v="548460.96"/>
    <n v="690877"/>
    <n v="5057088.96"/>
    <n v="347700"/>
    <m/>
    <m/>
    <m/>
    <m/>
    <m/>
    <m/>
    <m/>
    <m/>
    <m/>
    <m/>
    <m/>
    <n v="347700"/>
    <m/>
    <m/>
    <m/>
    <n v="0"/>
    <n v="0"/>
    <m/>
    <n v="5404788.96"/>
    <n v="25"/>
    <n v="216191.55840000001"/>
    <n v="7135284.4159999993"/>
    <n v="-843591.44160000002"/>
    <s v="behind track, sales every month"/>
    <n v="-33743.657663999998"/>
    <n v="0.4"/>
    <n v="2161915.5840000003"/>
    <n v="0.35"/>
  </r>
  <r>
    <s v="Jahangir Jalil"/>
    <x v="2"/>
    <s v="Vitros Eciq Immunoassay"/>
    <n v="15002760"/>
    <s v="Immunoassay"/>
    <n v="3002000090"/>
    <s v="N/A"/>
    <n v="30006326"/>
    <s v="04.01.2023"/>
    <s v="06.12.2022"/>
    <s v="25.04.2025"/>
    <s v="Available"/>
    <m/>
    <x v="8"/>
    <x v="0"/>
    <s v="Quetta"/>
    <n v="3020001748"/>
    <x v="113"/>
    <s v="Dr. Fayaz butt"/>
    <s v="Jinnah Road Quetta"/>
    <s v="0812-822360"/>
    <s v="Not Available"/>
    <s v="5132026-1"/>
    <s v="54400-1404155-1"/>
    <n v="8595000"/>
    <n v="45"/>
    <n v="529967"/>
    <m/>
    <m/>
    <s v="Reagents Not available"/>
    <s v="Partial items received, already processed the orders"/>
    <s v="machine out of order"/>
    <s v="working with OCD technical team to resolve the issue as early as possible callibration and allignment tools are needed which is under process by procurement "/>
    <s v="machine out of order"/>
    <s v="Our engineer has managed to arrange the required tools locally. After discussing with the customer, they've agreed to shift the workload on our equipment once equipment is completely operational."/>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s v="Behind Track"/>
    <s v="Visit in April and then update the status"/>
    <n v="1"/>
    <s v="Not funtional - At customer site"/>
    <n v="301920"/>
    <n v="604500"/>
    <n v="602950"/>
    <n v="0"/>
    <n v="432564"/>
    <n v="1646505"/>
    <n v="625224"/>
    <n v="334868"/>
    <n v="160290"/>
    <n v="103427"/>
    <n v="617018.57999999996"/>
    <n v="744021"/>
    <n v="6173287.5800000001"/>
    <n v="405650"/>
    <n v="317365"/>
    <n v="416000"/>
    <n v="96500"/>
    <n v="676000"/>
    <n v="120000"/>
    <n v="190000"/>
    <n v="176000"/>
    <n v="340000"/>
    <m/>
    <m/>
    <m/>
    <n v="2737515"/>
    <m/>
    <m/>
    <m/>
    <n v="0"/>
    <n v="0"/>
    <m/>
    <n v="8910802.5800000001"/>
    <n v="31"/>
    <n v="287445.24451612902"/>
    <n v="5030678.9680000003"/>
    <n v="-242521.75548387098"/>
    <s v="behind track, sales every month"/>
    <n v="-7823.2824349635803"/>
    <n v="0.4"/>
    <n v="3564321.0320000001"/>
    <n v="0.35"/>
  </r>
  <r>
    <s v="Jahangir Jalil"/>
    <x v="2"/>
    <s v="Vitros ECiQ Immunodiagnostic System"/>
    <n v="15002760"/>
    <s v="Immunoassay"/>
    <n v="3002000021"/>
    <s v="N/A"/>
    <n v="30006248"/>
    <s v="01.10.2022"/>
    <s v="23.09.2022"/>
    <s v="25.04.2025"/>
    <s v="Available"/>
    <m/>
    <x v="8"/>
    <x v="0"/>
    <s v="Quetta"/>
    <n v="3020001748"/>
    <x v="114"/>
    <s v="Installed through Trader Jamal Brothers"/>
    <s v="Saleem Medical Complex, Quetta, Pakistan-87300"/>
    <s v="0336-3557475"/>
    <s v="ahmed_ullah26@yahoo.com"/>
    <s v="5132026-1"/>
    <s v="54400-1404155-1"/>
    <n v="9412200"/>
    <n v="55"/>
    <n v="50462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08000"/>
    <n v="452532"/>
    <n v="411355"/>
    <n v="0"/>
    <n v="405250"/>
    <n v="1372088"/>
    <n v="729428"/>
    <n v="298852"/>
    <n v="280510"/>
    <n v="120665"/>
    <n v="594166.04"/>
    <n v="637733"/>
    <n v="5510579.04"/>
    <n v="376675"/>
    <n v="387000"/>
    <n v="437000"/>
    <n v="93000"/>
    <n v="720000"/>
    <n v="127084"/>
    <n v="245000"/>
    <n v="249000"/>
    <n v="375730"/>
    <m/>
    <m/>
    <m/>
    <n v="3010489"/>
    <m/>
    <m/>
    <m/>
    <n v="0"/>
    <n v="0"/>
    <m/>
    <n v="8521068.0399999991"/>
    <n v="31"/>
    <n v="274873.16258064512"/>
    <n v="6003772.784"/>
    <n v="-229755.83741935488"/>
    <s v="Sales on track "/>
    <n v="-7411.4786264308023"/>
    <n v="0.4"/>
    <n v="3408427.216"/>
    <n v="0.35"/>
  </r>
  <r>
    <s v="Jahangir Jalil"/>
    <x v="2"/>
    <s v="Vitros ECiQ Immunodiagnostic System"/>
    <n v="15002760"/>
    <s v="Immunoassay"/>
    <n v="3002000020"/>
    <s v="N/A"/>
    <n v="30006249"/>
    <s v="01.10.2022"/>
    <s v="26.09.2022"/>
    <s v="25.04.2025"/>
    <s v="Available"/>
    <m/>
    <x v="8"/>
    <x v="0"/>
    <s v="Quetta"/>
    <n v="3020001748"/>
    <x v="115"/>
    <s v="Installed through Trader Jamal Brothers"/>
    <s v="Art School Rd, Quetta, Balochistan 83200"/>
    <s v="0336-3557475"/>
    <s v="ahmed_ullah26@yahoo.com"/>
    <s v="5132026-1"/>
    <s v="54400-1404155-1"/>
    <n v="9412200"/>
    <n v="58"/>
    <n v="507479"/>
    <m/>
    <s v="Order received and processed"/>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21000"/>
    <n v="425300"/>
    <n v="425361"/>
    <n v="0"/>
    <n v="412580"/>
    <n v="1317204"/>
    <n v="573122"/>
    <n v="286810"/>
    <n v="240438"/>
    <n v="94809"/>
    <n v="525723.42000000004"/>
    <n v="584588"/>
    <n v="5106935.42"/>
    <n v="318725"/>
    <n v="369174"/>
    <n v="522000"/>
    <n v="106000"/>
    <n v="1040000"/>
    <n v="150000"/>
    <n v="250000"/>
    <n v="222500"/>
    <n v="387500"/>
    <m/>
    <m/>
    <m/>
    <n v="3365899"/>
    <m/>
    <m/>
    <m/>
    <n v="0"/>
    <n v="0"/>
    <m/>
    <n v="8472834.4199999999"/>
    <n v="31"/>
    <n v="273317.23935483873"/>
    <n v="6023066.2319999998"/>
    <n v="-234161.76064516127"/>
    <s v="Sales behind track"/>
    <n v="-7553.6051821019764"/>
    <n v="0.4"/>
    <n v="3389133.7680000002"/>
    <n v="0.35"/>
  </r>
  <r>
    <s v="Jahangir Jalil"/>
    <x v="2"/>
    <s v="Vitros ECiQ Immunodiagnostic System"/>
    <n v="15002760"/>
    <s v="Immunoassay"/>
    <n v="3002000022"/>
    <s v="N/A"/>
    <n v="30006240"/>
    <s v="29.10.2022"/>
    <s v="19.10.2022"/>
    <s v="25.04.2025"/>
    <s v="Available"/>
    <m/>
    <x v="8"/>
    <x v="0"/>
    <s v="Quetta"/>
    <n v="3020001748"/>
    <x v="116"/>
    <s v="Dr. Hanif Mangel"/>
    <s v="52Q5+VJ4, Patel Road, Patel Bagh Quetta, Balochistan"/>
    <s v="0336-3557475"/>
    <s v="ahmed_ullah26@yahoo.com"/>
    <s v="5132026-1"/>
    <s v="54400-1404155-1"/>
    <n v="8595000"/>
    <n v="55"/>
    <n v="424250"/>
    <m/>
    <m/>
    <s v="Reagents Not available"/>
    <s v="Partial items received, already processed the orders"/>
    <s v="working with customer to put workload on our equipment "/>
    <m/>
    <s v="working with customer to put workload on our equipment "/>
    <s v="We've increased their prices by 35%, furthermore revised business case will be submitted for approval based on actual workload."/>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08820"/>
    <n v="384000"/>
    <n v="458717"/>
    <n v="0"/>
    <n v="380600"/>
    <n v="1152556"/>
    <n v="677326"/>
    <n v="323429"/>
    <n v="120257"/>
    <n v="112046"/>
    <n v="548460.96"/>
    <n v="690877"/>
    <n v="5057088.96"/>
    <n v="347700"/>
    <n v="698335"/>
    <n v="479000"/>
    <n v="107017"/>
    <n v="791114"/>
    <n v="115000"/>
    <n v="287000"/>
    <n v="81039"/>
    <n v="154000"/>
    <m/>
    <m/>
    <m/>
    <n v="3060205"/>
    <m/>
    <m/>
    <m/>
    <n v="0"/>
    <n v="0"/>
    <m/>
    <n v="8117293.96"/>
    <n v="31"/>
    <n v="261848.19225806452"/>
    <n v="5348082.4159999993"/>
    <n v="-162401.80774193548"/>
    <s v="Sales on track"/>
    <n v="-5238.7679916753377"/>
    <n v="0.4"/>
    <n v="3246917.5840000003"/>
    <n v="0.35"/>
  </r>
  <r>
    <s v="Hammad Noor"/>
    <x v="0"/>
    <s v="iFlash 1800"/>
    <n v="15002462"/>
    <s v="Immunoassay"/>
    <n v="3002000098"/>
    <m/>
    <s v="IA00093422"/>
    <m/>
    <m/>
    <s v="14.05.2025"/>
    <m/>
    <m/>
    <x v="0"/>
    <x v="1"/>
    <s v="D.G Khan"/>
    <n v="3020001809"/>
    <x v="117"/>
    <m/>
    <m/>
    <m/>
    <m/>
    <m/>
    <m/>
    <n v="3100000"/>
    <n v="33"/>
    <n v="29400"/>
    <m/>
    <m/>
    <m/>
    <m/>
    <m/>
    <m/>
    <m/>
    <m/>
    <m/>
    <m/>
    <m/>
    <m/>
    <m/>
    <m/>
    <m/>
    <m/>
    <m/>
    <m/>
    <m/>
    <m/>
    <m/>
    <m/>
    <m/>
    <m/>
    <m/>
    <m/>
    <s v="Machine to be checked"/>
    <s v="Tender or Pull back by May 15"/>
    <n v="1"/>
    <s v="Placed"/>
    <m/>
    <m/>
    <m/>
    <m/>
    <m/>
    <m/>
    <m/>
    <m/>
    <m/>
    <n v="2491525.5"/>
    <m/>
    <m/>
    <n v="2491525.5"/>
    <m/>
    <m/>
    <m/>
    <m/>
    <m/>
    <m/>
    <m/>
    <m/>
    <n v="0"/>
    <n v="0"/>
    <n v="0"/>
    <m/>
    <n v="0"/>
    <n v="0"/>
    <n v="0"/>
    <n v="0"/>
    <n v="0"/>
    <n v="0"/>
    <m/>
    <n v="2491525.5"/>
    <n v="13"/>
    <n v="191655.80769230769"/>
    <n v="2103389.7999999998"/>
    <n v="162255.80769230769"/>
    <m/>
    <n v="12481.215976331361"/>
    <n v="0.4"/>
    <n v="996610.20000000007"/>
    <n v="0.4"/>
  </r>
  <r>
    <s v="Jahangir Jalil"/>
    <x v="2"/>
    <s v="Vitros ECiQ Analyzer"/>
    <n v="15002760"/>
    <s v="Immunoassay"/>
    <m/>
    <m/>
    <m/>
    <m/>
    <m/>
    <s v="23.06.2025"/>
    <m/>
    <m/>
    <x v="1"/>
    <x v="2"/>
    <s v="Islamabad"/>
    <n v="3020001811"/>
    <x v="118"/>
    <m/>
    <s v="1-674, Street No 7, Murree Road Committee Chowk"/>
    <s v="051-5132096/0333-5483970"/>
    <s v="mjunaidpirzada@gmail.com"/>
    <m/>
    <s v="37405-8532137-1"/>
    <n v="13726374"/>
    <n v="35"/>
    <n v="979837"/>
    <m/>
    <m/>
    <m/>
    <m/>
    <m/>
    <m/>
    <m/>
    <m/>
    <m/>
    <m/>
    <m/>
    <m/>
    <m/>
    <m/>
    <m/>
    <m/>
    <m/>
    <m/>
    <m/>
    <m/>
    <m/>
    <m/>
    <m/>
    <m/>
    <m/>
    <m/>
    <s v="Closed"/>
    <m/>
    <m/>
    <m/>
    <m/>
    <m/>
    <m/>
    <m/>
    <n v="1710000"/>
    <m/>
    <m/>
    <m/>
    <m/>
    <m/>
    <m/>
    <m/>
    <n v="1710000"/>
    <m/>
    <m/>
    <m/>
    <m/>
    <m/>
    <m/>
    <n v="316962"/>
    <n v="0"/>
    <n v="0"/>
    <m/>
    <m/>
    <m/>
    <n v="316962"/>
    <m/>
    <m/>
    <m/>
    <n v="0"/>
    <n v="0"/>
    <m/>
    <n v="2026962"/>
    <n v="4"/>
    <n v="506740.5"/>
    <n v="12915589.199999999"/>
    <n v="-882971"/>
    <s v="Sales behind track"/>
    <n v="-220742.75"/>
    <n v="0.4"/>
    <n v="810784.8"/>
    <n v="0.4"/>
  </r>
  <r>
    <s v="Jahangir Jalil"/>
    <x v="2"/>
    <s v="Vitros ECiQ"/>
    <n v="15002760"/>
    <s v="Immunoassay"/>
    <s v="AR # 300405"/>
    <s v="Received from GAMCA Peshawar"/>
    <n v="30006409"/>
    <m/>
    <m/>
    <s v="04.07.2025"/>
    <m/>
    <m/>
    <x v="0"/>
    <x v="2"/>
    <s v="Peshawar"/>
    <n v="3020001102"/>
    <x v="119"/>
    <m/>
    <m/>
    <m/>
    <m/>
    <m/>
    <m/>
    <n v="14446400"/>
    <n v="28"/>
    <n v="855600"/>
    <m/>
    <m/>
    <m/>
    <m/>
    <m/>
    <m/>
    <m/>
    <m/>
    <m/>
    <m/>
    <m/>
    <m/>
    <m/>
    <m/>
    <m/>
    <m/>
    <m/>
    <m/>
    <m/>
    <m/>
    <m/>
    <m/>
    <m/>
    <m/>
    <m/>
    <m/>
    <s v="Behind Track"/>
    <s v="due to stock shortages sales was behind track"/>
    <n v="1"/>
    <s v="Placed"/>
    <m/>
    <m/>
    <m/>
    <m/>
    <m/>
    <m/>
    <m/>
    <m/>
    <m/>
    <m/>
    <m/>
    <m/>
    <n v="0"/>
    <m/>
    <m/>
    <m/>
    <m/>
    <m/>
    <m/>
    <n v="469000"/>
    <m/>
    <n v="0"/>
    <m/>
    <m/>
    <m/>
    <n v="469000"/>
    <n v="647500"/>
    <m/>
    <m/>
    <n v="647500"/>
    <n v="647500"/>
    <m/>
    <n v="1116500"/>
    <n v="9"/>
    <n v="124055.55555555556"/>
    <n v="14446400"/>
    <n v="-731544.4444444445"/>
    <m/>
    <n v="-81282.716049382725"/>
    <m/>
    <n v="0"/>
    <n v="0"/>
  </r>
  <r>
    <s v="Jahangir Jalil"/>
    <x v="7"/>
    <s v="EC90"/>
    <n v="15002674"/>
    <s v="Electrolyte Analyzer"/>
    <s v="AR # 1900381"/>
    <s v="Shifted from demo 8300061998 18.08.2025"/>
    <s v="9254-2-202402"/>
    <m/>
    <m/>
    <s v="14.07.2025"/>
    <m/>
    <m/>
    <x v="0"/>
    <x v="0"/>
    <s v="Quetta"/>
    <n v="3020001748"/>
    <x v="120"/>
    <m/>
    <m/>
    <m/>
    <m/>
    <m/>
    <m/>
    <n v="532660"/>
    <n v="24"/>
    <n v="68306"/>
    <m/>
    <m/>
    <m/>
    <m/>
    <m/>
    <m/>
    <m/>
    <m/>
    <m/>
    <m/>
    <m/>
    <m/>
    <m/>
    <m/>
    <m/>
    <m/>
    <m/>
    <m/>
    <m/>
    <m/>
    <m/>
    <m/>
    <m/>
    <m/>
    <m/>
    <m/>
    <s v="2 Mchines through jamal brothers purchsed"/>
    <s v="Behind Track"/>
    <n v="1"/>
    <s v="Active"/>
    <n v="50000"/>
    <n v="580000"/>
    <n v="550000"/>
    <m/>
    <m/>
    <n v="182500"/>
    <n v="50000"/>
    <n v="1093220.45"/>
    <m/>
    <n v="-582966.1"/>
    <m/>
    <n v="207100"/>
    <n v="2129854.35"/>
    <n v="201400"/>
    <n v="319200"/>
    <m/>
    <n v="532000"/>
    <n v="901000"/>
    <n v="0"/>
    <m/>
    <m/>
    <n v="873200"/>
    <n v="1087200"/>
    <n v="350000"/>
    <m/>
    <n v="4264000"/>
    <n v="0"/>
    <n v="217600"/>
    <n v="106400"/>
    <n v="324000"/>
    <n v="352240"/>
    <m/>
    <n v="6717854.3499999996"/>
    <m/>
    <e v="#DIV/0!"/>
    <m/>
    <e v="#DIV/0!"/>
    <m/>
    <e v="#DIV/0!"/>
    <m/>
    <n v="0"/>
    <n v="0"/>
  </r>
  <r>
    <s v="Hammad Noor"/>
    <x v="0"/>
    <s v="IFLASH 1200"/>
    <n v="15002553"/>
    <s v="Immunoassay"/>
    <m/>
    <m/>
    <s v="ID00093734"/>
    <m/>
    <m/>
    <s v="25.11.2025"/>
    <m/>
    <m/>
    <x v="0"/>
    <x v="0"/>
    <s v="Quetta"/>
    <n v="3020001748"/>
    <x v="121"/>
    <m/>
    <m/>
    <m/>
    <m/>
    <m/>
    <m/>
    <n v="4910685"/>
    <n v="30"/>
    <n v="674745"/>
    <m/>
    <m/>
    <m/>
    <m/>
    <m/>
    <m/>
    <m/>
    <m/>
    <m/>
    <m/>
    <m/>
    <m/>
    <m/>
    <m/>
    <m/>
    <m/>
    <m/>
    <m/>
    <m/>
    <m/>
    <m/>
    <m/>
    <m/>
    <m/>
    <m/>
    <m/>
    <s v="on track"/>
    <s v="orders on hold - will be on track"/>
    <n v="1"/>
    <s v="Placed"/>
    <m/>
    <m/>
    <m/>
    <m/>
    <m/>
    <m/>
    <m/>
    <m/>
    <m/>
    <m/>
    <m/>
    <m/>
    <n v="0"/>
    <m/>
    <m/>
    <m/>
    <m/>
    <m/>
    <m/>
    <m/>
    <m/>
    <m/>
    <m/>
    <m/>
    <n v="1032747.5"/>
    <n v="1032747.5"/>
    <n v="205240"/>
    <n v="424978"/>
    <n v="79312.5"/>
    <n v="709530.5"/>
    <n v="435569.5"/>
    <m/>
    <n v="1742278"/>
    <n v="1"/>
    <n v="1742278"/>
    <m/>
    <n v="1067533"/>
    <m/>
    <n v="1067533"/>
    <m/>
    <n v="0"/>
    <n v="0"/>
  </r>
  <r>
    <s v="Hammad Noor"/>
    <x v="0"/>
    <s v="IFLASH 1800"/>
    <n v="15002462"/>
    <s v="Immunoassay"/>
    <m/>
    <m/>
    <m/>
    <m/>
    <m/>
    <s v="25.11.2025"/>
    <m/>
    <m/>
    <x v="0"/>
    <x v="0"/>
    <s v="Quetta"/>
    <n v="3020001748"/>
    <x v="122"/>
    <m/>
    <m/>
    <m/>
    <m/>
    <m/>
    <m/>
    <n v="4910685"/>
    <n v="35"/>
    <n v="472477"/>
    <m/>
    <m/>
    <m/>
    <m/>
    <m/>
    <m/>
    <m/>
    <m/>
    <m/>
    <m/>
    <m/>
    <m/>
    <m/>
    <m/>
    <m/>
    <m/>
    <m/>
    <m/>
    <m/>
    <m/>
    <m/>
    <m/>
    <m/>
    <m/>
    <m/>
    <m/>
    <s v="on track"/>
    <s v="orders on hold - will be on track"/>
    <n v="1"/>
    <s v="Placed"/>
    <m/>
    <m/>
    <m/>
    <m/>
    <m/>
    <m/>
    <m/>
    <m/>
    <m/>
    <m/>
    <m/>
    <m/>
    <n v="0"/>
    <m/>
    <m/>
    <m/>
    <m/>
    <m/>
    <m/>
    <m/>
    <m/>
    <m/>
    <m/>
    <m/>
    <n v="1032747.5"/>
    <n v="1032747.5"/>
    <n v="205240"/>
    <n v="424978"/>
    <n v="79312.5"/>
    <n v="709530.5"/>
    <n v="435569.5"/>
    <m/>
    <n v="1742278"/>
    <n v="1"/>
    <n v="1742278"/>
    <m/>
    <n v="1269801"/>
    <m/>
    <n v="1269801"/>
    <m/>
    <n v="0"/>
    <n v="0"/>
  </r>
  <r>
    <s v="Jahangir Jalil"/>
    <x v="4"/>
    <s v="STA Compact Max"/>
    <n v="15003000"/>
    <s v="Coagulation Analyzer"/>
    <m/>
    <m/>
    <m/>
    <m/>
    <m/>
    <s v="27.06.2025"/>
    <m/>
    <m/>
    <x v="1"/>
    <x v="1"/>
    <s v="Lahore"/>
    <m/>
    <x v="123"/>
    <m/>
    <m/>
    <m/>
    <m/>
    <m/>
    <m/>
    <n v="7823998"/>
    <n v="34"/>
    <n v="500398"/>
    <m/>
    <m/>
    <m/>
    <m/>
    <m/>
    <m/>
    <m/>
    <m/>
    <m/>
    <m/>
    <m/>
    <m/>
    <m/>
    <m/>
    <m/>
    <m/>
    <m/>
    <m/>
    <m/>
    <m/>
    <m/>
    <m/>
    <m/>
    <m/>
    <m/>
    <m/>
    <m/>
    <m/>
    <m/>
    <s v="Not Placed"/>
    <m/>
    <m/>
    <m/>
    <m/>
    <m/>
    <m/>
    <m/>
    <m/>
    <m/>
    <m/>
    <m/>
    <m/>
    <n v="0"/>
    <m/>
    <m/>
    <m/>
    <m/>
    <m/>
    <m/>
    <m/>
    <m/>
    <m/>
    <m/>
    <m/>
    <m/>
    <n v="0"/>
    <m/>
    <m/>
    <m/>
    <n v="0"/>
    <n v="0"/>
    <m/>
    <n v="0"/>
    <m/>
    <e v="#DIV/0!"/>
    <m/>
    <e v="#DIV/0!"/>
    <m/>
    <e v="#DIV/0!"/>
    <m/>
    <n v="0"/>
    <n v="0"/>
  </r>
  <r>
    <s v="Jahangir Jalil"/>
    <x v="2"/>
    <s v="Vitros ECiQ"/>
    <n v="15002760"/>
    <s v="Immunoassay"/>
    <n v="3002000121"/>
    <m/>
    <n v="30006374"/>
    <m/>
    <m/>
    <s v="04.07.2025"/>
    <m/>
    <m/>
    <x v="0"/>
    <x v="2"/>
    <s v="Peshawar"/>
    <n v="3020001086"/>
    <x v="124"/>
    <m/>
    <m/>
    <m/>
    <m/>
    <m/>
    <m/>
    <n v="14446400"/>
    <n v="28"/>
    <n v="855600"/>
    <m/>
    <m/>
    <m/>
    <m/>
    <m/>
    <m/>
    <m/>
    <m/>
    <m/>
    <m/>
    <m/>
    <m/>
    <m/>
    <m/>
    <m/>
    <m/>
    <m/>
    <m/>
    <m/>
    <m/>
    <m/>
    <m/>
    <m/>
    <m/>
    <m/>
    <m/>
    <m/>
    <s v="due to stock shortages sales was behind track"/>
    <n v="1"/>
    <s v="Placed"/>
    <m/>
    <m/>
    <m/>
    <m/>
    <m/>
    <m/>
    <m/>
    <m/>
    <m/>
    <m/>
    <m/>
    <m/>
    <n v="0"/>
    <m/>
    <m/>
    <m/>
    <m/>
    <m/>
    <m/>
    <m/>
    <n v="443000"/>
    <m/>
    <m/>
    <m/>
    <m/>
    <n v="443000"/>
    <n v="556000"/>
    <m/>
    <m/>
    <n v="556000"/>
    <n v="556000"/>
    <m/>
    <n v="999000"/>
    <n v="9"/>
    <n v="111000"/>
    <n v="14446400"/>
    <n v="-744600"/>
    <m/>
    <n v="-82733.333333333328"/>
    <m/>
    <n v="0"/>
    <n v="0"/>
  </r>
  <r>
    <s v="Jahangir Jalil"/>
    <x v="2"/>
    <s v="Vitros ECiQ"/>
    <n v="15002760"/>
    <s v="Immunoassay"/>
    <m/>
    <m/>
    <m/>
    <m/>
    <m/>
    <s v="12.08.2025"/>
    <m/>
    <m/>
    <x v="1"/>
    <x v="2"/>
    <s v="Timmergara"/>
    <m/>
    <x v="125"/>
    <m/>
    <m/>
    <m/>
    <m/>
    <m/>
    <m/>
    <n v="7635000"/>
    <n v="36"/>
    <n v="656506"/>
    <m/>
    <m/>
    <m/>
    <m/>
    <m/>
    <m/>
    <m/>
    <m/>
    <m/>
    <m/>
    <m/>
    <m/>
    <m/>
    <m/>
    <m/>
    <m/>
    <m/>
    <m/>
    <m/>
    <m/>
    <m/>
    <m/>
    <m/>
    <m/>
    <m/>
    <m/>
    <s v="Pull Back"/>
    <m/>
    <m/>
    <s v="Pulling back"/>
    <m/>
    <m/>
    <m/>
    <m/>
    <m/>
    <m/>
    <m/>
    <m/>
    <m/>
    <m/>
    <m/>
    <m/>
    <n v="0"/>
    <m/>
    <m/>
    <m/>
    <m/>
    <m/>
    <m/>
    <m/>
    <m/>
    <m/>
    <m/>
    <m/>
    <m/>
    <n v="0"/>
    <m/>
    <m/>
    <m/>
    <n v="0"/>
    <n v="0"/>
    <m/>
    <n v="0"/>
    <m/>
    <e v="#DIV/0!"/>
    <m/>
    <e v="#DIV/0!"/>
    <m/>
    <e v="#DIV/0!"/>
    <m/>
    <n v="0"/>
    <n v="0"/>
  </r>
  <r>
    <s v="Jahangir Jalil"/>
    <x v="2"/>
    <s v="Vitros ECiQ"/>
    <n v="15002760"/>
    <s v="Immunoassay"/>
    <m/>
    <m/>
    <m/>
    <m/>
    <m/>
    <s v="26.08.2025"/>
    <m/>
    <m/>
    <x v="1"/>
    <x v="0"/>
    <s v="Karachi"/>
    <m/>
    <x v="126"/>
    <m/>
    <m/>
    <m/>
    <m/>
    <m/>
    <m/>
    <n v="8085000"/>
    <n v="36"/>
    <n v="598711"/>
    <m/>
    <m/>
    <m/>
    <m/>
    <m/>
    <m/>
    <m/>
    <m/>
    <m/>
    <m/>
    <m/>
    <m/>
    <m/>
    <m/>
    <m/>
    <m/>
    <m/>
    <m/>
    <m/>
    <m/>
    <m/>
    <m/>
    <m/>
    <m/>
    <m/>
    <m/>
    <m/>
    <m/>
    <m/>
    <s v="Not Placed"/>
    <m/>
    <m/>
    <m/>
    <m/>
    <m/>
    <m/>
    <m/>
    <m/>
    <m/>
    <m/>
    <m/>
    <m/>
    <n v="0"/>
    <m/>
    <m/>
    <m/>
    <m/>
    <m/>
    <m/>
    <m/>
    <m/>
    <m/>
    <m/>
    <m/>
    <m/>
    <n v="0"/>
    <m/>
    <m/>
    <m/>
    <n v="0"/>
    <n v="0"/>
    <m/>
    <n v="0"/>
    <m/>
    <e v="#DIV/0!"/>
    <m/>
    <e v="#DIV/0!"/>
    <m/>
    <e v="#DIV/0!"/>
    <m/>
    <n v="0"/>
    <n v="0"/>
  </r>
  <r>
    <s v="Hammad Noor"/>
    <x v="3"/>
    <s v="Swelab Alfa Plus"/>
    <n v="15001967"/>
    <s v="Hematology "/>
    <s v="AR # 300424"/>
    <m/>
    <n v="128455"/>
    <m/>
    <m/>
    <m/>
    <m/>
    <m/>
    <x v="4"/>
    <x v="1"/>
    <s v="Sahiwal"/>
    <n v="3020000896"/>
    <x v="127"/>
    <m/>
    <m/>
    <m/>
    <m/>
    <m/>
    <m/>
    <n v="3382372"/>
    <n v="36"/>
    <n v="421334"/>
    <m/>
    <m/>
    <m/>
    <m/>
    <m/>
    <m/>
    <m/>
    <m/>
    <m/>
    <m/>
    <m/>
    <m/>
    <m/>
    <m/>
    <m/>
    <m/>
    <m/>
    <m/>
    <m/>
    <m/>
    <m/>
    <m/>
    <m/>
    <m/>
    <m/>
    <m/>
    <s v="on Track"/>
    <s v="on Track"/>
    <n v="1"/>
    <s v="Placed"/>
    <m/>
    <m/>
    <m/>
    <m/>
    <m/>
    <m/>
    <m/>
    <m/>
    <m/>
    <m/>
    <m/>
    <m/>
    <n v="0"/>
    <m/>
    <m/>
    <m/>
    <m/>
    <m/>
    <m/>
    <m/>
    <m/>
    <m/>
    <m/>
    <m/>
    <n v="1525424"/>
    <n v="1525424"/>
    <m/>
    <n v="3050848"/>
    <n v="0"/>
    <n v="3050848"/>
    <n v="1525424"/>
    <m/>
    <n v="4576272"/>
    <m/>
    <e v="#DIV/0!"/>
    <m/>
    <e v="#DIV/0!"/>
    <s v="No Sales in March'26"/>
    <e v="#DIV/0!"/>
    <m/>
    <n v="0"/>
    <n v="0"/>
  </r>
  <r>
    <s v="Hammad Noor"/>
    <x v="3"/>
    <s v="Swelab-Autoloader"/>
    <m/>
    <s v="Hematology"/>
    <m/>
    <m/>
    <m/>
    <m/>
    <m/>
    <s v="24.11.2025"/>
    <m/>
    <m/>
    <x v="0"/>
    <x v="0"/>
    <s v="Sehwan"/>
    <n v="3020000379"/>
    <x v="128"/>
    <m/>
    <m/>
    <m/>
    <m/>
    <m/>
    <m/>
    <n v="1960000"/>
    <n v="36"/>
    <n v="175449"/>
    <m/>
    <m/>
    <m/>
    <m/>
    <m/>
    <m/>
    <m/>
    <m/>
    <m/>
    <m/>
    <m/>
    <m/>
    <m/>
    <m/>
    <m/>
    <m/>
    <m/>
    <m/>
    <m/>
    <m/>
    <m/>
    <m/>
    <m/>
    <m/>
    <m/>
    <m/>
    <s v="New installation "/>
    <s v="On track"/>
    <m/>
    <s v="Placed"/>
    <m/>
    <m/>
    <m/>
    <m/>
    <m/>
    <m/>
    <m/>
    <m/>
    <m/>
    <m/>
    <m/>
    <m/>
    <n v="0"/>
    <m/>
    <m/>
    <m/>
    <m/>
    <m/>
    <m/>
    <m/>
    <m/>
    <m/>
    <m/>
    <m/>
    <m/>
    <n v="0"/>
    <m/>
    <m/>
    <n v="262500"/>
    <n v="262500"/>
    <n v="262500"/>
    <m/>
    <n v="262500"/>
    <n v="1"/>
    <n v="262500"/>
    <m/>
    <n v="87051"/>
    <m/>
    <n v="87051"/>
    <m/>
    <n v="0"/>
    <n v="0"/>
  </r>
  <r>
    <s v="Hammad Noor"/>
    <x v="1"/>
    <s v="Microlab 300"/>
    <n v="15000003"/>
    <s v="Clinical Chemistry"/>
    <m/>
    <m/>
    <m/>
    <m/>
    <m/>
    <s v="27.08.2025"/>
    <m/>
    <m/>
    <x v="2"/>
    <x v="0"/>
    <s v="Sui Balochistan"/>
    <n v="3020001511"/>
    <x v="129"/>
    <m/>
    <m/>
    <m/>
    <m/>
    <m/>
    <m/>
    <n v="477000"/>
    <n v="2"/>
    <n v="327855"/>
    <m/>
    <m/>
    <m/>
    <m/>
    <m/>
    <m/>
    <m/>
    <m/>
    <m/>
    <m/>
    <m/>
    <m/>
    <m/>
    <m/>
    <m/>
    <m/>
    <m/>
    <m/>
    <m/>
    <m/>
    <m/>
    <m/>
    <m/>
    <m/>
    <m/>
    <m/>
    <s v="New machines"/>
    <s v="New machines"/>
    <n v="1"/>
    <s v="Placed"/>
    <m/>
    <m/>
    <m/>
    <m/>
    <m/>
    <m/>
    <m/>
    <m/>
    <m/>
    <m/>
    <m/>
    <m/>
    <n v="0"/>
    <m/>
    <m/>
    <m/>
    <m/>
    <m/>
    <m/>
    <m/>
    <m/>
    <m/>
    <m/>
    <m/>
    <m/>
    <n v="0"/>
    <m/>
    <m/>
    <n v="350305.66666666669"/>
    <n v="350305.66666666669"/>
    <n v="350305.66666666669"/>
    <m/>
    <n v="350305.66666666669"/>
    <n v="1"/>
    <n v="350305.66666666669"/>
    <n v="477000"/>
    <n v="22450.666666666686"/>
    <m/>
    <n v="22450.666666666686"/>
    <m/>
    <n v="0"/>
    <n v="0"/>
  </r>
  <r>
    <s v="Hammad Noor"/>
    <x v="3"/>
    <s v="Swelab Alfa Plus Standard"/>
    <n v="15001967"/>
    <s v="Hematology"/>
    <m/>
    <m/>
    <m/>
    <s v="24.11.2025"/>
    <m/>
    <s v="24.11.2025"/>
    <m/>
    <m/>
    <x v="4"/>
    <x v="1"/>
    <s v="Faisalabad Medical University"/>
    <n v="3020000393"/>
    <x v="30"/>
    <m/>
    <m/>
    <m/>
    <m/>
    <m/>
    <m/>
    <n v="1186483.33333333"/>
    <n v="25"/>
    <n v="108475"/>
    <m/>
    <m/>
    <m/>
    <m/>
    <m/>
    <m/>
    <m/>
    <m/>
    <m/>
    <m/>
    <m/>
    <m/>
    <m/>
    <m/>
    <m/>
    <m/>
    <m/>
    <m/>
    <m/>
    <m/>
    <m/>
    <m/>
    <m/>
    <m/>
    <m/>
    <m/>
    <s v="on Track"/>
    <s v="on Track"/>
    <m/>
    <s v="Placed"/>
    <m/>
    <m/>
    <m/>
    <m/>
    <m/>
    <m/>
    <m/>
    <m/>
    <m/>
    <m/>
    <m/>
    <m/>
    <n v="0"/>
    <m/>
    <m/>
    <m/>
    <m/>
    <m/>
    <m/>
    <m/>
    <m/>
    <m/>
    <m/>
    <m/>
    <m/>
    <n v="0"/>
    <n v="0"/>
    <n v="700022.02"/>
    <n v="208452.33333333334"/>
    <n v="908474.35333333339"/>
    <n v="302824.78444444446"/>
    <m/>
    <n v="908474.33333333337"/>
    <n v="2"/>
    <n v="454237.16666666669"/>
    <m/>
    <n v="345762.16666666669"/>
    <m/>
    <n v="172881.08333333334"/>
    <m/>
    <n v="0"/>
    <n v="0"/>
  </r>
  <r>
    <s v="Hammad Noor"/>
    <x v="3"/>
    <s v="Swelab Alfa Plus Standard"/>
    <n v="15001967"/>
    <s v="Hematology"/>
    <m/>
    <m/>
    <m/>
    <s v="24.11.2025"/>
    <m/>
    <s v="24.11.2025"/>
    <m/>
    <m/>
    <x v="4"/>
    <x v="1"/>
    <s v="Faisalabad Medical University"/>
    <n v="3020000393"/>
    <x v="30"/>
    <m/>
    <m/>
    <m/>
    <m/>
    <m/>
    <m/>
    <n v="1186483.33333333"/>
    <n v="25"/>
    <n v="108475"/>
    <m/>
    <m/>
    <m/>
    <m/>
    <m/>
    <m/>
    <m/>
    <m/>
    <m/>
    <m/>
    <m/>
    <m/>
    <m/>
    <m/>
    <m/>
    <m/>
    <m/>
    <m/>
    <m/>
    <m/>
    <m/>
    <m/>
    <m/>
    <m/>
    <m/>
    <m/>
    <s v="on Track"/>
    <s v="on Track"/>
    <m/>
    <s v="Placed"/>
    <m/>
    <m/>
    <m/>
    <m/>
    <m/>
    <m/>
    <m/>
    <m/>
    <m/>
    <m/>
    <m/>
    <m/>
    <n v="0"/>
    <m/>
    <m/>
    <m/>
    <m/>
    <m/>
    <m/>
    <m/>
    <m/>
    <m/>
    <m/>
    <m/>
    <m/>
    <n v="0"/>
    <n v="0"/>
    <n v="700022.02"/>
    <n v="208452.33333333334"/>
    <n v="908474.35333333339"/>
    <n v="302824.78444444446"/>
    <m/>
    <n v="908474.33333333337"/>
    <n v="2"/>
    <n v="454237.16666666669"/>
    <m/>
    <n v="345762.16666666669"/>
    <m/>
    <n v="172881.08333333334"/>
    <m/>
    <n v="0"/>
    <n v="0"/>
  </r>
  <r>
    <s v="Hammad Noor"/>
    <x v="0"/>
    <s v="IFLASH 1200"/>
    <n v="15002553"/>
    <s v="Immunoassay"/>
    <m/>
    <m/>
    <m/>
    <m/>
    <m/>
    <s v="26.12.2025"/>
    <m/>
    <m/>
    <x v="0"/>
    <x v="2"/>
    <s v="Rawalpindi"/>
    <n v="3020000685"/>
    <x v="130"/>
    <m/>
    <m/>
    <m/>
    <m/>
    <m/>
    <m/>
    <n v="3047232"/>
    <n v="36"/>
    <n v="455552"/>
    <m/>
    <m/>
    <m/>
    <m/>
    <m/>
    <m/>
    <m/>
    <m/>
    <m/>
    <m/>
    <m/>
    <m/>
    <m/>
    <m/>
    <m/>
    <m/>
    <m/>
    <m/>
    <m/>
    <m/>
    <m/>
    <m/>
    <m/>
    <m/>
    <m/>
    <m/>
    <s v="Behind track due to overdue"/>
    <s v="due to overdue, invoice will be done in April, 15th April Cheque received"/>
    <m/>
    <s v="Placed"/>
    <m/>
    <m/>
    <m/>
    <m/>
    <m/>
    <m/>
    <m/>
    <m/>
    <m/>
    <m/>
    <m/>
    <m/>
    <n v="0"/>
    <m/>
    <m/>
    <m/>
    <m/>
    <m/>
    <m/>
    <n v="402610"/>
    <n v="140000"/>
    <n v="109500"/>
    <m/>
    <n v="416420"/>
    <m/>
    <n v="1068530"/>
    <m/>
    <m/>
    <m/>
    <n v="0"/>
    <n v="416420"/>
    <m/>
    <n v="1068530"/>
    <n v="9"/>
    <n v="118725.55555555556"/>
    <m/>
    <n v="-336826.44444444444"/>
    <m/>
    <n v="-37425.160493827163"/>
    <m/>
    <n v="0"/>
    <n v="0"/>
  </r>
  <r>
    <s v="Jahangir Jalil"/>
    <x v="2"/>
    <s v="Vitros ECiQ"/>
    <m/>
    <s v="Immunoassay"/>
    <m/>
    <m/>
    <m/>
    <m/>
    <m/>
    <s v="14.10.2025"/>
    <m/>
    <m/>
    <x v="4"/>
    <x v="1"/>
    <s v="Multan"/>
    <n v="3020000633"/>
    <x v="37"/>
    <m/>
    <m/>
    <m/>
    <m/>
    <m/>
    <m/>
    <n v="12513969"/>
    <n v="19"/>
    <n v="1442723.5"/>
    <m/>
    <m/>
    <m/>
    <m/>
    <m/>
    <m/>
    <m/>
    <m/>
    <m/>
    <m/>
    <m/>
    <m/>
    <m/>
    <m/>
    <m/>
    <m/>
    <m/>
    <m/>
    <m/>
    <m/>
    <m/>
    <m/>
    <m/>
    <m/>
    <m/>
    <m/>
    <s v="Behind Track"/>
    <s v="Behind Track"/>
    <m/>
    <m/>
    <m/>
    <m/>
    <m/>
    <m/>
    <m/>
    <m/>
    <m/>
    <m/>
    <m/>
    <m/>
    <m/>
    <m/>
    <n v="0"/>
    <m/>
    <m/>
    <n v="168750.52499999999"/>
    <n v="0"/>
    <n v="116339.01000000001"/>
    <n v="557370"/>
    <n v="687105.67999999993"/>
    <n v="0"/>
    <n v="6160"/>
    <n v="0"/>
    <n v="0"/>
    <n v="924903"/>
    <n v="2460628.2149999999"/>
    <n v="0"/>
    <n v="770631"/>
    <m/>
    <n v="770631"/>
    <n v="339106.8"/>
    <m/>
    <n v="3231259.2149999999"/>
    <m/>
    <e v="#DIV/0!"/>
    <m/>
    <e v="#DIV/0!"/>
    <m/>
    <e v="#DIV/0!"/>
    <m/>
    <n v="0"/>
    <n v="0"/>
  </r>
  <r>
    <s v="Jahangir Jalil"/>
    <x v="2"/>
    <s v="Vitros ECiQ"/>
    <m/>
    <s v="Immunoassay"/>
    <m/>
    <m/>
    <m/>
    <m/>
    <m/>
    <s v="14.10.2025"/>
    <m/>
    <m/>
    <x v="4"/>
    <x v="1"/>
    <s v="Multan"/>
    <n v="3020000633"/>
    <x v="37"/>
    <m/>
    <m/>
    <m/>
    <m/>
    <m/>
    <m/>
    <n v="12513969"/>
    <n v="19"/>
    <n v="1442723.5"/>
    <m/>
    <m/>
    <m/>
    <m/>
    <m/>
    <m/>
    <m/>
    <m/>
    <m/>
    <m/>
    <m/>
    <m/>
    <m/>
    <m/>
    <m/>
    <m/>
    <m/>
    <m/>
    <m/>
    <m/>
    <m/>
    <m/>
    <m/>
    <m/>
    <m/>
    <m/>
    <s v="Behind Track"/>
    <s v="Behind Track"/>
    <m/>
    <m/>
    <m/>
    <m/>
    <m/>
    <m/>
    <m/>
    <m/>
    <m/>
    <m/>
    <m/>
    <m/>
    <m/>
    <m/>
    <n v="0"/>
    <m/>
    <m/>
    <n v="168750.52499999999"/>
    <n v="0"/>
    <n v="116339.01000000001"/>
    <n v="557370"/>
    <n v="687105.67999999993"/>
    <n v="0"/>
    <n v="6160"/>
    <n v="0"/>
    <n v="0"/>
    <n v="924903"/>
    <n v="2460628.2149999999"/>
    <n v="0"/>
    <n v="770631"/>
    <m/>
    <n v="770631"/>
    <n v="339106.8"/>
    <m/>
    <n v="3231259.2149999999"/>
    <m/>
    <e v="#DIV/0!"/>
    <m/>
    <e v="#DIV/0!"/>
    <m/>
    <e v="#DIV/0!"/>
    <m/>
    <n v="0"/>
    <n v="0"/>
  </r>
  <r>
    <s v="Hammad Noor"/>
    <x v="5"/>
    <s v="DYMIND DH-76"/>
    <n v="15003243"/>
    <s v="Hematology "/>
    <m/>
    <m/>
    <s v="DM11052437003"/>
    <m/>
    <m/>
    <s v="26.12.2025"/>
    <m/>
    <m/>
    <x v="4"/>
    <x v="2"/>
    <s v="Peshawar"/>
    <n v="3020001115"/>
    <x v="131"/>
    <m/>
    <m/>
    <m/>
    <m/>
    <m/>
    <m/>
    <n v="21992876"/>
    <n v="35"/>
    <n v="1808443"/>
    <m/>
    <m/>
    <m/>
    <m/>
    <m/>
    <m/>
    <m/>
    <m/>
    <m/>
    <m/>
    <m/>
    <m/>
    <m/>
    <m/>
    <m/>
    <m/>
    <m/>
    <m/>
    <m/>
    <m/>
    <m/>
    <m/>
    <m/>
    <m/>
    <m/>
    <m/>
    <s v="Behind Track due to supply issue"/>
    <s v="Behind Track due to supply issue"/>
    <m/>
    <s v="Placed"/>
    <m/>
    <m/>
    <m/>
    <m/>
    <m/>
    <m/>
    <m/>
    <m/>
    <m/>
    <m/>
    <m/>
    <m/>
    <n v="0"/>
    <m/>
    <m/>
    <m/>
    <m/>
    <m/>
    <m/>
    <m/>
    <m/>
    <n v="143500"/>
    <m/>
    <m/>
    <n v="41600"/>
    <n v="185100"/>
    <n v="0"/>
    <n v="0"/>
    <m/>
    <n v="0"/>
    <n v="13866.666666666666"/>
    <m/>
    <n v="185100"/>
    <n v="6"/>
    <n v="30850"/>
    <m/>
    <n v="-1777593"/>
    <m/>
    <n v="-296265.5"/>
    <m/>
    <n v="0"/>
    <n v="0"/>
  </r>
  <r>
    <s v="Hammad Noor"/>
    <x v="0"/>
    <s v="IFLASH 1200"/>
    <m/>
    <s v="Immunoassay"/>
    <m/>
    <m/>
    <m/>
    <m/>
    <m/>
    <s v="25.11.2025"/>
    <m/>
    <m/>
    <x v="0"/>
    <x v="0"/>
    <s v="Quetta"/>
    <n v="3020001748"/>
    <x v="132"/>
    <m/>
    <m/>
    <m/>
    <m/>
    <m/>
    <m/>
    <n v="3276255"/>
    <n v="36"/>
    <n v="386629"/>
    <m/>
    <m/>
    <m/>
    <m/>
    <m/>
    <m/>
    <m/>
    <m/>
    <m/>
    <m/>
    <m/>
    <m/>
    <m/>
    <m/>
    <m/>
    <m/>
    <m/>
    <m/>
    <m/>
    <m/>
    <m/>
    <m/>
    <m/>
    <m/>
    <m/>
    <m/>
    <s v="on track"/>
    <s v="orders on hold - will be on track"/>
    <m/>
    <s v="Placed"/>
    <m/>
    <m/>
    <m/>
    <m/>
    <n v="1710000"/>
    <m/>
    <m/>
    <m/>
    <m/>
    <m/>
    <m/>
    <m/>
    <n v="1710000"/>
    <m/>
    <m/>
    <m/>
    <m/>
    <m/>
    <m/>
    <m/>
    <m/>
    <m/>
    <m/>
    <m/>
    <n v="1032747.5"/>
    <n v="1032747.5"/>
    <n v="205240"/>
    <n v="424978"/>
    <n v="79312.5"/>
    <n v="709530.5"/>
    <n v="435569.5"/>
    <m/>
    <n v="3452278"/>
    <n v="1"/>
    <n v="3452278"/>
    <m/>
    <n v="3065649"/>
    <m/>
    <n v="3065649"/>
    <m/>
    <n v="0"/>
    <n v="0"/>
  </r>
  <r>
    <s v="Hammad Noor"/>
    <x v="0"/>
    <s v="IFLASH 1200"/>
    <m/>
    <s v="Immunoassay"/>
    <m/>
    <m/>
    <m/>
    <m/>
    <m/>
    <s v="25.11.2025"/>
    <m/>
    <m/>
    <x v="0"/>
    <x v="2"/>
    <s v="Rawalpindi"/>
    <n v="3020000176"/>
    <x v="133"/>
    <m/>
    <m/>
    <m/>
    <m/>
    <m/>
    <m/>
    <n v="2998200"/>
    <n v="36"/>
    <n v="320078"/>
    <m/>
    <m/>
    <m/>
    <m/>
    <m/>
    <m/>
    <m/>
    <m/>
    <m/>
    <m/>
    <m/>
    <m/>
    <m/>
    <m/>
    <m/>
    <m/>
    <m/>
    <m/>
    <m/>
    <m/>
    <m/>
    <m/>
    <m/>
    <m/>
    <m/>
    <m/>
    <s v="On track"/>
    <s v="on track"/>
    <m/>
    <s v="Placed"/>
    <m/>
    <m/>
    <m/>
    <m/>
    <m/>
    <m/>
    <m/>
    <m/>
    <m/>
    <m/>
    <m/>
    <m/>
    <n v="0"/>
    <m/>
    <m/>
    <m/>
    <m/>
    <m/>
    <m/>
    <m/>
    <m/>
    <m/>
    <m/>
    <m/>
    <m/>
    <n v="0"/>
    <n v="229400"/>
    <n v="236500"/>
    <n v="995700"/>
    <n v="1461600"/>
    <n v="487200"/>
    <m/>
    <n v="1461600"/>
    <n v="3"/>
    <n v="487200"/>
    <m/>
    <n v="167122"/>
    <m/>
    <n v="55707.333333333336"/>
    <m/>
    <n v="0"/>
    <n v="0"/>
  </r>
  <r>
    <m/>
    <x v="0"/>
    <s v="iFlash 1800"/>
    <m/>
    <m/>
    <n v="3002000072"/>
    <s v="Machine transfer from Suhail"/>
    <s v="iA00093422"/>
    <m/>
    <m/>
    <m/>
    <m/>
    <m/>
    <x v="2"/>
    <x v="3"/>
    <m/>
    <n v="3020000998"/>
    <x v="134"/>
    <m/>
    <m/>
    <m/>
    <m/>
    <m/>
    <m/>
    <m/>
    <m/>
    <m/>
    <m/>
    <m/>
    <m/>
    <m/>
    <m/>
    <m/>
    <m/>
    <m/>
    <m/>
    <m/>
    <m/>
    <m/>
    <m/>
    <m/>
    <m/>
    <m/>
    <m/>
    <m/>
    <m/>
    <m/>
    <m/>
    <m/>
    <m/>
    <m/>
    <m/>
    <m/>
    <m/>
    <s v="on Track"/>
    <m/>
    <m/>
    <n v="0"/>
    <m/>
    <m/>
    <m/>
    <m/>
    <m/>
    <m/>
    <m/>
    <m/>
    <m/>
    <m/>
    <m/>
    <m/>
    <m/>
    <m/>
    <m/>
    <m/>
    <m/>
    <m/>
    <m/>
    <m/>
    <m/>
    <m/>
    <m/>
    <m/>
    <m/>
    <m/>
    <m/>
    <n v="66700"/>
    <m/>
    <n v="66700"/>
    <m/>
    <m/>
    <m/>
    <m/>
    <m/>
    <m/>
    <m/>
    <m/>
    <m/>
    <m/>
    <m/>
  </r>
  <r>
    <s v="Hammad Noor"/>
    <x v="3"/>
    <s v="Swelab Alfa Plus Standard"/>
    <n v="15001967"/>
    <s v="Hematology "/>
    <n v="3002000120"/>
    <m/>
    <n v="126055"/>
    <m/>
    <m/>
    <s v="17.07.2025"/>
    <m/>
    <s v="2 machines"/>
    <x v="0"/>
    <x v="1"/>
    <s v="Lahore"/>
    <n v="3020000206"/>
    <x v="17"/>
    <m/>
    <s v="294, Block H-3, M.A Johar Town, Lahore"/>
    <s v="042-35313166, 0300-6458181"/>
    <s v="manager@mughallabs.com"/>
    <s v="1293625-1"/>
    <s v="1293625-1"/>
    <n v="1191010"/>
    <n v="29"/>
    <n v="92028.5"/>
    <m/>
    <m/>
    <m/>
    <m/>
    <m/>
    <m/>
    <m/>
    <m/>
    <m/>
    <m/>
    <m/>
    <m/>
    <m/>
    <m/>
    <m/>
    <m/>
    <m/>
    <m/>
    <m/>
    <m/>
    <m/>
    <m/>
    <m/>
    <m/>
    <m/>
    <m/>
    <s v="on Track"/>
    <s v="on Track - Sales Rafay"/>
    <n v="1"/>
    <s v="Placed"/>
    <m/>
    <m/>
    <m/>
    <m/>
    <m/>
    <m/>
    <m/>
    <m/>
    <m/>
    <m/>
    <m/>
    <m/>
    <n v="0"/>
    <m/>
    <m/>
    <m/>
    <m/>
    <m/>
    <m/>
    <m/>
    <n v="114000"/>
    <n v="190000"/>
    <m/>
    <m/>
    <n v="72000"/>
    <n v="376000"/>
    <n v="0"/>
    <n v="532000"/>
    <n v="234000"/>
    <n v="766000"/>
    <n v="209500"/>
    <m/>
    <n v="1142000"/>
    <n v="8"/>
    <n v="142750"/>
    <m/>
    <n v="50721.5"/>
    <m/>
    <n v="6340.1875"/>
    <m/>
    <n v="0"/>
    <n v="0"/>
  </r>
  <r>
    <s v="Hammad Noor"/>
    <x v="0"/>
    <s v="IFLASH 3000R"/>
    <m/>
    <s v="Immunoassay"/>
    <m/>
    <m/>
    <m/>
    <m/>
    <m/>
    <s v="13.01.2026"/>
    <m/>
    <m/>
    <x v="0"/>
    <x v="0"/>
    <s v="Karachi"/>
    <n v="3020000664"/>
    <x v="135"/>
    <m/>
    <m/>
    <m/>
    <m/>
    <m/>
    <m/>
    <n v="5490000"/>
    <n v="36"/>
    <n v="413290"/>
    <m/>
    <m/>
    <m/>
    <m/>
    <m/>
    <m/>
    <m/>
    <m/>
    <m/>
    <m/>
    <m/>
    <m/>
    <m/>
    <m/>
    <m/>
    <m/>
    <m/>
    <m/>
    <m/>
    <m/>
    <m/>
    <m/>
    <m/>
    <m/>
    <m/>
    <m/>
    <s v="behind track need followup"/>
    <s v="behind track need followup Fasi"/>
    <m/>
    <s v="Placed"/>
    <m/>
    <m/>
    <m/>
    <m/>
    <m/>
    <m/>
    <m/>
    <m/>
    <m/>
    <m/>
    <m/>
    <m/>
    <n v="0"/>
    <m/>
    <m/>
    <m/>
    <m/>
    <m/>
    <m/>
    <m/>
    <m/>
    <m/>
    <m/>
    <m/>
    <m/>
    <n v="0"/>
    <n v="0"/>
    <n v="377100"/>
    <n v="296600"/>
    <n v="673700"/>
    <n v="224566.66666666666"/>
    <m/>
    <n v="673700"/>
    <m/>
    <e v="#DIV/0!"/>
    <m/>
    <e v="#DIV/0!"/>
    <m/>
    <e v="#DIV/0!"/>
    <m/>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Hammad Hafeez"/>
    <s v="Hammad Noor"/>
    <x v="0"/>
    <x v="0"/>
    <n v="15002462"/>
    <s v="Immunoassay"/>
    <n v="3002000010"/>
    <s v="N/A"/>
    <s v="IA00093222"/>
    <s v="26.09.2023"/>
    <s v="11.09.2023"/>
    <s v="11.09.2023"/>
    <s v="Available"/>
    <m/>
    <x v="0"/>
    <x v="0"/>
    <s v="Karachi"/>
    <n v="3020000013"/>
    <x v="0"/>
    <s v="N/A"/>
    <s v="St-19, KDA Scheme, Abul Asar Hafeez,"/>
    <s v="021-111-300-999, 0311-3060540"/>
    <s v=" rubina.sabir@lcmddsh.com.pk"/>
    <s v="2517101-1"/>
    <m/>
    <n v="2868545"/>
    <n v="29"/>
    <n v="586886"/>
    <m/>
    <m/>
    <m/>
    <m/>
    <m/>
    <m/>
    <x v="0"/>
    <x v="0"/>
    <m/>
    <m/>
    <s v="equipment installed &amp; Validation Done"/>
    <s v="We'll receive their first PO within this week"/>
    <m/>
    <m/>
    <m/>
    <m/>
    <m/>
    <m/>
    <s v="Sales are on track"/>
    <m/>
    <s v="Sales will be on track in next two months"/>
    <m/>
    <m/>
    <s v="No sales in june"/>
    <m/>
    <m/>
    <s v="on Track"/>
    <s v="on track - no sales in March"/>
    <n v="1"/>
    <s v="Placed"/>
    <n v="261866"/>
    <n v="759548.4"/>
    <n v="450046.8"/>
    <n v="230685.51"/>
    <n v="1817060.11"/>
    <n v="0"/>
    <n v="2496748.33"/>
    <n v="314131.19"/>
    <n v="0"/>
    <n v="1208280"/>
    <n v="1281910"/>
    <n v="1289650"/>
    <n v="10109926.34"/>
    <n v="524840"/>
    <n v="0"/>
    <n v="712890"/>
    <n v="1228210"/>
    <n v="484650"/>
    <n v="784342"/>
    <n v="137760"/>
    <n v="1348290"/>
    <n v="896470"/>
    <n v="147358"/>
    <n v="1219060"/>
    <n v="964490"/>
    <n v="8448360"/>
    <n v="597810"/>
    <n v="442650"/>
    <m/>
    <n v="1040460"/>
    <n v="674273.6"/>
    <m/>
    <n v="19598746.34"/>
    <x v="0"/>
    <n v="852119.4060869565"/>
    <n v="-4970953.5360000003"/>
    <n v="265233.4060869565"/>
    <x v="0"/>
    <n v="11531.887221172021"/>
    <n v="0.4"/>
    <n v="7839498.5360000003"/>
    <n v="0.4"/>
  </r>
  <r>
    <s v="Hammad Hafeez"/>
    <s v="Hammad Noor"/>
    <x v="1"/>
    <x v="1"/>
    <n v="15002128"/>
    <s v="Clinical Chemistry"/>
    <n v="3002000003"/>
    <s v="N/A"/>
    <s v="21-4087"/>
    <s v="26.10.2021"/>
    <s v="22.04.2022"/>
    <s v="22.04.2022"/>
    <s v="Available"/>
    <m/>
    <x v="0"/>
    <x v="0"/>
    <s v="Karachi"/>
    <n v="3020000022"/>
    <x v="1"/>
    <s v="Farhan Essa"/>
    <s v="B-122, Block H North Nazimabad Town, Karachi, Karachi City, Sindh"/>
    <s v="0333-2220711"/>
    <s v="ltcdrasgharali@gmail.com"/>
    <s v="0982474-0"/>
    <s v="42501-8253375-1"/>
    <n v="2606483"/>
    <n v="18"/>
    <n v="250000"/>
    <s v="As per Commtment"/>
    <s v="Receiving orders as per commitment"/>
    <s v="They've some payment and price revision issues which has been solved. New order has been received and invoiced in March 2023"/>
    <s v="Will receive order of April 2023"/>
    <s v="the gap will be covered in next order as innoline was not available."/>
    <m/>
    <x v="1"/>
    <x v="1"/>
    <s v="We've received order of 122,000 in August 2023 "/>
    <s v="We've got the order of 400,000 in September 2023 to cover the deficit of August 2023. Furthermore, we've covered 94% of ROI in this case."/>
    <s v="We've received order of 400,000 in Sep 2023 "/>
    <s v="Working with customer to get the desired orders as per comittment"/>
    <m/>
    <m/>
    <m/>
    <m/>
    <s v="Due to shifting of Lab, wordload is down."/>
    <s v="From on wards will receive commited value PO "/>
    <s v="Improvement in sales expected"/>
    <m/>
    <s v="Under discussion with Essa lab for price revision or replacement of machine with Mach 5"/>
    <s v="New Quoation has been submitted, under discussion with management of Essa Lab"/>
    <m/>
    <m/>
    <m/>
    <m/>
    <s v="behind track (followup by sales team)"/>
    <s v="follow up done it will be on track "/>
    <n v="1"/>
    <s v="Placed"/>
    <n v="293210.25"/>
    <n v="141695.46"/>
    <n v="114322.96"/>
    <n v="230296.74"/>
    <n v="253481.28"/>
    <n v="0"/>
    <n v="167380.73000000001"/>
    <n v="406400"/>
    <n v="84600"/>
    <n v="0"/>
    <n v="196100"/>
    <n v="236400"/>
    <n v="2123887.42"/>
    <n v="0"/>
    <n v="0"/>
    <n v="380500"/>
    <n v="97500"/>
    <n v="247800"/>
    <n v="17200"/>
    <n v="99800"/>
    <n v="53300"/>
    <n v="313800"/>
    <n v="271000"/>
    <n v="265200"/>
    <m/>
    <n v="1746100"/>
    <n v="24000"/>
    <n v="0"/>
    <n v="262200"/>
    <n v="286200"/>
    <n v="164480"/>
    <m/>
    <n v="4156187.42"/>
    <x v="1"/>
    <n v="92359.720444444436"/>
    <n v="736198.66100000008"/>
    <n v="-157640.27955555555"/>
    <x v="1"/>
    <n v="-3503.11732345679"/>
    <n v="0.45"/>
    <n v="1870284.3389999999"/>
    <n v="0.35"/>
  </r>
  <r>
    <s v="Abdul Moeed"/>
    <s v="Jahangir Jalil"/>
    <x v="2"/>
    <x v="2"/>
    <n v="15002760"/>
    <s v="Immunoassay"/>
    <n v="3002000034"/>
    <s v="N/A"/>
    <n v="30006181"/>
    <s v="20.07.2023"/>
    <s v="11.08.2023"/>
    <s v="11.08.2023"/>
    <s v="Available"/>
    <m/>
    <x v="1"/>
    <x v="1"/>
    <s v="Lahore"/>
    <n v="3020000072"/>
    <x v="2"/>
    <s v="N/A"/>
    <s v="561-A, Edhi Street, Faisal Town, Opposite Jinnah Hospital Emergency Gate, Lahore"/>
    <s v="0331-9699586"/>
    <s v=" kjabran87@gmail.com"/>
    <s v="0224883-2"/>
    <m/>
    <n v="7385000"/>
    <n v="39"/>
    <n v="755925"/>
    <m/>
    <m/>
    <m/>
    <m/>
    <m/>
    <m/>
    <x v="2"/>
    <x v="2"/>
    <s v="Waiting for Inventory &amp; then invoice execution "/>
    <m/>
    <s v="New PO has been Recieved Amount Subject to Invoice "/>
    <s v="Parameter Woking Planning to shift from Roche "/>
    <m/>
    <s v="Parameter Woking Planning to shift from Roche "/>
    <s v="One PO is proceeded and waiting for another PO"/>
    <s v="Follow up "/>
    <s v="Consumables and electricity cost issue."/>
    <m/>
    <s v="in process to terminate the contract. Instrument will be placed at Ghulab devi."/>
    <m/>
    <s v="Will be returned by end April"/>
    <m/>
    <m/>
    <s v="Machine pull back and place at ridhan ( machine will be on demo) "/>
    <m/>
    <m/>
    <m/>
    <m/>
    <m/>
    <s v="Closed"/>
    <n v="40943"/>
    <n v="141500"/>
    <n v="31500"/>
    <m/>
    <m/>
    <m/>
    <m/>
    <m/>
    <m/>
    <m/>
    <m/>
    <m/>
    <n v="213943"/>
    <m/>
    <m/>
    <m/>
    <m/>
    <m/>
    <m/>
    <m/>
    <m/>
    <m/>
    <m/>
    <m/>
    <m/>
    <n v="0"/>
    <n v="0"/>
    <n v="0"/>
    <m/>
    <n v="0"/>
    <n v="0"/>
    <s v="Machine move to Ridhan. It will pull back from ridhan as well because theres no business case."/>
    <n v="213943"/>
    <x v="2"/>
    <n v="14262.866666666667"/>
    <n v="7299422.7999999998"/>
    <n v="-741662.1333333333"/>
    <x v="1"/>
    <n v="-49444.142222222217"/>
    <n v="0.4"/>
    <n v="85577.200000000012"/>
    <n v="0.35"/>
  </r>
  <r>
    <s v="Hammad Hafeez"/>
    <s v="Hammad Noor"/>
    <x v="0"/>
    <x v="0"/>
    <n v="15002462"/>
    <s v="Immunoassay"/>
    <n v="3002000097"/>
    <m/>
    <s v="IA00146846"/>
    <s v="28.04.2025"/>
    <m/>
    <s v="10.04.2025"/>
    <m/>
    <m/>
    <x v="0"/>
    <x v="0"/>
    <s v="Karachi"/>
    <n v="3020000084"/>
    <x v="3"/>
    <m/>
    <s v="Rafique (HJ), Shaheed road,Saddar Town,Karachi"/>
    <s v="0300-2607223"/>
    <s v="mursaleen.khan@nicvd.org"/>
    <s v="4867225-3"/>
    <m/>
    <n v="4171088"/>
    <n v="32"/>
    <n v="1012173"/>
    <m/>
    <m/>
    <m/>
    <m/>
    <m/>
    <m/>
    <x v="0"/>
    <x v="0"/>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x v="3"/>
    <n v="1268053.2407407407"/>
    <n v="-393903.66666666698"/>
    <n v="255880.24074074067"/>
    <x v="0"/>
    <n v="28431.137860082297"/>
    <n v="0.4"/>
    <n v="4564991.666666667"/>
    <n v="0.4"/>
  </r>
  <r>
    <s v="Hammad Hafeez"/>
    <s v="Hammad Noor"/>
    <x v="0"/>
    <x v="3"/>
    <n v="15003241"/>
    <s v="Immunoassay"/>
    <m/>
    <m/>
    <s v="FC10330839"/>
    <s v="06.05.2025"/>
    <m/>
    <s v="10.04.2025"/>
    <m/>
    <m/>
    <x v="0"/>
    <x v="0"/>
    <s v="Hyderabad"/>
    <n v="3020000084"/>
    <x v="4"/>
    <m/>
    <s v="Rafique (HJ), Shaheed road,Saddar Town,Karachi"/>
    <s v="0300-2607223"/>
    <s v="mursaleen.khan@nicvd.org"/>
    <s v="4867225-3"/>
    <m/>
    <n v="4171088"/>
    <n v="32"/>
    <n v="1012173"/>
    <m/>
    <m/>
    <m/>
    <m/>
    <m/>
    <m/>
    <x v="0"/>
    <x v="0"/>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x v="3"/>
    <n v="1268053.2407407407"/>
    <n v="-393903.66666666698"/>
    <n v="255880.24074074067"/>
    <x v="1"/>
    <n v="28431.137860082297"/>
    <n v="0.4"/>
    <n v="4564991.666666667"/>
    <n v="0.4"/>
  </r>
  <r>
    <s v="Hammad Hafeez"/>
    <s v="Hammad Noor"/>
    <x v="0"/>
    <x v="3"/>
    <n v="15003241"/>
    <s v="Immunoassay"/>
    <m/>
    <m/>
    <s v="FC10330939"/>
    <s v="06.05.2025"/>
    <m/>
    <s v="10.04.2025"/>
    <m/>
    <m/>
    <x v="0"/>
    <x v="0"/>
    <s v="TMK (Tando Muhammad Khan)"/>
    <n v="3020000084"/>
    <x v="5"/>
    <m/>
    <s v="Rafique (HJ), Shaheed road,Saddar Town,Karachi"/>
    <s v="0300-2607223"/>
    <s v="mursaleen.khan@nicvd.org"/>
    <s v="4867225-3"/>
    <m/>
    <n v="4171088"/>
    <n v="32"/>
    <n v="1012173"/>
    <m/>
    <m/>
    <m/>
    <m/>
    <m/>
    <m/>
    <x v="0"/>
    <x v="0"/>
    <m/>
    <m/>
    <m/>
    <m/>
    <m/>
    <m/>
    <m/>
    <m/>
    <m/>
    <m/>
    <m/>
    <m/>
    <m/>
    <m/>
    <m/>
    <m/>
    <m/>
    <m/>
    <s v="on Track"/>
    <s v="on Track"/>
    <n v="1"/>
    <s v="Placed"/>
    <m/>
    <m/>
    <m/>
    <m/>
    <m/>
    <m/>
    <m/>
    <m/>
    <m/>
    <m/>
    <m/>
    <m/>
    <n v="0"/>
    <m/>
    <m/>
    <m/>
    <n v="0"/>
    <n v="581166.66666666663"/>
    <n v="964500"/>
    <n v="335666.66666666669"/>
    <n v="1132916.6666666667"/>
    <n v="886166.66666666663"/>
    <n v="1327250"/>
    <n v="900000"/>
    <n v="2909812.5"/>
    <n v="9037479.166666666"/>
    <m/>
    <n v="1740000"/>
    <n v="635000"/>
    <n v="2375000"/>
    <n v="1502412.5"/>
    <m/>
    <n v="11412479.166666666"/>
    <x v="3"/>
    <n v="1268053.2407407407"/>
    <n v="-393903.66666666698"/>
    <n v="255880.24074074067"/>
    <x v="1"/>
    <n v="28431.137860082297"/>
    <n v="0.4"/>
    <n v="4564991.666666667"/>
    <n v="0.4"/>
  </r>
  <r>
    <s v="Hammad Hafeez"/>
    <s v="Hammad Noor"/>
    <x v="0"/>
    <x v="4"/>
    <n v="15003241"/>
    <s v="Immunoassay"/>
    <m/>
    <m/>
    <m/>
    <m/>
    <m/>
    <s v="10.11.2025"/>
    <m/>
    <m/>
    <x v="0"/>
    <x v="0"/>
    <s v="Sukkur"/>
    <n v="3020000084"/>
    <x v="5"/>
    <m/>
    <s v="Rafique (HJ), Shaheed road,Saddar Town,Karachi"/>
    <s v="0300-2607223"/>
    <s v="mursaleen.khan@nicvd.org"/>
    <s v="4867225-3"/>
    <m/>
    <n v="18188372"/>
    <n v="28"/>
    <n v="1484753"/>
    <m/>
    <m/>
    <m/>
    <m/>
    <m/>
    <m/>
    <x v="0"/>
    <x v="0"/>
    <m/>
    <m/>
    <m/>
    <m/>
    <m/>
    <m/>
    <m/>
    <m/>
    <m/>
    <m/>
    <m/>
    <m/>
    <m/>
    <m/>
    <m/>
    <m/>
    <m/>
    <m/>
    <s v="on Track"/>
    <s v="on Track"/>
    <n v="1"/>
    <s v="Placed"/>
    <m/>
    <m/>
    <m/>
    <m/>
    <n v="1710000"/>
    <m/>
    <m/>
    <m/>
    <m/>
    <m/>
    <m/>
    <m/>
    <n v="1710000"/>
    <m/>
    <m/>
    <m/>
    <m/>
    <m/>
    <m/>
    <m/>
    <m/>
    <m/>
    <m/>
    <n v="900000"/>
    <n v="2909812.5"/>
    <n v="3809812.5"/>
    <m/>
    <n v="1740000"/>
    <n v="635000"/>
    <n v="2375000"/>
    <n v="1546203.125"/>
    <m/>
    <n v="7894812.5"/>
    <x v="4"/>
    <n v="2631604.1666666665"/>
    <m/>
    <n v="1146851.1666666665"/>
    <x v="2"/>
    <n v="382283.72222222219"/>
    <m/>
    <n v="0"/>
    <n v="0"/>
  </r>
  <r>
    <s v="Hammad Hafeez"/>
    <s v="Hammad Noor"/>
    <x v="1"/>
    <x v="1"/>
    <n v="15002128"/>
    <s v="Clinical Chemistry"/>
    <n v="3002000081"/>
    <m/>
    <s v="24-4068"/>
    <m/>
    <m/>
    <s v="08.12.2024"/>
    <s v="Available"/>
    <m/>
    <x v="0"/>
    <x v="0"/>
    <s v="Karachi"/>
    <n v="3020000084"/>
    <x v="3"/>
    <m/>
    <s v="Rafique (HJ), Shaheed road,Saddar Town,Karachi"/>
    <s v="0300-2607223"/>
    <s v="mursaleen.khan@nicvd.org"/>
    <s v="4867225-3"/>
    <m/>
    <n v="4115000"/>
    <n v="24"/>
    <n v="283560"/>
    <m/>
    <m/>
    <m/>
    <m/>
    <m/>
    <m/>
    <x v="0"/>
    <x v="0"/>
    <m/>
    <m/>
    <m/>
    <m/>
    <m/>
    <m/>
    <m/>
    <m/>
    <m/>
    <m/>
    <e v="#N/A"/>
    <m/>
    <m/>
    <m/>
    <m/>
    <m/>
    <m/>
    <m/>
    <s v="on Track"/>
    <s v="on Track"/>
    <n v="1"/>
    <s v="Placed"/>
    <m/>
    <m/>
    <m/>
    <m/>
    <m/>
    <m/>
    <m/>
    <n v="1065505"/>
    <n v="0"/>
    <n v="78277"/>
    <n v="1540420"/>
    <n v="561386"/>
    <n v="3245588"/>
    <n v="1223011"/>
    <n v="1253286"/>
    <n v="113082.75"/>
    <n v="119298"/>
    <n v="1486333.75"/>
    <n v="264025"/>
    <n v="624061.5"/>
    <n v="491460.5"/>
    <n v="1210939.75"/>
    <n v="575090"/>
    <n v="1430316.75"/>
    <n v="959210"/>
    <n v="9750115"/>
    <n v="688263"/>
    <n v="237745"/>
    <n v="125317.5"/>
    <n v="1051325.5"/>
    <n v="669323.70833333337"/>
    <m/>
    <n v="14047028.5"/>
    <x v="5"/>
    <n v="739317.28947368416"/>
    <n v="-2206162.8250000002"/>
    <n v="455757.28947368416"/>
    <x v="0"/>
    <n v="23987.22576177285"/>
    <n v="0.45"/>
    <n v="6321162.8250000002"/>
    <m/>
  </r>
  <r>
    <s v="Hammad Hafeez"/>
    <s v="Hammad Noor"/>
    <x v="1"/>
    <x v="1"/>
    <n v="15002128"/>
    <s v="Clinical Chemistry"/>
    <n v="3002000076"/>
    <m/>
    <s v="24-4078"/>
    <s v="11.02.2025"/>
    <m/>
    <s v="20.12.2024"/>
    <s v="Available"/>
    <m/>
    <x v="0"/>
    <x v="0"/>
    <s v="Hyderabad"/>
    <n v="3020000084"/>
    <x v="4"/>
    <m/>
    <s v="Rafique (HJ), Shaheed road,Saddar Town,Karachi"/>
    <s v="0300-2607223"/>
    <s v="mursaleen.khan@nicvd.org"/>
    <s v="4867225-3"/>
    <m/>
    <n v="4115000"/>
    <n v="34"/>
    <n v="216625"/>
    <m/>
    <m/>
    <m/>
    <m/>
    <m/>
    <m/>
    <x v="0"/>
    <x v="0"/>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x v="6"/>
    <n v="771531.51785714284"/>
    <n v="-745648.5625"/>
    <n v="554906.51785714284"/>
    <x v="0"/>
    <n v="39636.179846938772"/>
    <n v="0.45"/>
    <n v="4860648.5625"/>
    <n v="0.45"/>
  </r>
  <r>
    <s v="Hammad Hafeez"/>
    <s v="Hammad Noor"/>
    <x v="1"/>
    <x v="1"/>
    <n v="15002128"/>
    <s v="Clinical Chemistry"/>
    <n v="3002000073"/>
    <m/>
    <s v="24-4069"/>
    <s v="25.03.2025"/>
    <m/>
    <s v="20.12.2024"/>
    <s v="Available"/>
    <m/>
    <x v="0"/>
    <x v="0"/>
    <s v="larkana"/>
    <n v="3020000084"/>
    <x v="6"/>
    <m/>
    <s v="Rafique (HJ), Shaheed road,Saddar Town,Karachi"/>
    <s v="0300-2607223"/>
    <s v="mursaleen.khan@nicvd.org"/>
    <s v="4867225-3"/>
    <m/>
    <n v="4115000"/>
    <n v="36"/>
    <n v="195417"/>
    <m/>
    <m/>
    <m/>
    <m/>
    <m/>
    <m/>
    <x v="0"/>
    <x v="0"/>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x v="6"/>
    <n v="771531.51785714284"/>
    <n v="-745648.5625"/>
    <n v="576114.51785714284"/>
    <x v="0"/>
    <n v="41151.036989795917"/>
    <n v="0.45"/>
    <n v="4860648.5625"/>
    <n v="0.45"/>
  </r>
  <r>
    <s v="Hammad Hafeez"/>
    <s v="Hammad Noor"/>
    <x v="1"/>
    <x v="1"/>
    <n v="15002128"/>
    <s v="Clinical Chemistry"/>
    <s v=" 3002000113"/>
    <m/>
    <s v="23-4166"/>
    <s v="11.02.2025"/>
    <m/>
    <s v="20.12.2024"/>
    <s v="Available"/>
    <m/>
    <x v="0"/>
    <x v="0"/>
    <s v="TMK (Tando Muhammad Khan)"/>
    <n v="3020000084"/>
    <x v="5"/>
    <m/>
    <s v="Rafique (HJ), Shaheed road,Saddar Town,Karachi"/>
    <s v="0300-2607223"/>
    <s v="mursaleen.khan@nicvd.org"/>
    <s v="4867225-3"/>
    <m/>
    <n v="4115000"/>
    <n v="34"/>
    <n v="220363"/>
    <m/>
    <m/>
    <m/>
    <m/>
    <m/>
    <m/>
    <x v="0"/>
    <x v="0"/>
    <m/>
    <m/>
    <m/>
    <m/>
    <m/>
    <m/>
    <m/>
    <m/>
    <m/>
    <m/>
    <m/>
    <m/>
    <m/>
    <m/>
    <m/>
    <m/>
    <m/>
    <m/>
    <s v="on Track"/>
    <s v="on Track"/>
    <n v="1"/>
    <s v="Placed"/>
    <m/>
    <m/>
    <m/>
    <m/>
    <m/>
    <m/>
    <m/>
    <m/>
    <m/>
    <m/>
    <m/>
    <m/>
    <n v="0"/>
    <n v="1223011"/>
    <n v="1253286"/>
    <n v="113082.75"/>
    <n v="119298"/>
    <n v="1486333.75"/>
    <n v="264025"/>
    <n v="624061.5"/>
    <n v="491461"/>
    <n v="1210940"/>
    <n v="575090"/>
    <n v="1430316.75"/>
    <n v="959210"/>
    <n v="9750115.75"/>
    <n v="688263"/>
    <n v="237745"/>
    <n v="125317.5"/>
    <n v="1051325.5"/>
    <n v="669323.70833333337"/>
    <m/>
    <n v="10801441.25"/>
    <x v="6"/>
    <n v="771531.51785714284"/>
    <n v="-745648.5625"/>
    <n v="551168.51785714284"/>
    <x v="0"/>
    <n v="39369.179846938772"/>
    <n v="0.45"/>
    <n v="4860648.5625"/>
    <n v="0.45"/>
  </r>
  <r>
    <s v="Hammad Hafeez"/>
    <s v="Hammad Noor"/>
    <x v="3"/>
    <x v="5"/>
    <n v="15001967"/>
    <s v="Hematology "/>
    <n v="3002000097"/>
    <m/>
    <n v="123213"/>
    <m/>
    <m/>
    <m/>
    <m/>
    <m/>
    <x v="0"/>
    <x v="0"/>
    <s v="Karachi"/>
    <n v="3020000084"/>
    <x v="3"/>
    <m/>
    <s v="Rafique (HJ), Shaheed road,Saddar Town,Karachi"/>
    <s v="0300-2607223"/>
    <s v="mursaleen.khan@nicvd.org"/>
    <s v="4867225-3"/>
    <m/>
    <n v="1071000"/>
    <n v="25"/>
    <n v="98797"/>
    <m/>
    <m/>
    <m/>
    <m/>
    <m/>
    <m/>
    <x v="0"/>
    <x v="0"/>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x v="7"/>
    <n v="97375"/>
    <n v="369900"/>
    <n v="-1422"/>
    <x v="1"/>
    <n v="-79"/>
    <n v="0.4"/>
    <n v="701100"/>
    <n v="0.4"/>
  </r>
  <r>
    <s v="Hammad Hafeez"/>
    <s v="Hammad Noor"/>
    <x v="3"/>
    <x v="5"/>
    <n v="15001967"/>
    <s v="Hematology "/>
    <n v="3002000064"/>
    <m/>
    <n v="121497"/>
    <m/>
    <m/>
    <s v="27.12.2024"/>
    <m/>
    <m/>
    <x v="0"/>
    <x v="0"/>
    <s v="Hyderabad"/>
    <n v="3020000084"/>
    <x v="4"/>
    <m/>
    <s v="Rafique (HJ), Shaheed road,Saddar Town,Karachi"/>
    <s v="0300-2607223"/>
    <s v="mursaleen.khan@nicvd.org"/>
    <s v="4867225-3"/>
    <m/>
    <n v="1065000"/>
    <n v="36"/>
    <n v="88427"/>
    <m/>
    <m/>
    <m/>
    <m/>
    <m/>
    <m/>
    <x v="0"/>
    <x v="0"/>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x v="7"/>
    <n v="97375"/>
    <n v="363900"/>
    <n v="8948"/>
    <x v="1"/>
    <n v="497.11111111111109"/>
    <n v="0.4"/>
    <n v="701100"/>
    <n v="0.4"/>
  </r>
  <r>
    <s v="Hammad Hafeez"/>
    <s v="Hammad Noor"/>
    <x v="3"/>
    <x v="5"/>
    <n v="15001967"/>
    <s v="Hematology "/>
    <s v=" 3002000111"/>
    <m/>
    <n v="123120"/>
    <m/>
    <m/>
    <m/>
    <m/>
    <m/>
    <x v="0"/>
    <x v="0"/>
    <s v="Sukkur"/>
    <n v="3020000084"/>
    <x v="7"/>
    <m/>
    <s v="Rafique (HJ), Shaheed road,Saddar Town,Karachi"/>
    <s v="0300-2607223"/>
    <s v="mursaleen.khan@nicvd.org"/>
    <s v="4867225-3"/>
    <m/>
    <n v="1055000"/>
    <n v="36"/>
    <n v="88427"/>
    <m/>
    <m/>
    <m/>
    <m/>
    <m/>
    <m/>
    <x v="0"/>
    <x v="0"/>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x v="7"/>
    <n v="97375"/>
    <n v="353900"/>
    <n v="8948"/>
    <x v="1"/>
    <n v="497.11111111111109"/>
    <n v="0.4"/>
    <n v="701100"/>
    <n v="0.4"/>
  </r>
  <r>
    <s v="Hammad Hafeez"/>
    <s v="Hammad Noor"/>
    <x v="3"/>
    <x v="5"/>
    <n v="15001967"/>
    <s v="Hematology "/>
    <n v="3002000048"/>
    <m/>
    <n v="121496"/>
    <m/>
    <m/>
    <s v="27.12.2024"/>
    <m/>
    <m/>
    <x v="0"/>
    <x v="0"/>
    <s v="TMK (Tando Muhammad Khan)"/>
    <n v="3020000084"/>
    <x v="5"/>
    <m/>
    <s v="Rafique (HJ), Shaheed road,Saddar Town,Karachi"/>
    <s v="0300-2607223"/>
    <s v="mursaleen.khan@nicvd.org"/>
    <s v="4867225-3"/>
    <m/>
    <n v="1065000"/>
    <n v="36"/>
    <n v="87448"/>
    <m/>
    <m/>
    <m/>
    <m/>
    <m/>
    <m/>
    <x v="0"/>
    <x v="0"/>
    <m/>
    <m/>
    <m/>
    <m/>
    <m/>
    <m/>
    <m/>
    <m/>
    <m/>
    <m/>
    <e v="#N/A"/>
    <m/>
    <m/>
    <m/>
    <m/>
    <m/>
    <m/>
    <m/>
    <s v="on Track"/>
    <s v="on Track"/>
    <n v="1"/>
    <s v="Placed"/>
    <m/>
    <m/>
    <m/>
    <m/>
    <m/>
    <m/>
    <m/>
    <m/>
    <m/>
    <n v="99750"/>
    <n v="0"/>
    <n v="228000"/>
    <n v="327750"/>
    <n v="0"/>
    <n v="332500"/>
    <n v="0"/>
    <n v="0"/>
    <n v="95000"/>
    <n v="76000"/>
    <n v="61750"/>
    <n v="28500"/>
    <n v="95000"/>
    <n v="76000"/>
    <n v="133000"/>
    <n v="152000"/>
    <n v="1049750"/>
    <n v="0"/>
    <n v="270750"/>
    <n v="104500"/>
    <n v="375250"/>
    <n v="122708.33333333333"/>
    <m/>
    <n v="1752750"/>
    <x v="7"/>
    <n v="97375"/>
    <n v="363900"/>
    <n v="9927"/>
    <x v="1"/>
    <n v="551.5"/>
    <n v="0.4"/>
    <n v="701100"/>
    <n v="0.4"/>
  </r>
  <r>
    <s v="Hammad Hafeez"/>
    <s v="Hammad Noor"/>
    <x v="3"/>
    <x v="5"/>
    <n v="15001967"/>
    <s v="Hematology"/>
    <m/>
    <m/>
    <m/>
    <m/>
    <m/>
    <s v="15.12.2025"/>
    <m/>
    <m/>
    <x v="0"/>
    <x v="0"/>
    <s v="larkana"/>
    <n v="3020000084"/>
    <x v="8"/>
    <m/>
    <s v="Rafique (HJ), Shaheed road,Saddar Town,Karachi"/>
    <s v="0300-2607223"/>
    <s v="mursaleen.khan@nicvd.org"/>
    <s v="4867225-3"/>
    <m/>
    <n v="1194415"/>
    <n v="36"/>
    <n v="125415"/>
    <m/>
    <m/>
    <m/>
    <m/>
    <m/>
    <m/>
    <x v="0"/>
    <x v="0"/>
    <m/>
    <m/>
    <m/>
    <m/>
    <m/>
    <m/>
    <m/>
    <m/>
    <m/>
    <m/>
    <m/>
    <m/>
    <m/>
    <m/>
    <m/>
    <m/>
    <m/>
    <m/>
    <s v="New Installation"/>
    <s v="Fasi will update the order detail"/>
    <n v="1"/>
    <s v="Placed"/>
    <m/>
    <m/>
    <m/>
    <m/>
    <n v="1710000"/>
    <m/>
    <m/>
    <m/>
    <m/>
    <m/>
    <m/>
    <m/>
    <n v="1710000"/>
    <m/>
    <m/>
    <m/>
    <m/>
    <m/>
    <m/>
    <m/>
    <m/>
    <m/>
    <m/>
    <m/>
    <m/>
    <n v="0"/>
    <n v="0"/>
    <n v="0"/>
    <n v="0"/>
    <n v="0"/>
    <n v="0"/>
    <m/>
    <n v="1710000"/>
    <x v="8"/>
    <n v="855000"/>
    <m/>
    <n v="729585"/>
    <x v="2"/>
    <n v="364792.5"/>
    <m/>
    <n v="0"/>
    <n v="0"/>
  </r>
  <r>
    <s v="Hammad Hafeez"/>
    <s v="Hammad Noor"/>
    <x v="3"/>
    <x v="5"/>
    <n v="15001967"/>
    <s v="Hematology"/>
    <m/>
    <m/>
    <m/>
    <m/>
    <m/>
    <s v="15.12.2025"/>
    <m/>
    <m/>
    <x v="0"/>
    <x v="0"/>
    <s v="Nawabshah"/>
    <n v="3020000084"/>
    <x v="9"/>
    <m/>
    <s v="Rafique (HJ), Shaheed road,Saddar Town,Karachi"/>
    <s v="0300-2607223"/>
    <s v="mursaleen.khan@nicvd.org"/>
    <s v="4867225-3"/>
    <m/>
    <n v="1194415"/>
    <n v="36"/>
    <n v="125415"/>
    <m/>
    <m/>
    <m/>
    <m/>
    <m/>
    <m/>
    <x v="0"/>
    <x v="0"/>
    <m/>
    <m/>
    <m/>
    <m/>
    <m/>
    <m/>
    <m/>
    <m/>
    <m/>
    <m/>
    <m/>
    <m/>
    <m/>
    <m/>
    <m/>
    <m/>
    <m/>
    <m/>
    <s v="New Installation"/>
    <s v="Fasi will update the order detail"/>
    <m/>
    <s v="Placed"/>
    <m/>
    <m/>
    <m/>
    <m/>
    <m/>
    <m/>
    <m/>
    <m/>
    <m/>
    <m/>
    <m/>
    <m/>
    <n v="0"/>
    <m/>
    <m/>
    <m/>
    <m/>
    <m/>
    <m/>
    <m/>
    <m/>
    <m/>
    <m/>
    <m/>
    <m/>
    <n v="0"/>
    <n v="0"/>
    <n v="0"/>
    <n v="0"/>
    <n v="0"/>
    <n v="0"/>
    <m/>
    <n v="0"/>
    <x v="9"/>
    <e v="#DIV/0!"/>
    <m/>
    <e v="#DIV/0!"/>
    <x v="2"/>
    <e v="#DIV/0!"/>
    <m/>
    <n v="0"/>
    <n v="0"/>
  </r>
  <r>
    <s v=" "/>
    <s v="Jahangir Jalil"/>
    <x v="4"/>
    <x v="6"/>
    <n v="15003000"/>
    <s v="Coagulation Analyzer"/>
    <n v="3002000091"/>
    <m/>
    <n v="1590"/>
    <m/>
    <m/>
    <s v="15.01.2024"/>
    <m/>
    <m/>
    <x v="1"/>
    <x v="0"/>
    <s v="Karachi"/>
    <n v="3020000088"/>
    <x v="10"/>
    <m/>
    <s v="ST 2/A, Block 17, KDA Scheme 24, Gulshan-e-Iqbal"/>
    <s v="0346-2819961/021-111-120-140"/>
    <s v="fawad_sad@hotmail.com"/>
    <s v="4572246-8"/>
    <m/>
    <n v="3592655"/>
    <n v="36"/>
    <n v="228801"/>
    <m/>
    <m/>
    <m/>
    <m/>
    <m/>
    <m/>
    <x v="0"/>
    <x v="0"/>
    <m/>
    <m/>
    <m/>
    <m/>
    <m/>
    <m/>
    <m/>
    <m/>
    <m/>
    <m/>
    <m/>
    <m/>
    <m/>
    <m/>
    <m/>
    <m/>
    <m/>
    <m/>
    <s v="Closed"/>
    <m/>
    <m/>
    <m/>
    <m/>
    <m/>
    <m/>
    <m/>
    <m/>
    <m/>
    <m/>
    <n v="597600"/>
    <m/>
    <m/>
    <m/>
    <m/>
    <n v="597600"/>
    <m/>
    <m/>
    <m/>
    <m/>
    <m/>
    <m/>
    <m/>
    <m/>
    <m/>
    <m/>
    <m/>
    <m/>
    <n v="0"/>
    <m/>
    <m/>
    <m/>
    <n v="0"/>
    <n v="0"/>
    <m/>
    <n v="597600"/>
    <x v="9"/>
    <e v="#DIV/0!"/>
    <m/>
    <e v="#DIV/0!"/>
    <x v="2"/>
    <e v="#DIV/0!"/>
    <m/>
    <n v="0"/>
    <n v="0"/>
  </r>
  <r>
    <s v="Hammad Hafeez"/>
    <s v="Hammad Noor"/>
    <x v="5"/>
    <x v="7"/>
    <n v="15003243"/>
    <s v="Hematology "/>
    <s v="AR # 300377"/>
    <m/>
    <s v="DM11052437004"/>
    <m/>
    <m/>
    <s v="12.20.2024"/>
    <m/>
    <m/>
    <x v="0"/>
    <x v="0"/>
    <s v="Nawabshah"/>
    <n v="3020000114"/>
    <x v="11"/>
    <m/>
    <s v="House no 11b- 1208, mohallah issarpura sindh Nawabshah"/>
    <s v="0333-7025190"/>
    <s v="hsmedicalsolution@gmail.com"/>
    <m/>
    <s v="45402-2509337-9"/>
    <n v="2076170"/>
    <n v="34"/>
    <n v="113459"/>
    <m/>
    <m/>
    <m/>
    <m/>
    <m/>
    <m/>
    <x v="0"/>
    <x v="0"/>
    <m/>
    <m/>
    <m/>
    <m/>
    <m/>
    <m/>
    <m/>
    <m/>
    <m/>
    <m/>
    <m/>
    <m/>
    <m/>
    <m/>
    <m/>
    <m/>
    <m/>
    <m/>
    <s v="SOP Revise"/>
    <s v="Supply issue due to DRAP"/>
    <n v="1"/>
    <s v="Placed"/>
    <m/>
    <m/>
    <m/>
    <m/>
    <m/>
    <m/>
    <m/>
    <m/>
    <m/>
    <m/>
    <m/>
    <m/>
    <n v="0"/>
    <n v="0"/>
    <n v="0"/>
    <n v="386360.55"/>
    <n v="0"/>
    <n v="0"/>
    <n v="0"/>
    <n v="441381"/>
    <n v="204305"/>
    <n v="0"/>
    <m/>
    <m/>
    <n v="203075"/>
    <n v="1235121.55"/>
    <n v="0"/>
    <n v="0"/>
    <m/>
    <n v="0"/>
    <n v="67691.666666666672"/>
    <m/>
    <n v="1235121.55"/>
    <x v="10"/>
    <n v="154390.19375000001"/>
    <n v="1582121.38"/>
    <n v="40931.193750000006"/>
    <x v="0"/>
    <n v="5116.3992187500007"/>
    <n v="0.4"/>
    <n v="494048.62000000005"/>
    <n v="0.4"/>
  </r>
  <r>
    <s v="Imran Fazal"/>
    <s v="Hammad Noor"/>
    <x v="1"/>
    <x v="8"/>
    <n v="15002463"/>
    <s v="Clinical Chemistry"/>
    <m/>
    <m/>
    <m/>
    <m/>
    <m/>
    <s v="06.10.2025"/>
    <m/>
    <m/>
    <x v="1"/>
    <x v="1"/>
    <s v="Lahore"/>
    <n v="3020000125"/>
    <x v="12"/>
    <s v="wakeel ahmed"/>
    <s v="Basement shabnam center opposite shyalimar hospital, link road"/>
    <n v="3004102701"/>
    <m/>
    <m/>
    <s v="35201-4676413-5"/>
    <n v="7617629"/>
    <n v="33"/>
    <n v="441785"/>
    <m/>
    <m/>
    <m/>
    <m/>
    <m/>
    <m/>
    <x v="0"/>
    <x v="0"/>
    <m/>
    <m/>
    <m/>
    <m/>
    <m/>
    <m/>
    <m/>
    <m/>
    <m/>
    <m/>
    <m/>
    <m/>
    <m/>
    <m/>
    <m/>
    <m/>
    <m/>
    <m/>
    <s v="Closed"/>
    <m/>
    <m/>
    <s v="Not Placed"/>
    <m/>
    <m/>
    <m/>
    <m/>
    <m/>
    <m/>
    <m/>
    <m/>
    <m/>
    <m/>
    <m/>
    <m/>
    <n v="0"/>
    <m/>
    <m/>
    <m/>
    <m/>
    <m/>
    <m/>
    <m/>
    <m/>
    <m/>
    <m/>
    <m/>
    <m/>
    <n v="0"/>
    <m/>
    <m/>
    <m/>
    <n v="0"/>
    <n v="0"/>
    <m/>
    <n v="0"/>
    <x v="9"/>
    <e v="#DIV/0!"/>
    <m/>
    <e v="#DIV/0!"/>
    <x v="2"/>
    <e v="#DIV/0!"/>
    <m/>
    <n v="0"/>
    <n v="0"/>
  </r>
  <r>
    <s v="Imran Rana"/>
    <s v="Hammad Noor"/>
    <x v="3"/>
    <x v="5"/>
    <n v="15001967"/>
    <s v="Hematology"/>
    <n v="3002000052"/>
    <s v="N/A"/>
    <n v="123019"/>
    <m/>
    <s v="26.12.2023"/>
    <s v="15.01.2024"/>
    <s v="Not Available"/>
    <m/>
    <x v="0"/>
    <x v="1"/>
    <s v="Bahawalpur"/>
    <n v="3020000166"/>
    <x v="13"/>
    <s v="Government Institution"/>
    <s v="Circular Road, Bahswalpur Cantt"/>
    <s v="062-9250411-21"/>
    <s v="info.establishment@gamc.edu.pk"/>
    <s v="9020100-7"/>
    <m/>
    <n v="1724486"/>
    <n v="21"/>
    <n v="203678.4"/>
    <m/>
    <m/>
    <m/>
    <m/>
    <m/>
    <m/>
    <x v="0"/>
    <x v="0"/>
    <m/>
    <m/>
    <m/>
    <m/>
    <m/>
    <m/>
    <m/>
    <m/>
    <m/>
    <m/>
    <m/>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x v="11"/>
    <n v="363280.86327272723"/>
    <n v="-1472385.5967999999"/>
    <n v="159602.46327272724"/>
    <x v="0"/>
    <n v="7254.6574214876018"/>
    <n v="0.4"/>
    <n v="3196871.5967999999"/>
    <n v="0.4"/>
  </r>
  <r>
    <s v="Imran Rana"/>
    <s v="Hammad Noor"/>
    <x v="3"/>
    <x v="5"/>
    <n v="15001967"/>
    <s v="Hematology"/>
    <n v="3002000053"/>
    <m/>
    <n v="123108"/>
    <m/>
    <s v="26.12.2023"/>
    <s v="15.01.2024"/>
    <s v="Not Available"/>
    <m/>
    <x v="0"/>
    <x v="1"/>
    <s v="Bahawalpur"/>
    <n v="3020000166"/>
    <x v="13"/>
    <s v="Government Institution"/>
    <s v="Circular Road, Bahswalpur Cantt"/>
    <s v="062-9250411-21"/>
    <s v="info.establishment@gamc.edu.pk"/>
    <s v="9020100-7"/>
    <m/>
    <n v="1724486"/>
    <n v="21"/>
    <n v="203678.4"/>
    <m/>
    <m/>
    <m/>
    <m/>
    <m/>
    <m/>
    <x v="0"/>
    <x v="0"/>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x v="11"/>
    <n v="363280.86327272723"/>
    <n v="-1472385.5967999999"/>
    <n v="159602.46327272724"/>
    <x v="0"/>
    <n v="7254.6574214876018"/>
    <n v="0.4"/>
    <n v="3196871.5967999999"/>
    <n v="0.4"/>
  </r>
  <r>
    <s v="Imran Rana"/>
    <s v="Hammad Noor"/>
    <x v="3"/>
    <x v="5"/>
    <n v="15001967"/>
    <s v="Hematology"/>
    <n v="3002000054"/>
    <m/>
    <n v="123109"/>
    <m/>
    <s v="26.12.2023"/>
    <s v="15.01.2024"/>
    <s v="Not Available"/>
    <m/>
    <x v="0"/>
    <x v="1"/>
    <s v="Bahawalpur"/>
    <n v="3020000166"/>
    <x v="13"/>
    <s v="Government Institution"/>
    <s v="Circular Road, Bahswalpur Cantt"/>
    <s v="062-9250411-21"/>
    <s v="info.establishment@gamc.edu.pk"/>
    <s v="9020100-7"/>
    <m/>
    <n v="1724486"/>
    <n v="21"/>
    <n v="203678.4"/>
    <m/>
    <m/>
    <m/>
    <m/>
    <m/>
    <m/>
    <x v="0"/>
    <x v="0"/>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x v="11"/>
    <n v="363280.86327272723"/>
    <n v="-1472385.5967999999"/>
    <n v="159602.46327272724"/>
    <x v="0"/>
    <n v="7254.6574214876018"/>
    <n v="0.4"/>
    <n v="3196871.5967999999"/>
    <n v="0.4"/>
  </r>
  <r>
    <s v="Imran Rana"/>
    <s v="Hammad Noor"/>
    <x v="3"/>
    <x v="5"/>
    <n v="15001967"/>
    <s v="Hematology"/>
    <n v="3002000055"/>
    <m/>
    <n v="123200"/>
    <m/>
    <s v="26.12.2023"/>
    <s v="15.01.2024"/>
    <s v="Not Available"/>
    <m/>
    <x v="0"/>
    <x v="1"/>
    <s v="Bahawalpur"/>
    <n v="3020000166"/>
    <x v="13"/>
    <s v="Government Institution"/>
    <s v="Circular Road, Bahswalpur Cantt"/>
    <s v="062-9250411-21"/>
    <s v="info.establishment@gamc.edu.pk"/>
    <s v="9020100-7"/>
    <m/>
    <n v="1724486"/>
    <n v="21"/>
    <n v="203678.4"/>
    <m/>
    <m/>
    <m/>
    <m/>
    <m/>
    <m/>
    <x v="0"/>
    <x v="0"/>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x v="11"/>
    <n v="363280.86327272723"/>
    <n v="-1472385.5967999999"/>
    <n v="159602.46327272724"/>
    <x v="0"/>
    <n v="7254.6574214876018"/>
    <n v="0.4"/>
    <n v="3196871.5967999999"/>
    <n v="0.4"/>
  </r>
  <r>
    <s v="Imran Rana"/>
    <s v="Hammad Noor"/>
    <x v="3"/>
    <x v="5"/>
    <n v="15001967"/>
    <s v="Hematology"/>
    <n v="3002000056"/>
    <m/>
    <n v="123217"/>
    <m/>
    <s v="26.12.2023"/>
    <s v="15.01.2024"/>
    <s v="Not Available"/>
    <m/>
    <x v="0"/>
    <x v="1"/>
    <s v="Bahawalpur"/>
    <n v="3020000166"/>
    <x v="13"/>
    <s v="Government Institution"/>
    <s v="Circular Road, Bahswalpur Cantt"/>
    <s v="062-9250411-21"/>
    <s v="info.establishment@gamc.edu.pk"/>
    <s v="9020100-7"/>
    <m/>
    <n v="1724486"/>
    <n v="21"/>
    <n v="203678.4"/>
    <m/>
    <m/>
    <m/>
    <m/>
    <m/>
    <m/>
    <x v="0"/>
    <x v="0"/>
    <m/>
    <m/>
    <m/>
    <m/>
    <m/>
    <m/>
    <m/>
    <m/>
    <m/>
    <m/>
    <e v="#N/A"/>
    <m/>
    <m/>
    <m/>
    <m/>
    <m/>
    <m/>
    <m/>
    <s v="on Track"/>
    <s v="Order on hold - will be invoiced in April"/>
    <n v="1"/>
    <s v="Placed"/>
    <n v="1628900"/>
    <n v="0"/>
    <n v="243200"/>
    <n v="0"/>
    <n v="0"/>
    <n v="0"/>
    <n v="0"/>
    <n v="0"/>
    <n v="0"/>
    <n v="2294160"/>
    <n v="-405300"/>
    <n v="0"/>
    <n v="3760960"/>
    <n v="0"/>
    <n v="694760"/>
    <n v="425810"/>
    <n v="0"/>
    <n v="0"/>
    <n v="0"/>
    <n v="0"/>
    <n v="151549.79199999999"/>
    <n v="1894400"/>
    <m/>
    <m/>
    <n v="1064699.2"/>
    <n v="4231218.9919999996"/>
    <n v="0"/>
    <n v="0"/>
    <n v="0"/>
    <n v="0"/>
    <n v="266174.8"/>
    <m/>
    <n v="7992178.9919999996"/>
    <x v="11"/>
    <n v="363280.86327272723"/>
    <n v="-1472385.5967999999"/>
    <n v="159602.46327272724"/>
    <x v="0"/>
    <n v="7254.6574214876018"/>
    <n v="0.4"/>
    <n v="3196871.5967999999"/>
    <n v="0.4"/>
  </r>
  <r>
    <s v="Imran Rana"/>
    <s v="Hammad Noor"/>
    <x v="3"/>
    <x v="9"/>
    <n v="15001968"/>
    <s v="Hematology"/>
    <s v="AR # 300409"/>
    <m/>
    <n v="127709"/>
    <m/>
    <m/>
    <s v="14.05.2025"/>
    <m/>
    <m/>
    <x v="2"/>
    <x v="1"/>
    <s v="Bahawalpur"/>
    <n v="3020000166"/>
    <x v="14"/>
    <s v="Government Institution"/>
    <s v="Circular Road, Bahswalpur Cantt"/>
    <s v="062-9250411-21"/>
    <s v="info.establishment@gamc.edu.pk"/>
    <s v="9020100-7"/>
    <m/>
    <n v="1500000"/>
    <n v="37"/>
    <n v="100771"/>
    <m/>
    <m/>
    <m/>
    <m/>
    <m/>
    <m/>
    <x v="0"/>
    <x v="0"/>
    <m/>
    <m/>
    <m/>
    <m/>
    <m/>
    <m/>
    <m/>
    <m/>
    <m/>
    <m/>
    <m/>
    <m/>
    <m/>
    <m/>
    <m/>
    <m/>
    <m/>
    <m/>
    <s v="New Installation"/>
    <s v="Installed from Jan"/>
    <n v="1"/>
    <s v="Placed"/>
    <m/>
    <m/>
    <m/>
    <m/>
    <m/>
    <m/>
    <m/>
    <m/>
    <m/>
    <m/>
    <m/>
    <m/>
    <n v="0"/>
    <m/>
    <m/>
    <m/>
    <m/>
    <n v="0"/>
    <m/>
    <m/>
    <m/>
    <m/>
    <m/>
    <m/>
    <m/>
    <n v="0"/>
    <n v="0"/>
    <n v="0"/>
    <n v="0"/>
    <n v="0"/>
    <n v="0"/>
    <m/>
    <n v="0"/>
    <x v="9"/>
    <e v="#DIV/0!"/>
    <n v="1500000"/>
    <e v="#DIV/0!"/>
    <x v="2"/>
    <e v="#DIV/0!"/>
    <n v="0.4"/>
    <n v="0"/>
    <n v="0.4"/>
  </r>
  <r>
    <s v="Shagufta Anthony "/>
    <s v="Jahangir Jalil"/>
    <x v="4"/>
    <x v="6"/>
    <n v="15003000"/>
    <s v="Coagulation Analyzer"/>
    <n v="3002000112"/>
    <m/>
    <n v="1746"/>
    <m/>
    <m/>
    <m/>
    <s v="Available"/>
    <m/>
    <x v="0"/>
    <x v="2"/>
    <s v="Islamabad"/>
    <n v="3020001814"/>
    <x v="15"/>
    <m/>
    <s v="9 B-1 Satellite town, Chandni Chowk, Punjab"/>
    <s v="051-4906401"/>
    <s v="raazihospital@gmail.com"/>
    <s v="2569250-0"/>
    <m/>
    <n v="3592655"/>
    <n v="29"/>
    <n v="356735"/>
    <m/>
    <m/>
    <m/>
    <m/>
    <m/>
    <m/>
    <x v="0"/>
    <x v="0"/>
    <m/>
    <m/>
    <m/>
    <m/>
    <m/>
    <m/>
    <m/>
    <m/>
    <m/>
    <m/>
    <e v="#N/A"/>
    <m/>
    <m/>
    <m/>
    <m/>
    <m/>
    <m/>
    <m/>
    <s v="on Track"/>
    <s v="on Track"/>
    <n v="1"/>
    <s v="Placed"/>
    <m/>
    <m/>
    <m/>
    <m/>
    <m/>
    <m/>
    <m/>
    <m/>
    <m/>
    <m/>
    <m/>
    <m/>
    <n v="0"/>
    <m/>
    <m/>
    <m/>
    <m/>
    <m/>
    <m/>
    <n v="692600"/>
    <n v="366000"/>
    <n v="318400"/>
    <n v="247800"/>
    <n v="69000"/>
    <n v="578400"/>
    <n v="2272200"/>
    <n v="390600"/>
    <n v="499100"/>
    <n v="0"/>
    <n v="889700"/>
    <n v="297483.33333333331"/>
    <s v="Shipment will be delievered this month."/>
    <n v="3161900"/>
    <x v="3"/>
    <n v="351322.22222222225"/>
    <n v="2327895"/>
    <n v="-5412.7777777777519"/>
    <x v="1"/>
    <n v="-601.4197530864169"/>
    <n v="0.4"/>
    <n v="1264760"/>
    <n v="0.4"/>
  </r>
  <r>
    <s v="Shagufta Anthony "/>
    <s v="Jahangir Jalil"/>
    <x v="6"/>
    <x v="10"/>
    <n v="15002711"/>
    <s v="Arterial Blood Gas Analyzer"/>
    <n v="3002000031"/>
    <s v="N/A"/>
    <s v="PP13230140C"/>
    <s v="26.05.2023"/>
    <s v="15.05.2022"/>
    <s v="19.05.2023"/>
    <s v="Available"/>
    <m/>
    <x v="3"/>
    <x v="2"/>
    <s v="Islamabad"/>
    <n v="3020000190"/>
    <x v="16"/>
    <s v="Dr. Badar Alam"/>
    <s v="Al-Khair Plaza, Fazal-e-Haq Road, Blue Area, Islamabad"/>
    <s v="0333-8555611, 0301-5086177 &amp; 0321-5181280"/>
    <s v="info@citi-lab.com                   "/>
    <s v="4814745-2"/>
    <m/>
    <n v="3005386"/>
    <n v="39"/>
    <n v="228413"/>
    <m/>
    <m/>
    <m/>
    <m/>
    <s v="invoice under process"/>
    <m/>
    <x v="3"/>
    <x v="3"/>
    <s v="Due to the delay in supply customer is not willing to work on our machine "/>
    <s v="Meeting is planned with Dr. Jameel Nasir CEO of Citi Lab "/>
    <s v="meeting is pending with CEO"/>
    <s v="meeting is pending with CEO"/>
    <m/>
    <s v="meeting is pending with CEO"/>
    <s v="Machine is planned to be pulledback from customer site, approved by Nawaz Abid"/>
    <s v="Machine is planned to be pulledback from customer site, approved by Nawaz Abid"/>
    <m/>
    <m/>
    <s v="Returned back in stock"/>
    <m/>
    <m/>
    <m/>
    <m/>
    <m/>
    <m/>
    <m/>
    <m/>
    <m/>
    <m/>
    <m/>
    <m/>
    <m/>
    <m/>
    <m/>
    <n v="0"/>
    <m/>
    <m/>
    <m/>
    <m/>
    <m/>
    <m/>
    <m/>
    <n v="0"/>
    <m/>
    <m/>
    <m/>
    <m/>
    <m/>
    <m/>
    <m/>
    <m/>
    <m/>
    <m/>
    <m/>
    <m/>
    <n v="0"/>
    <m/>
    <m/>
    <m/>
    <n v="0"/>
    <n v="0"/>
    <s v="No Sales after Aug 23"/>
    <n v="0"/>
    <x v="6"/>
    <n v="0"/>
    <n v="3005386"/>
    <n v="-228413"/>
    <x v="3"/>
    <n v="-16315.214285714286"/>
    <n v="0.25"/>
    <n v="0"/>
    <n v="0.25"/>
  </r>
  <r>
    <s v="Imran Rana"/>
    <s v="Hammad Noor"/>
    <x v="3"/>
    <x v="5"/>
    <n v="15001967"/>
    <s v="Hematology "/>
    <n v="3002000119"/>
    <m/>
    <n v="126054"/>
    <m/>
    <m/>
    <s v="17.07.2025"/>
    <m/>
    <s v="2 machines"/>
    <x v="0"/>
    <x v="1"/>
    <s v="Lahore"/>
    <n v="3020000206"/>
    <x v="17"/>
    <m/>
    <s v="294, Block H-3, M.A Johar Town, Lahore"/>
    <s v="042-35313166, 0300-6458181"/>
    <s v="manager@mughallabs.com"/>
    <s v="1293625-1"/>
    <s v="1293625-1"/>
    <n v="1191010"/>
    <n v="29"/>
    <n v="92028.5"/>
    <m/>
    <m/>
    <m/>
    <m/>
    <m/>
    <m/>
    <x v="0"/>
    <x v="0"/>
    <m/>
    <m/>
    <m/>
    <m/>
    <m/>
    <m/>
    <m/>
    <m/>
    <m/>
    <m/>
    <m/>
    <m/>
    <m/>
    <m/>
    <m/>
    <m/>
    <m/>
    <m/>
    <s v="on Track"/>
    <s v="on Track - Sales Rafay"/>
    <n v="1"/>
    <s v="Placed"/>
    <m/>
    <m/>
    <m/>
    <m/>
    <m/>
    <m/>
    <m/>
    <m/>
    <m/>
    <m/>
    <m/>
    <m/>
    <n v="0"/>
    <m/>
    <m/>
    <m/>
    <m/>
    <m/>
    <m/>
    <m/>
    <n v="114000"/>
    <n v="190000"/>
    <m/>
    <m/>
    <n v="72000"/>
    <n v="376000"/>
    <n v="0"/>
    <n v="532000"/>
    <n v="234000"/>
    <n v="766000"/>
    <n v="209500"/>
    <m/>
    <n v="1142000"/>
    <x v="10"/>
    <n v="142750"/>
    <m/>
    <n v="50721.5"/>
    <x v="2"/>
    <n v="6340.1875"/>
    <m/>
    <n v="0"/>
    <n v="0"/>
  </r>
  <r>
    <s v="Abdul Moeed"/>
    <s v="Jahangir Jalil"/>
    <x v="2"/>
    <x v="11"/>
    <n v="15002760"/>
    <s v="Immunoassay"/>
    <s v="AR # 300396"/>
    <m/>
    <n v="30006183"/>
    <m/>
    <s v="15.12,2023"/>
    <s v="15.12.2023"/>
    <s v="Available"/>
    <m/>
    <x v="0"/>
    <x v="1"/>
    <s v="lahore "/>
    <n v="3020000206"/>
    <x v="17"/>
    <m/>
    <s v="294, Block H-3, M.A Johar Town, Lahore"/>
    <s v="042-35313166, 0300-6458181"/>
    <s v="manager@mughallabs.com"/>
    <s v="1293625-1"/>
    <s v="1293625-1"/>
    <n v="7420000"/>
    <n v="61"/>
    <n v="824400"/>
    <m/>
    <m/>
    <m/>
    <m/>
    <m/>
    <m/>
    <x v="0"/>
    <x v="0"/>
    <m/>
    <m/>
    <m/>
    <m/>
    <m/>
    <m/>
    <m/>
    <m/>
    <m/>
    <m/>
    <e v="#N/A"/>
    <m/>
    <m/>
    <m/>
    <m/>
    <m/>
    <s v="Machine is Shifted to Cancer Hospital"/>
    <m/>
    <s v="To be trf to GAMCA "/>
    <s v="will be moved to PIC, April 30"/>
    <n v="1"/>
    <s v="Not funtional - At customer site"/>
    <n v="187600"/>
    <n v="217900"/>
    <n v="342225"/>
    <n v="126700"/>
    <n v="671000"/>
    <n v="304800"/>
    <n v="160200"/>
    <n v="1138700"/>
    <n v="655600"/>
    <n v="0"/>
    <n v="360200"/>
    <n v="675400"/>
    <n v="4840325"/>
    <n v="519200"/>
    <n v="412100"/>
    <n v="-84500"/>
    <n v="282424"/>
    <n v="1689052.55"/>
    <n v="0"/>
    <n v="0"/>
    <n v="716366"/>
    <n v="424300"/>
    <m/>
    <m/>
    <m/>
    <n v="3958942.55"/>
    <n v="0"/>
    <n v="0"/>
    <n v="0"/>
    <n v="0"/>
    <n v="0"/>
    <m/>
    <n v="8799267.5500000007"/>
    <x v="0"/>
    <n v="382576.85000000003"/>
    <n v="3900292.9799999995"/>
    <n v="-441823.14999999997"/>
    <x v="1"/>
    <n v="-19209.702173913043"/>
    <n v="0.4"/>
    <n v="3519707.0200000005"/>
    <n v="0.4"/>
  </r>
  <r>
    <s v="Imran Rana"/>
    <s v="Hammad Noor"/>
    <x v="5"/>
    <x v="7"/>
    <n v="15003243"/>
    <s v="Hematology "/>
    <m/>
    <m/>
    <m/>
    <m/>
    <m/>
    <s v="17.07.2025"/>
    <m/>
    <m/>
    <x v="2"/>
    <x v="1"/>
    <s v="Lahore"/>
    <n v="3020000206"/>
    <x v="17"/>
    <s v="Irfan akram"/>
    <s v="294, Block H-3, M.A Johar Town, punjab Lahore"/>
    <s v="042-35313166, 0300-6458181"/>
    <s v="manager@mughallabs.com"/>
    <s v="1293625-1"/>
    <s v="1293625-1"/>
    <n v="2324427"/>
    <n v="22"/>
    <n v="149427"/>
    <m/>
    <m/>
    <m/>
    <m/>
    <m/>
    <m/>
    <x v="0"/>
    <x v="0"/>
    <m/>
    <m/>
    <m/>
    <m/>
    <m/>
    <m/>
    <m/>
    <m/>
    <m/>
    <m/>
    <m/>
    <m/>
    <m/>
    <m/>
    <m/>
    <m/>
    <m/>
    <m/>
    <s v="Supply issue due to DRAP registration followup"/>
    <s v="Supply issue due to DRAP"/>
    <n v="1"/>
    <s v="Placed"/>
    <m/>
    <m/>
    <m/>
    <m/>
    <m/>
    <m/>
    <m/>
    <m/>
    <m/>
    <m/>
    <m/>
    <m/>
    <n v="0"/>
    <m/>
    <m/>
    <m/>
    <m/>
    <m/>
    <m/>
    <m/>
    <m/>
    <m/>
    <m/>
    <m/>
    <m/>
    <n v="0"/>
    <n v="0"/>
    <n v="0"/>
    <n v="0"/>
    <n v="0"/>
    <n v="0"/>
    <m/>
    <n v="0"/>
    <x v="9"/>
    <e v="#DIV/0!"/>
    <m/>
    <e v="#DIV/0!"/>
    <x v="2"/>
    <e v="#DIV/0!"/>
    <m/>
    <n v="0"/>
    <n v="0"/>
  </r>
  <r>
    <s v="Imran Fazal"/>
    <s v="Hammad Noor"/>
    <x v="0"/>
    <x v="12"/>
    <n v="15002553"/>
    <s v="Immunoassay"/>
    <m/>
    <m/>
    <m/>
    <m/>
    <m/>
    <s v="25.11.2025"/>
    <m/>
    <m/>
    <x v="4"/>
    <x v="1"/>
    <s v="Lahore"/>
    <n v="3020000206"/>
    <x v="18"/>
    <m/>
    <s v="294, Block H-3, M.A Johar Town, Lahore"/>
    <s v="042-35313166, 0300-6458181"/>
    <s v="manager@mughallabs.com"/>
    <s v="1293625-1"/>
    <s v="1293625-1"/>
    <n v="3460830"/>
    <n v="36"/>
    <n v="259561"/>
    <m/>
    <m/>
    <m/>
    <m/>
    <m/>
    <m/>
    <x v="0"/>
    <x v="0"/>
    <m/>
    <m/>
    <m/>
    <m/>
    <m/>
    <m/>
    <m/>
    <m/>
    <m/>
    <m/>
    <m/>
    <m/>
    <m/>
    <m/>
    <m/>
    <m/>
    <m/>
    <m/>
    <s v="Under Installation"/>
    <s v="Under Installation"/>
    <m/>
    <s v="Not Placed"/>
    <m/>
    <m/>
    <m/>
    <m/>
    <m/>
    <m/>
    <m/>
    <m/>
    <m/>
    <m/>
    <m/>
    <m/>
    <n v="0"/>
    <m/>
    <m/>
    <m/>
    <m/>
    <m/>
    <m/>
    <m/>
    <m/>
    <m/>
    <m/>
    <m/>
    <m/>
    <n v="0"/>
    <m/>
    <n v="746733"/>
    <n v="914320"/>
    <n v="1661053"/>
    <n v="830526.5"/>
    <m/>
    <n v="1661053"/>
    <x v="9"/>
    <e v="#DIV/0!"/>
    <m/>
    <e v="#DIV/0!"/>
    <x v="2"/>
    <e v="#DIV/0!"/>
    <m/>
    <n v="0"/>
    <n v="0"/>
  </r>
  <r>
    <s v="Abdul Moeed"/>
    <s v="Jahangir Jalil"/>
    <x v="2"/>
    <x v="13"/>
    <n v="15002760"/>
    <s v="Immunoassay"/>
    <s v="demo"/>
    <m/>
    <m/>
    <m/>
    <m/>
    <s v="31.07.2025"/>
    <m/>
    <m/>
    <x v="1"/>
    <x v="1"/>
    <s v="Lahore"/>
    <n v="3020000206"/>
    <x v="19"/>
    <m/>
    <m/>
    <m/>
    <m/>
    <m/>
    <m/>
    <n v="9115000"/>
    <n v="37"/>
    <n v="716388"/>
    <m/>
    <m/>
    <m/>
    <m/>
    <m/>
    <m/>
    <x v="0"/>
    <x v="0"/>
    <m/>
    <m/>
    <m/>
    <m/>
    <m/>
    <m/>
    <m/>
    <m/>
    <m/>
    <m/>
    <m/>
    <m/>
    <m/>
    <m/>
    <m/>
    <m/>
    <m/>
    <m/>
    <s v="To be checked only machine active"/>
    <m/>
    <n v="1"/>
    <s v="Replaced from the existing instrument"/>
    <m/>
    <m/>
    <m/>
    <m/>
    <m/>
    <m/>
    <m/>
    <m/>
    <m/>
    <m/>
    <m/>
    <m/>
    <n v="0"/>
    <m/>
    <m/>
    <m/>
    <m/>
    <m/>
    <m/>
    <m/>
    <m/>
    <m/>
    <m/>
    <m/>
    <m/>
    <n v="0"/>
    <m/>
    <m/>
    <m/>
    <n v="0"/>
    <n v="0"/>
    <m/>
    <n v="0"/>
    <x v="9"/>
    <e v="#DIV/0!"/>
    <m/>
    <e v="#DIV/0!"/>
    <x v="2"/>
    <e v="#DIV/0!"/>
    <m/>
    <n v="0"/>
    <n v="0"/>
  </r>
  <r>
    <s v="Imran Rana"/>
    <s v="Hammad Noor"/>
    <x v="3"/>
    <x v="14"/>
    <n v="15002248"/>
    <s v="Hematology "/>
    <n v="3002000093"/>
    <m/>
    <s v="TE11042147003"/>
    <m/>
    <m/>
    <s v="25.04.2025"/>
    <s v="Not Available"/>
    <m/>
    <x v="0"/>
    <x v="1"/>
    <s v="Lahore"/>
    <n v="3020000209"/>
    <x v="20"/>
    <s v="N/A"/>
    <s v="1-km defense road, Lahore"/>
    <s v="042-32300865"/>
    <s v="waseem.abbas@admin.uol.edu.pk"/>
    <s v="2237629-1"/>
    <m/>
    <n v="2100000"/>
    <n v="18"/>
    <n v="125042"/>
    <m/>
    <m/>
    <m/>
    <m/>
    <m/>
    <m/>
    <x v="0"/>
    <x v="0"/>
    <m/>
    <m/>
    <m/>
    <m/>
    <m/>
    <m/>
    <m/>
    <m/>
    <m/>
    <m/>
    <m/>
    <m/>
    <m/>
    <m/>
    <m/>
    <m/>
    <m/>
    <m/>
    <s v="behind track need followup"/>
    <s v="behind track need  further followup"/>
    <n v="1"/>
    <s v="Placed"/>
    <m/>
    <m/>
    <m/>
    <m/>
    <m/>
    <m/>
    <m/>
    <m/>
    <m/>
    <m/>
    <n v="616750"/>
    <n v="29000"/>
    <n v="645750"/>
    <n v="0"/>
    <n v="0"/>
    <n v="0"/>
    <n v="616750"/>
    <n v="0"/>
    <n v="0"/>
    <n v="0"/>
    <n v="0"/>
    <m/>
    <m/>
    <m/>
    <m/>
    <n v="616750"/>
    <n v="0"/>
    <n v="0"/>
    <n v="0"/>
    <n v="0"/>
    <n v="0"/>
    <m/>
    <n v="1262500"/>
    <x v="12"/>
    <n v="114772.72727272728"/>
    <n v="1595000"/>
    <n v="-10269.272727272721"/>
    <x v="0"/>
    <n v="-933.57024793388371"/>
    <n v="0.4"/>
    <n v="505000"/>
    <n v="0.4"/>
  </r>
  <r>
    <s v="Hammad Hafeez"/>
    <s v="Hammad Noor"/>
    <x v="0"/>
    <x v="12"/>
    <n v="15002553"/>
    <s v="Immunoassay"/>
    <m/>
    <m/>
    <m/>
    <m/>
    <m/>
    <s v="21.10.2024"/>
    <m/>
    <m/>
    <x v="1"/>
    <x v="0"/>
    <s v="Karachi"/>
    <n v="3020000314"/>
    <x v="21"/>
    <m/>
    <s v="Km-75, Jackob line, M.A Jinnah road "/>
    <s v="0331-2245708 &amp; 021-38140600"/>
    <s v="ahashmani@cyber.net.pk"/>
    <s v="4009579-7"/>
    <m/>
    <n v="3058162"/>
    <n v="36"/>
    <n v="520349"/>
    <m/>
    <m/>
    <m/>
    <m/>
    <m/>
    <m/>
    <x v="0"/>
    <x v="0"/>
    <m/>
    <m/>
    <m/>
    <m/>
    <m/>
    <m/>
    <m/>
    <m/>
    <m/>
    <m/>
    <e v="#N/A"/>
    <m/>
    <m/>
    <m/>
    <m/>
    <m/>
    <m/>
    <m/>
    <m/>
    <m/>
    <m/>
    <m/>
    <m/>
    <m/>
    <m/>
    <m/>
    <m/>
    <m/>
    <m/>
    <m/>
    <m/>
    <m/>
    <m/>
    <m/>
    <n v="0"/>
    <m/>
    <m/>
    <m/>
    <m/>
    <m/>
    <m/>
    <m/>
    <m/>
    <m/>
    <m/>
    <m/>
    <m/>
    <n v="0"/>
    <m/>
    <m/>
    <m/>
    <n v="0"/>
    <n v="0"/>
    <m/>
    <n v="0"/>
    <x v="9"/>
    <e v="#DIV/0!"/>
    <n v="3058162"/>
    <e v="#DIV/0!"/>
    <x v="4"/>
    <e v="#DIV/0!"/>
    <n v="0.4"/>
    <n v="0"/>
    <n v="0.4"/>
  </r>
  <r>
    <s v="Hammad Hafeez"/>
    <s v="Hammad Noor"/>
    <x v="0"/>
    <x v="0"/>
    <n v="15002462"/>
    <s v="Immunoassay"/>
    <m/>
    <m/>
    <s v="IA00146946"/>
    <m/>
    <m/>
    <s v="20.12.2024"/>
    <m/>
    <m/>
    <x v="0"/>
    <x v="0"/>
    <s v="Karachi"/>
    <n v="3020000386"/>
    <x v="22"/>
    <m/>
    <s v="St 02, block T, Qalandaria Chowk, opposite Talib Charman park, Sindh"/>
    <s v="0336-2062268"/>
    <s v="faraz786.hbb@gmail.com"/>
    <s v="1294267-7"/>
    <m/>
    <n v="3650000"/>
    <n v="10"/>
    <n v="1194783"/>
    <m/>
    <m/>
    <m/>
    <m/>
    <m/>
    <m/>
    <x v="0"/>
    <x v="0"/>
    <m/>
    <m/>
    <m/>
    <m/>
    <m/>
    <m/>
    <m/>
    <m/>
    <m/>
    <m/>
    <e v="#N/A"/>
    <m/>
    <m/>
    <m/>
    <m/>
    <m/>
    <m/>
    <m/>
    <s v="need to check business case"/>
    <s v="under validation - behind track"/>
    <n v="1"/>
    <s v="Placed"/>
    <m/>
    <m/>
    <m/>
    <m/>
    <m/>
    <m/>
    <m/>
    <m/>
    <m/>
    <m/>
    <m/>
    <m/>
    <n v="0"/>
    <m/>
    <m/>
    <m/>
    <m/>
    <m/>
    <n v="146400"/>
    <m/>
    <n v="210560"/>
    <n v="278280"/>
    <n v="431600"/>
    <n v="107800"/>
    <n v="80800"/>
    <n v="1255440"/>
    <n v="191400"/>
    <n v="62000"/>
    <n v="67800"/>
    <n v="321200"/>
    <n v="156900"/>
    <m/>
    <n v="1576640"/>
    <x v="10"/>
    <n v="197080"/>
    <n v="3019344"/>
    <n v="-997703"/>
    <x v="1"/>
    <n v="-124712.875"/>
    <n v="0.4"/>
    <n v="630656"/>
    <n v="0.4"/>
  </r>
  <r>
    <s v="Hammad Hafeez"/>
    <s v="Hammad Noor"/>
    <x v="1"/>
    <x v="8"/>
    <n v="15002463"/>
    <s v="Clinical Chemistry"/>
    <m/>
    <m/>
    <m/>
    <m/>
    <m/>
    <s v="20.12.2024"/>
    <m/>
    <m/>
    <x v="0"/>
    <x v="0"/>
    <s v="Karachi"/>
    <n v="3020000386"/>
    <x v="22"/>
    <m/>
    <s v="St 02, block T, Qalandaria Chowk, opposite Talib Charman park, Sindh"/>
    <s v="0336-2062268"/>
    <s v="faraz786.hbb@gmail.com"/>
    <s v="1294267-7"/>
    <m/>
    <n v="6941887"/>
    <n v="73"/>
    <n v="882971"/>
    <m/>
    <m/>
    <m/>
    <m/>
    <m/>
    <m/>
    <x v="0"/>
    <x v="0"/>
    <m/>
    <m/>
    <m/>
    <m/>
    <m/>
    <m/>
    <m/>
    <m/>
    <m/>
    <m/>
    <e v="#N/A"/>
    <m/>
    <m/>
    <m/>
    <m/>
    <m/>
    <m/>
    <m/>
    <s v="need to check business case"/>
    <s v="under validation - behind track"/>
    <n v="1"/>
    <s v="Placed"/>
    <m/>
    <m/>
    <m/>
    <m/>
    <m/>
    <m/>
    <m/>
    <m/>
    <m/>
    <m/>
    <m/>
    <m/>
    <n v="0"/>
    <m/>
    <m/>
    <m/>
    <m/>
    <m/>
    <m/>
    <m/>
    <m/>
    <m/>
    <n v="246700"/>
    <m/>
    <n v="2800"/>
    <n v="249500"/>
    <n v="142222"/>
    <n v="417191.4"/>
    <n v="134582"/>
    <n v="693995.4"/>
    <n v="188699.08000000002"/>
    <m/>
    <n v="943495.4"/>
    <x v="13"/>
    <n v="235873.85"/>
    <n v="6517314.0700000003"/>
    <n v="-647097.15"/>
    <x v="4"/>
    <n v="-161774.28750000001"/>
    <n v="0.45"/>
    <n v="424572.93"/>
    <n v="0.45"/>
  </r>
  <r>
    <s v="Abdul Moeed"/>
    <s v="Jahangir Jalil"/>
    <x v="7"/>
    <x v="15"/>
    <n v="15002673"/>
    <s v="Urine Analyzer"/>
    <m/>
    <m/>
    <m/>
    <m/>
    <m/>
    <s v="04.06.2025"/>
    <m/>
    <m/>
    <x v="0"/>
    <x v="1"/>
    <s v="Chiniot"/>
    <n v="3020000394"/>
    <x v="23"/>
    <m/>
    <m/>
    <m/>
    <m/>
    <m/>
    <m/>
    <n v="5662000"/>
    <n v="33"/>
    <n v="319800"/>
    <m/>
    <m/>
    <m/>
    <m/>
    <m/>
    <m/>
    <x v="0"/>
    <x v="0"/>
    <m/>
    <m/>
    <m/>
    <m/>
    <m/>
    <m/>
    <m/>
    <m/>
    <m/>
    <m/>
    <m/>
    <m/>
    <m/>
    <m/>
    <m/>
    <m/>
    <m/>
    <m/>
    <s v="on Track"/>
    <s v="no sales in March - Part issue"/>
    <n v="1"/>
    <s v="Placed"/>
    <m/>
    <m/>
    <m/>
    <m/>
    <m/>
    <m/>
    <m/>
    <m/>
    <m/>
    <m/>
    <m/>
    <m/>
    <n v="0"/>
    <m/>
    <m/>
    <m/>
    <m/>
    <m/>
    <m/>
    <n v="430327.8"/>
    <n v="330000"/>
    <n v="215000"/>
    <m/>
    <m/>
    <n v="350000"/>
    <n v="1325327.8"/>
    <n v="0"/>
    <n v="315000"/>
    <n v="0"/>
    <n v="315000"/>
    <n v="166250"/>
    <m/>
    <n v="1640327.8"/>
    <x v="14"/>
    <n v="328065.56"/>
    <n v="5005868.88"/>
    <n v="-75245.67200000002"/>
    <x v="1"/>
    <n v="-15049.134400000004"/>
    <n v="0.4"/>
    <n v="656131.12000000011"/>
    <n v="0.4"/>
  </r>
  <r>
    <s v="Humayun Patel"/>
    <s v="Jahangir Jalil"/>
    <x v="2"/>
    <x v="2"/>
    <n v="15002760"/>
    <s v="Immunoassay"/>
    <n v="3002000023"/>
    <s v="N/A"/>
    <n v="30004829"/>
    <s v="29.10.2022"/>
    <s v="10.09.2022"/>
    <s v="09.10.2022"/>
    <s v="Available"/>
    <m/>
    <x v="1"/>
    <x v="0"/>
    <s v="Karachi"/>
    <n v="3020000439"/>
    <x v="24"/>
    <s v="N/A"/>
    <s v="plot # GRE/550, Gul meher street, off Jahangir road garden east , Karachi"/>
    <s v="0321-9232142"/>
    <s v="hanif.baig@amdtrust.org "/>
    <s v="4665344-1"/>
    <m/>
    <n v="5847387"/>
    <n v="28"/>
    <n v="545522"/>
    <m/>
    <m/>
    <s v="Reagents Not available"/>
    <s v="Partial items received, already processed the orders"/>
    <s v="working with customer to put workload on our equipment "/>
    <m/>
    <x v="4"/>
    <x v="4"/>
    <m/>
    <m/>
    <s v="Revised business case has been sent to Mr, Irfan for further approvals"/>
    <s v="Order for Sep &amp; Oct 2023 has been received"/>
    <m/>
    <m/>
    <m/>
    <m/>
    <m/>
    <m/>
    <s v="Price/workload revision - till 15 April 2024"/>
    <m/>
    <s v="2nd letter is submitted for prices revision."/>
    <m/>
    <m/>
    <m/>
    <m/>
    <m/>
    <s v="OK"/>
    <m/>
    <m/>
    <m/>
    <n v="262916.82"/>
    <n v="284489.45999999996"/>
    <n v="163926.91"/>
    <n v="36327"/>
    <n v="468860.14"/>
    <n v="654734.74"/>
    <n v="167552"/>
    <n v="565713.64"/>
    <n v="111563"/>
    <n v="140865"/>
    <n v="206958"/>
    <n v="0"/>
    <n v="3063906.71"/>
    <n v="0"/>
    <n v="215169"/>
    <n v="0"/>
    <n v="319587"/>
    <m/>
    <m/>
    <m/>
    <m/>
    <m/>
    <m/>
    <m/>
    <m/>
    <n v="534756"/>
    <m/>
    <m/>
    <m/>
    <n v="0"/>
    <n v="0"/>
    <m/>
    <n v="3598662.71"/>
    <x v="15"/>
    <n v="116085.89387096775"/>
    <n v="4407921.9160000002"/>
    <n v="-429436.10612903227"/>
    <x v="1"/>
    <n v="-13852.777617065558"/>
    <n v="0.4"/>
    <n v="1439465.084"/>
    <n v="0.35"/>
  </r>
  <r>
    <s v="Humayun Patel"/>
    <s v="Jahangir Jalil"/>
    <x v="2"/>
    <x v="2"/>
    <n v="15002760"/>
    <s v="Immunoassay"/>
    <n v="3002000023"/>
    <s v="N/A"/>
    <n v="30004829"/>
    <m/>
    <m/>
    <s v="25.04.2025"/>
    <s v="Available"/>
    <m/>
    <x v="5"/>
    <x v="0"/>
    <s v="Karachi"/>
    <n v="3020000439"/>
    <x v="24"/>
    <s v="N/A"/>
    <s v="plot # GRE/550, Gul meher street, off Jahangir road garden east , Karachi"/>
    <s v="0321-9232142"/>
    <s v="hanif.baig@amdtrust.org "/>
    <s v="4665344-1"/>
    <m/>
    <n v="5962387"/>
    <n v="60"/>
    <n v="469966"/>
    <m/>
    <m/>
    <m/>
    <m/>
    <m/>
    <m/>
    <x v="0"/>
    <x v="0"/>
    <m/>
    <m/>
    <m/>
    <m/>
    <m/>
    <m/>
    <m/>
    <m/>
    <m/>
    <m/>
    <m/>
    <m/>
    <m/>
    <m/>
    <m/>
    <m/>
    <m/>
    <m/>
    <s v="Pull BAck"/>
    <s v="Pull back by April 30"/>
    <m/>
    <m/>
    <n v="0"/>
    <n v="0"/>
    <n v="0"/>
    <n v="0"/>
    <n v="0"/>
    <n v="0"/>
    <n v="0"/>
    <n v="0"/>
    <n v="0"/>
    <n v="0"/>
    <n v="0"/>
    <n v="0"/>
    <n v="0"/>
    <n v="0"/>
    <n v="0"/>
    <n v="0"/>
    <n v="0"/>
    <n v="915691.58000000007"/>
    <n v="293100.48"/>
    <n v="0"/>
    <n v="639964.52"/>
    <n v="0"/>
    <n v="375282.49"/>
    <n v="0"/>
    <n v="0"/>
    <n v="2224039.0700000003"/>
    <n v="24249.5"/>
    <n v="48499"/>
    <n v="0"/>
    <n v="72748.5"/>
    <n v="74671.831666666665"/>
    <m/>
    <n v="2296787.5700000003"/>
    <x v="16"/>
    <n v="67552.575588235297"/>
    <n v="5043671.9720000001"/>
    <n v="-402413.42441176472"/>
    <x v="1"/>
    <n v="-11835.688953287197"/>
    <n v="0.4"/>
    <n v="918715.02800000017"/>
    <n v="0.4"/>
  </r>
  <r>
    <s v="Hammad Hafeez"/>
    <s v="Hammad Noor"/>
    <x v="0"/>
    <x v="0"/>
    <n v="15002462"/>
    <s v="Immunoassay"/>
    <n v="3002000009"/>
    <s v="Moved from Jilani Hospital to Burhani Hospital"/>
    <s v="IA00092922"/>
    <s v="14.12.2023"/>
    <s v="21.11.2023"/>
    <s v="18.12.2023"/>
    <s v="Available"/>
    <m/>
    <x v="0"/>
    <x v="0"/>
    <s v="Karachi"/>
    <n v="3020000447"/>
    <x v="25"/>
    <s v="Asad Ullah"/>
    <s v="Shop # 5, Yet Road, Near M.A. Jinnah Road,"/>
    <s v="0307-3800575 , 081-2826500"/>
    <s v="noor.lab.surgical@gmail.com"/>
    <m/>
    <s v="54400-0524139-1"/>
    <n v="2668545"/>
    <n v="27"/>
    <n v="499567"/>
    <m/>
    <m/>
    <m/>
    <m/>
    <s v="YHLO stock was N/A"/>
    <s v="we will recieve new order from customer as stock is available now "/>
    <x v="5"/>
    <x v="5"/>
    <m/>
    <m/>
    <m/>
    <m/>
    <m/>
    <m/>
    <m/>
    <m/>
    <s v="Move to Khi Burhani Hospital"/>
    <m/>
    <s v="Recently installed "/>
    <m/>
    <s v="Sales on track"/>
    <m/>
    <m/>
    <m/>
    <m/>
    <m/>
    <s v="Behind track"/>
    <s v="on Track"/>
    <n v="1"/>
    <s v="Placed"/>
    <n v="146900"/>
    <n v="740800"/>
    <n v="939900"/>
    <n v="93000"/>
    <n v="764600"/>
    <n v="1053900"/>
    <n v="999900"/>
    <n v="142000"/>
    <n v="0"/>
    <n v="770500"/>
    <n v="425600"/>
    <n v="959600"/>
    <n v="7036700"/>
    <n v="1245700"/>
    <n v="0"/>
    <n v="116000"/>
    <n v="0"/>
    <n v="702500"/>
    <n v="119800"/>
    <n v="635960"/>
    <n v="613250"/>
    <n v="336820"/>
    <n v="519620"/>
    <n v="486400"/>
    <n v="523620"/>
    <n v="5299670"/>
    <n v="269500"/>
    <n v="559660"/>
    <n v="768330"/>
    <n v="1597490"/>
    <n v="521188.33333333331"/>
    <m/>
    <n v="13933860"/>
    <x v="0"/>
    <n v="605820"/>
    <n v="-2904999"/>
    <n v="106253"/>
    <x v="0"/>
    <n v="4619.695652173913"/>
    <n v="0.4"/>
    <n v="5573544"/>
    <n v="0.4"/>
  </r>
  <r>
    <s v="Humayun Patel"/>
    <s v="Jahangir Jalil"/>
    <x v="2"/>
    <x v="2"/>
    <n v="15002760"/>
    <s v="Immunoassay"/>
    <n v="3002000033"/>
    <s v="N/A"/>
    <n v="30006238"/>
    <s v=" 01.03.2023"/>
    <m/>
    <m/>
    <s v="Not Available"/>
    <m/>
    <x v="1"/>
    <x v="0"/>
    <s v="Karachi"/>
    <n v="3020000477"/>
    <x v="26"/>
    <s v="Approved"/>
    <s v="Stadium Road, Karachi"/>
    <s v="021-34930051, 0313-3691916"/>
    <s v=" zain.mansoor@aku.edu"/>
    <s v="0709421-3"/>
    <m/>
    <m/>
    <m/>
    <m/>
    <m/>
    <m/>
    <m/>
    <m/>
    <m/>
    <m/>
    <x v="0"/>
    <x v="0"/>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s v="Agreemanet pending, in year 2023 many order was holded by Mr Irfan Akram, supplies didnt deliver on time "/>
    <m/>
    <s v="Revised business case submitted, sales will be on track from next month"/>
    <m/>
    <m/>
    <m/>
    <m/>
    <m/>
    <m/>
    <m/>
    <m/>
    <m/>
    <n v="2795137.5"/>
    <n v="149625"/>
    <n v="3848212.5"/>
    <n v="1329613.5"/>
    <n v="0"/>
    <n v="0"/>
    <n v="0"/>
    <n v="0"/>
    <n v="0"/>
    <n v="0"/>
    <n v="0"/>
    <n v="0"/>
    <n v="8122588.5"/>
    <n v="0"/>
    <n v="0"/>
    <m/>
    <m/>
    <m/>
    <m/>
    <m/>
    <m/>
    <m/>
    <m/>
    <m/>
    <m/>
    <n v="0"/>
    <m/>
    <m/>
    <m/>
    <n v="0"/>
    <n v="0"/>
    <m/>
    <n v="8122588.5"/>
    <x v="17"/>
    <n v="507661.78125"/>
    <n v="-3249035.4000000004"/>
    <n v="507661.78125"/>
    <x v="0"/>
    <n v="31728.861328125"/>
    <n v="0.4"/>
    <n v="3249035.4000000004"/>
    <n v="0.35"/>
  </r>
  <r>
    <s v="Humayun Patel"/>
    <s v="Jahangir Jalil"/>
    <x v="2"/>
    <x v="2"/>
    <n v="15002760"/>
    <s v="Immunoassay"/>
    <n v="3002000037"/>
    <s v="N/A"/>
    <n v="30006243"/>
    <s v=" 01.03.2023"/>
    <m/>
    <m/>
    <s v="Not Available"/>
    <m/>
    <x v="1"/>
    <x v="0"/>
    <s v="Karachi"/>
    <n v="3020000477"/>
    <x v="26"/>
    <s v="Available"/>
    <s v="Stadium Road, Karachi"/>
    <s v="021-34930051, 0313-3691916"/>
    <s v=" zain.mansoor@aku.edu"/>
    <s v="0709421-3"/>
    <m/>
    <m/>
    <m/>
    <m/>
    <m/>
    <m/>
    <m/>
    <m/>
    <m/>
    <m/>
    <x v="0"/>
    <x v="0"/>
    <m/>
    <m/>
    <s v="We've received order of 5.7 million in Sep 2023 "/>
    <s v="Order received as per commitment"/>
    <m/>
    <m/>
    <m/>
    <m/>
    <m/>
    <m/>
    <s v="Agreemanet pending, in year 2023 many order was holded by Mr Irfan Akram, supplies didnt deliver on time "/>
    <m/>
    <s v="Revised business case submitted, sales will be on track from next month"/>
    <m/>
    <m/>
    <m/>
    <m/>
    <m/>
    <m/>
    <m/>
    <m/>
    <m/>
    <n v="2795137.5"/>
    <n v="149625"/>
    <n v="3848212.5"/>
    <n v="1329613.5"/>
    <n v="0"/>
    <n v="0"/>
    <n v="0"/>
    <n v="0"/>
    <n v="0"/>
    <n v="0"/>
    <n v="0"/>
    <n v="0"/>
    <n v="8122588.5"/>
    <n v="0"/>
    <m/>
    <m/>
    <m/>
    <m/>
    <m/>
    <m/>
    <m/>
    <m/>
    <m/>
    <m/>
    <m/>
    <n v="0"/>
    <m/>
    <m/>
    <m/>
    <n v="0"/>
    <n v="0"/>
    <m/>
    <n v="8122588.5"/>
    <x v="17"/>
    <n v="507661.78125"/>
    <n v="-3249035.4000000004"/>
    <n v="507661.78125"/>
    <x v="0"/>
    <n v="31728.861328125"/>
    <n v="0.4"/>
    <n v="3249035.4000000004"/>
    <n v="0.35"/>
  </r>
  <r>
    <s v="Humayun Patel"/>
    <s v="Jahangir Jalil"/>
    <x v="2"/>
    <x v="2"/>
    <n v="15002760"/>
    <s v="Immunoassay"/>
    <n v="3002000033"/>
    <s v="N/A"/>
    <n v="30006238"/>
    <m/>
    <s v="04.05.2024"/>
    <s v="02.04.2024"/>
    <s v="Available"/>
    <m/>
    <x v="5"/>
    <x v="0"/>
    <s v="Karachi"/>
    <n v="3020000477"/>
    <x v="26"/>
    <s v="Approved"/>
    <s v="Stadium Road, Karachi"/>
    <s v="021-34930051, 0313-3691916"/>
    <s v=" zain.mansoor@aku.edu"/>
    <s v="0709421-3"/>
    <m/>
    <n v="9415840"/>
    <n v="36"/>
    <n v="1229963"/>
    <m/>
    <m/>
    <m/>
    <m/>
    <m/>
    <m/>
    <x v="0"/>
    <x v="0"/>
    <m/>
    <m/>
    <s v="We've received order of 5.7 million in Sep 2023 "/>
    <s v="Order received as per commitment"/>
    <m/>
    <m/>
    <m/>
    <m/>
    <s v="many order was pending from aug 23"/>
    <s v="Supplied 75% items as per Pending order, once we receive special order which we placed in dec, all supllies will compete and will be on track "/>
    <m/>
    <m/>
    <m/>
    <m/>
    <m/>
    <s v="no sales in july"/>
    <m/>
    <m/>
    <s v="on Track"/>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x v="7"/>
    <n v="2604352.1694444441"/>
    <n v="-9335495.620000001"/>
    <n v="1374389.1694444441"/>
    <x v="5"/>
    <n v="76354.953858024674"/>
    <n v="0.4"/>
    <n v="18751335.620000001"/>
    <n v="0.35"/>
  </r>
  <r>
    <s v="Humayun Patel"/>
    <s v="Jahangir Jalil"/>
    <x v="2"/>
    <x v="2"/>
    <n v="15002760"/>
    <s v="Immunoassay"/>
    <n v="3002000037"/>
    <s v="N/A"/>
    <n v="30006243"/>
    <m/>
    <s v="04.05.2024"/>
    <s v="02.04.2024"/>
    <s v="Available"/>
    <m/>
    <x v="5"/>
    <x v="0"/>
    <s v="Karachi"/>
    <n v="3020000477"/>
    <x v="26"/>
    <s v="Available"/>
    <s v="Stadium Road, Karachi"/>
    <s v="021-34930051, 0313-3691916"/>
    <s v=" zain.mansoor@aku.edu"/>
    <s v="0709421-3"/>
    <m/>
    <n v="9415840"/>
    <n v="36"/>
    <n v="1229963"/>
    <m/>
    <m/>
    <m/>
    <m/>
    <m/>
    <m/>
    <x v="0"/>
    <x v="0"/>
    <m/>
    <m/>
    <s v="We've received order of 5.7 million in Sep 2023 "/>
    <s v="Order received as per commitment"/>
    <m/>
    <m/>
    <m/>
    <m/>
    <m/>
    <m/>
    <m/>
    <m/>
    <m/>
    <m/>
    <m/>
    <s v="no sales in july"/>
    <m/>
    <m/>
    <s v="on Track"/>
    <s v="on Track"/>
    <n v="1"/>
    <s v="Placed"/>
    <n v="2795137.5"/>
    <n v="149625"/>
    <n v="3848212.5"/>
    <n v="1329613.5"/>
    <n v="2276714.5"/>
    <n v="2081819.5"/>
    <n v="0"/>
    <n v="2602908.83"/>
    <n v="1862950"/>
    <n v="2134831.2000000002"/>
    <n v="1628220.82"/>
    <n v="4221340.25"/>
    <n v="24931373.599999998"/>
    <n v="0"/>
    <n v="754410.96"/>
    <n v="1530670.44"/>
    <n v="681653"/>
    <n v="5820256.3099999996"/>
    <n v="6057816"/>
    <n v="0"/>
    <n v="0"/>
    <n v="1818926.24"/>
    <m/>
    <m/>
    <n v="1231901.5"/>
    <n v="17895634.449999999"/>
    <n v="2208421"/>
    <n v="1746554"/>
    <n v="96356"/>
    <n v="4051331"/>
    <n v="1320808.125"/>
    <m/>
    <n v="46878339.049999997"/>
    <x v="7"/>
    <n v="2604352.1694444441"/>
    <n v="-9335495.620000001"/>
    <n v="1374389.1694444441"/>
    <x v="5"/>
    <n v="76354.953858024674"/>
    <n v="0.4"/>
    <n v="18751335.620000001"/>
    <n v="0.35"/>
  </r>
  <r>
    <s v="Imran Rana"/>
    <s v="Hammad Noor"/>
    <x v="0"/>
    <x v="0"/>
    <n v="15002462"/>
    <s v="Immunoassay"/>
    <n v="3002000075"/>
    <s v="N/A"/>
    <s v="IA00093322"/>
    <m/>
    <m/>
    <s v="19.03.2024"/>
    <s v="Not Available"/>
    <m/>
    <x v="0"/>
    <x v="1"/>
    <s v="Faisalabad"/>
    <n v="3020000491"/>
    <x v="27"/>
    <m/>
    <s v="Akbarabad, Near Allied Hospital, Faisalabad"/>
    <s v="041-2646707"/>
    <s v="info@alkhidmat.org"/>
    <s v="7600330-1"/>
    <m/>
    <n v="3535471"/>
    <n v="36"/>
    <n v="536481"/>
    <m/>
    <m/>
    <m/>
    <m/>
    <m/>
    <m/>
    <x v="0"/>
    <x v="0"/>
    <m/>
    <m/>
    <m/>
    <m/>
    <m/>
    <m/>
    <m/>
    <m/>
    <m/>
    <m/>
    <m/>
    <m/>
    <m/>
    <m/>
    <m/>
    <m/>
    <m/>
    <m/>
    <s v="Pull BAck"/>
    <s v="Pull back by April 30"/>
    <m/>
    <s v="Placed"/>
    <n v="235502.5"/>
    <n v="15660"/>
    <n v="165984"/>
    <n v="125262"/>
    <n v="37908.5"/>
    <n v="55880"/>
    <n v="0"/>
    <n v="239596"/>
    <n v="65535"/>
    <n v="64800"/>
    <n v="0"/>
    <n v="154960"/>
    <n v="1161088"/>
    <n v="49960"/>
    <n v="0"/>
    <n v="155411"/>
    <n v="0"/>
    <n v="0"/>
    <n v="0"/>
    <n v="0"/>
    <n v="0"/>
    <n v="0"/>
    <n v="0"/>
    <n v="0"/>
    <m/>
    <n v="205371"/>
    <n v="0"/>
    <n v="0"/>
    <n v="0"/>
    <n v="0"/>
    <n v="0"/>
    <m/>
    <n v="1366459"/>
    <x v="18"/>
    <n v="54658.36"/>
    <n v="2988887.4"/>
    <n v="-481822.64"/>
    <x v="1"/>
    <n v="-19272.905600000002"/>
    <n v="0.4"/>
    <n v="546583.6"/>
    <n v="0.4"/>
  </r>
  <r>
    <s v="Imran Rana"/>
    <s v="Hammad Noor"/>
    <x v="0"/>
    <x v="0"/>
    <n v="15002462"/>
    <s v="Immunoassay"/>
    <s v="AR # 300293"/>
    <s v="Transferred from demo"/>
    <s v="IA00093322"/>
    <m/>
    <m/>
    <s v="14.05.2025"/>
    <m/>
    <m/>
    <x v="0"/>
    <x v="1"/>
    <s v="Faisalabad"/>
    <n v="3020000491"/>
    <x v="27"/>
    <m/>
    <s v="Ismail Road, Akbarabad Chowk, Opposite Allied Hospital, Punjab"/>
    <s v="041-2642728 &amp; 0333-6544102"/>
    <s v="info@alkhidmat.org"/>
    <s v="7600330-1"/>
    <m/>
    <n v="3650471"/>
    <n v="35"/>
    <n v="424199"/>
    <m/>
    <m/>
    <m/>
    <m/>
    <m/>
    <m/>
    <x v="0"/>
    <x v="0"/>
    <m/>
    <m/>
    <m/>
    <m/>
    <m/>
    <m/>
    <m/>
    <m/>
    <m/>
    <m/>
    <m/>
    <m/>
    <m/>
    <m/>
    <m/>
    <m/>
    <m/>
    <m/>
    <s v="Pull BAck"/>
    <s v="Pull back by April 30"/>
    <m/>
    <s v="Placed"/>
    <n v="235502.5"/>
    <n v="15660"/>
    <n v="165984"/>
    <n v="125262"/>
    <n v="37908.5"/>
    <n v="55880"/>
    <n v="0"/>
    <n v="239596"/>
    <n v="65535"/>
    <n v="64800"/>
    <n v="0"/>
    <n v="154960"/>
    <n v="1161088"/>
    <n v="49960"/>
    <n v="0"/>
    <n v="155411"/>
    <n v="0"/>
    <n v="0"/>
    <n v="0"/>
    <n v="0"/>
    <n v="0"/>
    <n v="0"/>
    <n v="0"/>
    <n v="0"/>
    <m/>
    <n v="205371"/>
    <n v="0"/>
    <n v="0"/>
    <n v="0"/>
    <n v="0"/>
    <n v="0"/>
    <m/>
    <n v="1366459"/>
    <x v="18"/>
    <n v="54658.36"/>
    <n v="3103887.4"/>
    <n v="-66585.846153846156"/>
    <x v="1"/>
    <n v="-2663.4338461538464"/>
    <n v="0.4"/>
    <n v="546583.6"/>
    <n v="0.4"/>
  </r>
  <r>
    <s v="Humayun Patel"/>
    <s v="Hammad Noor"/>
    <x v="3"/>
    <x v="5"/>
    <n v="15001967"/>
    <s v="Hematology"/>
    <n v="3002000004"/>
    <s v="N/A"/>
    <n v="104282"/>
    <s v="27.11.2021"/>
    <s v="06.01.2021"/>
    <s v="06.01.2021"/>
    <s v="Available"/>
    <m/>
    <x v="0"/>
    <x v="1"/>
    <s v="Faisalabad"/>
    <n v="3020000515"/>
    <x v="28"/>
    <s v="Govt. Hospital"/>
    <s v="Near Pinum Hospital, Faisalabad"/>
    <s v="041-9210082"/>
    <s v="not available"/>
    <s v="9020100-7"/>
    <m/>
    <n v="1262290"/>
    <n v="13"/>
    <n v="450000"/>
    <s v="tender based ,Tender completed "/>
    <s v="instruments will be return after depletion of stocks "/>
    <s v="Sales on track"/>
    <s v="Sales on track"/>
    <s v="sales on track "/>
    <s v="new contract in process"/>
    <x v="0"/>
    <x v="6"/>
    <s v="Contract renewed for three months "/>
    <s v="Initial order of amount Rs 1.8 Million invoiced "/>
    <m/>
    <m/>
    <m/>
    <m/>
    <m/>
    <m/>
    <m/>
    <m/>
    <s v="Cost Covered and will be return back as tender period is ended."/>
    <m/>
    <m/>
    <m/>
    <m/>
    <s v="Need to confirm its status"/>
    <m/>
    <m/>
    <s v="Pull BAck"/>
    <s v="Pull back by April 30"/>
    <n v="1"/>
    <s v="Placed"/>
    <m/>
    <m/>
    <m/>
    <m/>
    <m/>
    <m/>
    <m/>
    <m/>
    <m/>
    <m/>
    <m/>
    <m/>
    <n v="0"/>
    <n v="0"/>
    <n v="0"/>
    <n v="0"/>
    <n v="0"/>
    <n v="1362711.9"/>
    <n v="613000"/>
    <n v="2271186"/>
    <n v="0"/>
    <n v="0"/>
    <m/>
    <n v="3202372.3333333335"/>
    <n v="-204333.33333333334"/>
    <n v="7244936.9000000013"/>
    <n v="0"/>
    <n v="0"/>
    <n v="0"/>
    <n v="0"/>
    <n v="599607.80000000005"/>
    <s v="ASK ABOUT IT"/>
    <n v="7244936.9000000013"/>
    <x v="16"/>
    <n v="213086.37941176473"/>
    <n v="-1635684.7600000007"/>
    <n v="-236913.62058823527"/>
    <x v="6"/>
    <n v="-6968.0476643598604"/>
    <n v="0.4"/>
    <n v="2897974.7600000007"/>
    <n v="0.4"/>
  </r>
  <r>
    <s v="Imrna Fazal"/>
    <s v="Hammad Noor"/>
    <x v="3"/>
    <x v="5"/>
    <n v="15001967"/>
    <s v="Hematology"/>
    <n v="3002000004"/>
    <m/>
    <n v="116957"/>
    <m/>
    <m/>
    <s v="24.11.2025"/>
    <m/>
    <m/>
    <x v="4"/>
    <x v="1"/>
    <s v="Faisalabad"/>
    <n v="3020000515"/>
    <x v="29"/>
    <m/>
    <s v="Near Pinum Hospital, Faisalabad"/>
    <s v="041-9210082"/>
    <s v="not available"/>
    <s v="9020100-7"/>
    <m/>
    <n v="1186483.5"/>
    <n v="26"/>
    <n v="112945"/>
    <m/>
    <m/>
    <m/>
    <m/>
    <m/>
    <m/>
    <x v="0"/>
    <x v="0"/>
    <m/>
    <m/>
    <m/>
    <m/>
    <m/>
    <m/>
    <m/>
    <m/>
    <m/>
    <m/>
    <m/>
    <m/>
    <m/>
    <m/>
    <m/>
    <m/>
    <m/>
    <m/>
    <s v="on Track"/>
    <s v="on Track"/>
    <m/>
    <s v="Placed"/>
    <m/>
    <m/>
    <m/>
    <m/>
    <n v="1710000"/>
    <m/>
    <m/>
    <m/>
    <m/>
    <m/>
    <m/>
    <m/>
    <n v="1710000"/>
    <m/>
    <m/>
    <m/>
    <m/>
    <m/>
    <m/>
    <m/>
    <m/>
    <m/>
    <m/>
    <n v="3202372.3333333335"/>
    <n v="-204333.33333333334"/>
    <n v="2998039"/>
    <n v="0"/>
    <n v="0"/>
    <n v="0"/>
    <n v="0"/>
    <n v="599607.80000000005"/>
    <m/>
    <n v="4708039"/>
    <x v="13"/>
    <n v="1177009.75"/>
    <m/>
    <n v="1064064.75"/>
    <x v="2"/>
    <n v="266016.1875"/>
    <m/>
    <n v="0"/>
    <n v="0"/>
  </r>
  <r>
    <s v="Imrna Fazal"/>
    <s v="Hammad Noor"/>
    <x v="3"/>
    <x v="5"/>
    <n v="15001967"/>
    <s v="Hematology"/>
    <s v="AR # 300321"/>
    <m/>
    <n v="117576"/>
    <s v="24.11.2025"/>
    <m/>
    <m/>
    <m/>
    <m/>
    <x v="4"/>
    <x v="1"/>
    <s v="Faisalabad"/>
    <n v="3020000515"/>
    <x v="29"/>
    <m/>
    <m/>
    <m/>
    <m/>
    <m/>
    <m/>
    <n v="1186483.5"/>
    <n v="26"/>
    <n v="112945"/>
    <m/>
    <m/>
    <m/>
    <m/>
    <m/>
    <m/>
    <x v="0"/>
    <x v="0"/>
    <m/>
    <m/>
    <m/>
    <m/>
    <m/>
    <m/>
    <m/>
    <m/>
    <m/>
    <m/>
    <m/>
    <m/>
    <m/>
    <m/>
    <m/>
    <m/>
    <m/>
    <m/>
    <s v="on Track"/>
    <s v="on Track"/>
    <m/>
    <s v="Placed"/>
    <m/>
    <m/>
    <m/>
    <m/>
    <m/>
    <m/>
    <m/>
    <m/>
    <m/>
    <m/>
    <m/>
    <m/>
    <n v="0"/>
    <m/>
    <m/>
    <m/>
    <m/>
    <m/>
    <m/>
    <m/>
    <m/>
    <m/>
    <m/>
    <n v="3202372.3333333335"/>
    <n v="-204333.33333333334"/>
    <n v="2998039"/>
    <n v="0"/>
    <n v="0"/>
    <n v="0"/>
    <n v="0"/>
    <n v="599607.80000000005"/>
    <m/>
    <n v="2998039"/>
    <x v="9"/>
    <e v="#DIV/0!"/>
    <m/>
    <e v="#DIV/0!"/>
    <x v="2"/>
    <e v="#DIV/0!"/>
    <m/>
    <n v="0"/>
    <n v="0"/>
  </r>
  <r>
    <s v="Imran Fazal"/>
    <s v="Hammad Noor"/>
    <x v="1"/>
    <x v="1"/>
    <n v="15002128"/>
    <s v="Clinical Chemistry"/>
    <m/>
    <m/>
    <m/>
    <m/>
    <m/>
    <s v="24.11.2025"/>
    <m/>
    <m/>
    <x v="4"/>
    <x v="1"/>
    <s v="Faisalabad"/>
    <n v="3020000515"/>
    <x v="29"/>
    <m/>
    <s v="Near Pinum Hospital, Faisalabad"/>
    <s v="041-9210082"/>
    <s v="not available"/>
    <s v="9020100-7"/>
    <m/>
    <n v="4620000"/>
    <n v="36"/>
    <n v="1411927"/>
    <m/>
    <m/>
    <m/>
    <m/>
    <m/>
    <m/>
    <x v="0"/>
    <x v="0"/>
    <m/>
    <m/>
    <m/>
    <m/>
    <m/>
    <m/>
    <m/>
    <m/>
    <m/>
    <m/>
    <m/>
    <m/>
    <m/>
    <m/>
    <m/>
    <m/>
    <m/>
    <m/>
    <s v="on Track"/>
    <s v="on Track"/>
    <m/>
    <s v="Placed"/>
    <m/>
    <m/>
    <m/>
    <m/>
    <n v="1710000"/>
    <m/>
    <m/>
    <m/>
    <m/>
    <m/>
    <m/>
    <m/>
    <n v="1710000"/>
    <m/>
    <m/>
    <m/>
    <m/>
    <m/>
    <m/>
    <m/>
    <m/>
    <m/>
    <m/>
    <n v="3484134.2"/>
    <n v="5106783.6700000027"/>
    <n v="8590917.8700000029"/>
    <n v="1516016"/>
    <m/>
    <m/>
    <n v="1516016"/>
    <n v="3368977.9566666675"/>
    <m/>
    <n v="11816933.870000003"/>
    <x v="4"/>
    <n v="3938977.9566666675"/>
    <m/>
    <n v="2527050.9566666675"/>
    <x v="2"/>
    <n v="842350.31888888916"/>
    <m/>
    <n v="0"/>
    <n v="0"/>
  </r>
  <r>
    <s v="Imrna Fazal"/>
    <s v="Hammad Noor"/>
    <x v="3"/>
    <x v="5"/>
    <n v="15001967"/>
    <s v="Hematology"/>
    <m/>
    <m/>
    <m/>
    <m/>
    <m/>
    <s v="24.11.2025"/>
    <m/>
    <m/>
    <x v="4"/>
    <x v="1"/>
    <s v="Faisalabad"/>
    <n v="3020000393"/>
    <x v="30"/>
    <m/>
    <s v="Near Pinum Hospital, Faisalabad"/>
    <s v="041-9210082"/>
    <s v="not available"/>
    <s v="9020100-7"/>
    <m/>
    <n v="1186483.33333333"/>
    <n v="26"/>
    <n v="108475"/>
    <m/>
    <m/>
    <m/>
    <m/>
    <m/>
    <m/>
    <x v="0"/>
    <x v="0"/>
    <m/>
    <m/>
    <m/>
    <m/>
    <m/>
    <m/>
    <m/>
    <m/>
    <m/>
    <m/>
    <m/>
    <m/>
    <m/>
    <m/>
    <m/>
    <m/>
    <m/>
    <m/>
    <s v="on Track"/>
    <s v="on Track"/>
    <m/>
    <s v="Placed"/>
    <m/>
    <m/>
    <m/>
    <m/>
    <m/>
    <m/>
    <m/>
    <m/>
    <m/>
    <m/>
    <m/>
    <m/>
    <n v="0"/>
    <m/>
    <m/>
    <m/>
    <m/>
    <m/>
    <m/>
    <m/>
    <m/>
    <m/>
    <m/>
    <m/>
    <m/>
    <n v="0"/>
    <n v="0"/>
    <n v="700022.02"/>
    <n v="208452.33333333334"/>
    <n v="908474.35333333339"/>
    <n v="302824.78444444446"/>
    <m/>
    <n v="908474.33333333337"/>
    <x v="8"/>
    <n v="454237.16666666669"/>
    <m/>
    <n v="345762.16666666669"/>
    <x v="2"/>
    <n v="172881.08333333334"/>
    <m/>
    <n v="0"/>
    <n v="0"/>
  </r>
  <r>
    <s v="Hammad Hafeez"/>
    <s v="Hammad Noor"/>
    <x v="0"/>
    <x v="0"/>
    <n v="15002462"/>
    <s v="Immunoassay"/>
    <n v="3002000014"/>
    <s v="N/A"/>
    <s v="IA00093122"/>
    <s v="03.08.2022"/>
    <s v="06.29.2022"/>
    <s v="20.07.2022"/>
    <s v="Available"/>
    <m/>
    <x v="1"/>
    <x v="0"/>
    <s v="Karachi"/>
    <n v="3020000539"/>
    <x v="31"/>
    <s v="Dr. Burjor"/>
    <s v=" V28F+QFR, Garden Rd, near Makki Masjid، Preedy Quarters Karachi, Karachi"/>
    <s v="0300-8259525"/>
    <s v="gbanklesaria.nursing.home@gmail.com"/>
    <s v="1539892-7"/>
    <m/>
    <n v="2675000"/>
    <n v="16"/>
    <n v="493226.5"/>
    <s v="New PO will be processed within this month"/>
    <s v="YHLO reagents was not availble in stock. New order received and processed"/>
    <s v="Due to slack season sales has been reduced. Now, we have some orders from them which are on hold."/>
    <s v="New Order already invoiced, please check"/>
    <s v="YHLO kits were N/A "/>
    <s v="stock is now available so order will be placed "/>
    <x v="1"/>
    <x v="7"/>
    <s v="We've received order of 286,000 in August 2023 "/>
    <s v="Need to revise the business case as per Average Reagent Sales"/>
    <s v="Revised business case has been sent to Mr, Ebad for further approvals"/>
    <s v="Order received for Oct 2023 and its on hold."/>
    <m/>
    <m/>
    <m/>
    <m/>
    <s v="Prices will revies"/>
    <s v="Under discussion on prices, order will receive soon "/>
    <s v="We have submitt prices revision letter, patient volume decressed."/>
    <m/>
    <s v="2nd letter of price revision submitted, with in next 2 weeks will share update on prices revision customer is agreed to increase 10% but we ask for atleast 25% price revision"/>
    <s v="15 % prices has been revised "/>
    <m/>
    <m/>
    <m/>
    <m/>
    <s v="Korangi WH "/>
    <m/>
    <n v="1"/>
    <m/>
    <n v="222763.96"/>
    <n v="270400"/>
    <n v="0"/>
    <n v="0"/>
    <n v="629406.82000000007"/>
    <n v="0"/>
    <n v="0"/>
    <n v="0"/>
    <n v="0"/>
    <n v="268415"/>
    <n v="19210"/>
    <n v="90851.82"/>
    <n v="1501047.6"/>
    <n v="0"/>
    <n v="0"/>
    <n v="0"/>
    <n v="0"/>
    <n v="0"/>
    <n v="0"/>
    <n v="0"/>
    <n v="0"/>
    <n v="0"/>
    <n v="0"/>
    <n v="0"/>
    <m/>
    <n v="0"/>
    <m/>
    <m/>
    <m/>
    <n v="0"/>
    <n v="0"/>
    <m/>
    <n v="1501047.6"/>
    <x v="19"/>
    <n v="42887.07428571429"/>
    <n v="2074580.96"/>
    <n v="-450339.42571428569"/>
    <x v="7"/>
    <n v="-12866.840734693877"/>
    <n v="0.4"/>
    <n v="600419.04"/>
    <n v="0.4"/>
  </r>
  <r>
    <s v="Humayun Patel"/>
    <s v="Jahangir Jalil"/>
    <x v="2"/>
    <x v="2"/>
    <n v="15002760"/>
    <s v="Immunoassay"/>
    <n v="3002000036"/>
    <s v="N/A"/>
    <n v="30006300"/>
    <s v="31.07.2023"/>
    <s v="20.10.2022"/>
    <s v="20.10.2022"/>
    <s v="Available"/>
    <m/>
    <x v="0"/>
    <x v="0"/>
    <s v="Karachi"/>
    <n v="3020000547"/>
    <x v="32"/>
    <s v="Dr. Syed Durrani"/>
    <s v="R3P2+Q37, Main Korangi Rd, near Kala Pul، Clifton, Karachi"/>
    <s v="021-35392001-2 / 0300-8255140"/>
    <s v="vmedintertrade@yahoo.com"/>
    <m/>
    <s v="42201-8906429-9"/>
    <n v="9297200"/>
    <n v="35"/>
    <n v="829374"/>
    <m/>
    <m/>
    <s v="Equipment not placed yet, due to unavailability"/>
    <s v="Equipment not placed yet, due to unavailability"/>
    <s v="machine under installation phase "/>
    <m/>
    <x v="6"/>
    <x v="8"/>
    <s v="Equipment installed, validation done"/>
    <s v="Waiting to receive the PO from Customer end."/>
    <s v="First Order received through Distributor V-MED Inter. (amount: 1,100,000)"/>
    <s v="We'll be receiving continuous order of committed amount"/>
    <m/>
    <m/>
    <m/>
    <m/>
    <s v="last tender was scraped, new tender is awarded First PO is received,"/>
    <m/>
    <s v="Machine installed in Jan 24, first tor run in Jan 2024,  last tender was scraped "/>
    <m/>
    <e v="#REF!"/>
    <m/>
    <m/>
    <s v="no sales in july"/>
    <m/>
    <m/>
    <s v="Tender in process"/>
    <s v="Tender Finalize by April 30"/>
    <n v="1"/>
    <s v="Placed"/>
    <n v="867000"/>
    <n v="1552000"/>
    <n v="1838173.12"/>
    <n v="0"/>
    <n v="3924900"/>
    <n v="850200"/>
    <n v="0"/>
    <n v="0"/>
    <n v="4129498"/>
    <n v="1860000"/>
    <n v="0"/>
    <n v="3382500"/>
    <n v="18404271.120000001"/>
    <n v="0"/>
    <n v="610087.5"/>
    <n v="0"/>
    <n v="547499.5"/>
    <n v="0"/>
    <n v="22500"/>
    <n v="0"/>
    <n v="0"/>
    <n v="0"/>
    <m/>
    <m/>
    <m/>
    <n v="1180087"/>
    <n v="0"/>
    <n v="0"/>
    <n v="0"/>
    <n v="0"/>
    <n v="0"/>
    <m/>
    <n v="19584358.120000001"/>
    <x v="5"/>
    <n v="1030755.6905263158"/>
    <n v="1463456.7519999994"/>
    <n v="201381.69052631583"/>
    <x v="0"/>
    <n v="10599.036343490307"/>
    <n v="0.4"/>
    <n v="7833743.2480000006"/>
    <n v="0.35"/>
  </r>
  <r>
    <s v="Humayun Patel"/>
    <s v="Jahangir Jalil"/>
    <x v="2"/>
    <x v="2"/>
    <n v="15002760"/>
    <s v="Immunoassay"/>
    <n v="3002000024"/>
    <s v="N/A"/>
    <n v="30006173"/>
    <m/>
    <m/>
    <s v="09.02.2024"/>
    <m/>
    <m/>
    <x v="1"/>
    <x v="0"/>
    <s v="Karachi"/>
    <n v="3020000547"/>
    <x v="33"/>
    <m/>
    <s v="115-C, Commercial Area &quot;B&quot; Near Tooba Masjid, DHA Phase-I Karachi"/>
    <s v="0300-8255140"/>
    <s v="vmedintertrade@yahoo.com"/>
    <s v="1365220-6"/>
    <s v="42201-8906429-9"/>
    <n v="10513266"/>
    <n v="36"/>
    <n v="868556"/>
    <m/>
    <m/>
    <m/>
    <m/>
    <m/>
    <m/>
    <x v="0"/>
    <x v="0"/>
    <m/>
    <m/>
    <m/>
    <m/>
    <m/>
    <m/>
    <m/>
    <m/>
    <m/>
    <m/>
    <e v="#REF!"/>
    <m/>
    <m/>
    <m/>
    <m/>
    <m/>
    <m/>
    <m/>
    <m/>
    <m/>
    <m/>
    <m/>
    <m/>
    <m/>
    <m/>
    <m/>
    <m/>
    <m/>
    <m/>
    <m/>
    <m/>
    <m/>
    <m/>
    <n v="1501170"/>
    <n v="1501170"/>
    <n v="0"/>
    <n v="610087.5"/>
    <n v="0"/>
    <n v="547499.5"/>
    <n v="0"/>
    <n v="22500"/>
    <n v="0"/>
    <m/>
    <m/>
    <m/>
    <m/>
    <m/>
    <n v="1180087"/>
    <m/>
    <m/>
    <m/>
    <n v="0"/>
    <n v="0"/>
    <m/>
    <n v="2681257"/>
    <x v="10"/>
    <n v="335157.125"/>
    <n v="9440763.1999999993"/>
    <n v="-533398.875"/>
    <x v="1"/>
    <n v="-66674.859375"/>
    <n v="0.4"/>
    <n v="1072502.8"/>
    <n v="0.4"/>
  </r>
  <r>
    <s v="Shagufta Anthony "/>
    <s v="Jahangir Jalil"/>
    <x v="4"/>
    <x v="6"/>
    <n v="15003000"/>
    <s v="Coagulation Analyzer"/>
    <n v="3002000102"/>
    <m/>
    <n v="1614"/>
    <m/>
    <m/>
    <s v="14.05.2025"/>
    <m/>
    <m/>
    <x v="0"/>
    <x v="2"/>
    <s v="Islamabad"/>
    <n v="3020000580"/>
    <x v="34"/>
    <m/>
    <m/>
    <m/>
    <m/>
    <m/>
    <m/>
    <n v="3432757"/>
    <n v="36"/>
    <n v="251530"/>
    <m/>
    <m/>
    <m/>
    <m/>
    <m/>
    <m/>
    <x v="0"/>
    <x v="0"/>
    <m/>
    <m/>
    <m/>
    <m/>
    <m/>
    <m/>
    <m/>
    <m/>
    <m/>
    <m/>
    <m/>
    <m/>
    <m/>
    <m/>
    <m/>
    <m/>
    <m/>
    <m/>
    <s v="Behind track"/>
    <s v="sterrers required, sales will be on track"/>
    <n v="1"/>
    <s v="Placed"/>
    <m/>
    <m/>
    <m/>
    <m/>
    <m/>
    <m/>
    <m/>
    <m/>
    <m/>
    <m/>
    <m/>
    <m/>
    <n v="0"/>
    <n v="0"/>
    <n v="450910"/>
    <n v="417700"/>
    <n v="0"/>
    <n v="76000"/>
    <n v="289400"/>
    <n v="282000"/>
    <n v="332000"/>
    <n v="0"/>
    <n v="478700"/>
    <n v="105000"/>
    <n v="118700"/>
    <n v="2550410"/>
    <n v="274000"/>
    <n v="160000"/>
    <n v="105000"/>
    <n v="539000"/>
    <n v="206900"/>
    <m/>
    <n v="3089410"/>
    <x v="20"/>
    <n v="257450.83333333334"/>
    <n v="2196993"/>
    <n v="5920.833333333343"/>
    <x v="1"/>
    <n v="493.40277777777857"/>
    <n v="0.4"/>
    <n v="1235764"/>
    <n v="0.4"/>
  </r>
  <r>
    <s v="Imran Rana"/>
    <s v="Hammad Noor"/>
    <x v="0"/>
    <x v="12"/>
    <n v="15002553"/>
    <s v="Immunoassay"/>
    <m/>
    <m/>
    <s v="ID00176648"/>
    <m/>
    <m/>
    <s v="25.04.2025"/>
    <s v="Available"/>
    <m/>
    <x v="0"/>
    <x v="1"/>
    <s v="Muredke"/>
    <n v="3020000605"/>
    <x v="35"/>
    <s v="N/A"/>
    <s v="EHQ Hospital Road, opposite to baldia office main GT road, kamoki, punjab, Gujranwala"/>
    <s v="0307-7781900"/>
    <s v="aliaslam2420@gmail.com"/>
    <m/>
    <s v="34102-5074342-3"/>
    <n v="2565000"/>
    <n v="29"/>
    <n v="154595"/>
    <m/>
    <m/>
    <m/>
    <m/>
    <m/>
    <m/>
    <x v="0"/>
    <x v="0"/>
    <m/>
    <m/>
    <m/>
    <m/>
    <m/>
    <m/>
    <m/>
    <m/>
    <m/>
    <m/>
    <m/>
    <m/>
    <m/>
    <m/>
    <m/>
    <m/>
    <m/>
    <m/>
    <s v="Pull Back need followup"/>
    <s v="Pull back by April 30"/>
    <n v="1"/>
    <s v="Placed"/>
    <m/>
    <m/>
    <m/>
    <m/>
    <m/>
    <m/>
    <m/>
    <m/>
    <m/>
    <m/>
    <m/>
    <m/>
    <n v="0"/>
    <m/>
    <m/>
    <m/>
    <n v="505400"/>
    <n v="0"/>
    <n v="98900"/>
    <n v="48800"/>
    <n v="0"/>
    <n v="-91200"/>
    <m/>
    <m/>
    <n v="97600"/>
    <n v="659500"/>
    <n v="0"/>
    <n v="0"/>
    <n v="212900"/>
    <n v="212900"/>
    <n v="77625"/>
    <m/>
    <n v="872400"/>
    <x v="10"/>
    <n v="109050"/>
    <n v="2216040"/>
    <n v="-45545"/>
    <x v="0"/>
    <n v="-5693.125"/>
    <n v="0.4"/>
    <n v="348960"/>
    <n v="0.4"/>
  </r>
  <r>
    <s v="Abdul Moeed"/>
    <s v="Jahangir Jalil"/>
    <x v="7"/>
    <x v="16"/>
    <n v="15002674"/>
    <s v="Electrolyte Analyzer"/>
    <n v="3002000103"/>
    <m/>
    <s v="3279-2-202108"/>
    <m/>
    <m/>
    <s v="14.05.2025"/>
    <m/>
    <m/>
    <x v="0"/>
    <x v="1"/>
    <s v="Multan"/>
    <n v="3020000633"/>
    <x v="36"/>
    <s v="Govt. Hospital"/>
    <s v="Farwa Chowk, Abdali road "/>
    <s v="061-9200919"/>
    <s v="N/A"/>
    <s v="9020100-7"/>
    <m/>
    <n v="1170000"/>
    <n v="7"/>
    <n v="358020"/>
    <m/>
    <m/>
    <m/>
    <m/>
    <m/>
    <m/>
    <x v="0"/>
    <x v="0"/>
    <m/>
    <m/>
    <m/>
    <m/>
    <m/>
    <m/>
    <m/>
    <m/>
    <m/>
    <m/>
    <m/>
    <m/>
    <m/>
    <m/>
    <m/>
    <m/>
    <m/>
    <m/>
    <s v="on Track"/>
    <s v="Qaurterly Orders - on track"/>
    <n v="1"/>
    <s v="Placed"/>
    <m/>
    <n v="2164333.5"/>
    <m/>
    <m/>
    <m/>
    <m/>
    <n v="88378.040000000008"/>
    <m/>
    <m/>
    <n v="1874000"/>
    <m/>
    <m/>
    <n v="4126711.54"/>
    <m/>
    <m/>
    <n v="1382075"/>
    <m/>
    <n v="0"/>
    <n v="0"/>
    <n v="1382075"/>
    <n v="0"/>
    <n v="1966982.8"/>
    <m/>
    <m/>
    <m/>
    <n v="4731132.8"/>
    <n v="0"/>
    <n v="1229364.25"/>
    <n v="0"/>
    <n v="1229364.25"/>
    <n v="409788.08333333331"/>
    <s v="Will discuss with Humayun"/>
    <n v="10087208.59"/>
    <x v="21"/>
    <n v="272627.25918918918"/>
    <n v="-2864883.4360000002"/>
    <n v="-85392.740810810821"/>
    <x v="2"/>
    <n v="-2307.9119138056981"/>
    <n v="0.4"/>
    <n v="4034883.4360000002"/>
    <n v="0.4"/>
  </r>
  <r>
    <s v="Imran Rana"/>
    <s v="Hammad Noor"/>
    <x v="1"/>
    <x v="8"/>
    <n v="15002463"/>
    <s v="Clinical Chemistry"/>
    <n v="3002000018"/>
    <s v="N/A"/>
    <s v="22-5026"/>
    <s v="05.09.2022"/>
    <s v="08.26.2022"/>
    <s v="30.08.2022"/>
    <s v="Available"/>
    <m/>
    <x v="0"/>
    <x v="1"/>
    <s v="Multan"/>
    <n v="3020000633"/>
    <x v="36"/>
    <s v="Govt. Hospital"/>
    <s v="Farwa Chowk, Abdali road "/>
    <s v="061-9200919"/>
    <s v="N/A"/>
    <s v="9020100-7"/>
    <m/>
    <n v="4500000"/>
    <n v="11"/>
    <n v="1237668"/>
    <s v="Installation is underprocess. First PO of PKR 3.1 Mio Received. Invoice is pending due unavalibility of stocks .Partial kits invoiced waiting for stocks "/>
    <s v="order is on Hold will be invoiced as released Total order value is 3.1Mio"/>
    <s v="3.5mio order received, stocks unavailable"/>
    <s v="3.5mio order received, stocks unavailable"/>
    <s v="stock unavailable"/>
    <s v="new contract award letter recieved of 10 Mio pkr for 2023 and 2024 "/>
    <x v="7"/>
    <x v="9"/>
    <s v="Order Recevied "/>
    <s v="4 Million order will be invoice this month "/>
    <m/>
    <m/>
    <m/>
    <m/>
    <m/>
    <m/>
    <s v="Payment issue - Order in hand"/>
    <m/>
    <s v="Sales are on track. 3.8mio order in hand, it will be invoiced."/>
    <m/>
    <s v="Revised case"/>
    <m/>
    <m/>
    <m/>
    <m/>
    <m/>
    <s v="Behind track"/>
    <s v="Tender due on 20 April, contract renew in July"/>
    <n v="1"/>
    <s v="Placed"/>
    <n v="0"/>
    <n v="5613694.8999999994"/>
    <n v="0"/>
    <n v="0"/>
    <n v="0"/>
    <n v="0"/>
    <n v="25423.73"/>
    <n v="0"/>
    <n v="0"/>
    <n v="269359.42"/>
    <n v="1626042.64"/>
    <n v="865180.92999999993"/>
    <n v="8399701.6199999992"/>
    <n v="0"/>
    <n v="0"/>
    <n v="-135593"/>
    <n v="2032892"/>
    <n v="0"/>
    <m/>
    <n v="42553"/>
    <n v="0"/>
    <n v="343605.15"/>
    <m/>
    <n v="3825383"/>
    <m/>
    <n v="6108840.1500000004"/>
    <n v="2118492.66"/>
    <n v="0"/>
    <n v="0"/>
    <n v="2118492.66"/>
    <n v="1485968.915"/>
    <m/>
    <n v="16627034.43"/>
    <x v="22"/>
    <n v="461862.0675"/>
    <n v="-2982165.4934999999"/>
    <n v="-775805.9325"/>
    <x v="1"/>
    <n v="-21550.164791666666"/>
    <n v="0.45"/>
    <n v="7482165.4934999999"/>
    <n v="0.45"/>
  </r>
  <r>
    <s v="Bilal Nawaz"/>
    <s v="Hammad Noor"/>
    <x v="1"/>
    <x v="8"/>
    <n v="15002463"/>
    <s v="Clinical Chemistry"/>
    <m/>
    <m/>
    <m/>
    <m/>
    <m/>
    <s v="27.10.2025"/>
    <m/>
    <m/>
    <x v="2"/>
    <x v="1"/>
    <s v="Multan"/>
    <n v="3020000633"/>
    <x v="37"/>
    <s v="Govt. Hospital"/>
    <s v="Farwa Chowk, Abdali road "/>
    <s v="061-9200919"/>
    <s v="N/A"/>
    <s v="9020100-7"/>
    <m/>
    <n v="7633423"/>
    <n v="38"/>
    <n v="2084692"/>
    <m/>
    <m/>
    <m/>
    <m/>
    <m/>
    <m/>
    <x v="0"/>
    <x v="0"/>
    <m/>
    <m/>
    <m/>
    <m/>
    <m/>
    <m/>
    <m/>
    <m/>
    <m/>
    <m/>
    <m/>
    <m/>
    <m/>
    <m/>
    <m/>
    <m/>
    <m/>
    <m/>
    <s v="New Installation"/>
    <s v="Tender due on 20 April, contract renew in July"/>
    <m/>
    <s v="Placed"/>
    <m/>
    <m/>
    <m/>
    <m/>
    <m/>
    <m/>
    <m/>
    <m/>
    <m/>
    <m/>
    <m/>
    <m/>
    <n v="0"/>
    <m/>
    <m/>
    <m/>
    <m/>
    <m/>
    <m/>
    <m/>
    <m/>
    <m/>
    <m/>
    <m/>
    <m/>
    <n v="0"/>
    <n v="0"/>
    <n v="0"/>
    <n v="0"/>
    <n v="0"/>
    <n v="0"/>
    <m/>
    <n v="0"/>
    <x v="9"/>
    <e v="#DIV/0!"/>
    <m/>
    <e v="#DIV/0!"/>
    <x v="2"/>
    <e v="#DIV/0!"/>
    <m/>
    <n v="0"/>
    <n v="0"/>
  </r>
  <r>
    <s v="Abdul Moeed"/>
    <s v="Jahangir Jalil"/>
    <x v="2"/>
    <x v="11"/>
    <n v="15002760"/>
    <s v="Immunoassay"/>
    <s v="AR # 300401"/>
    <m/>
    <n v="30006408"/>
    <m/>
    <m/>
    <s v="04.06.2025"/>
    <m/>
    <s v="Appropriation request pending issued against B.C"/>
    <x v="0"/>
    <x v="1"/>
    <s v="Mandi Bahauddin"/>
    <n v="3020000645"/>
    <x v="38"/>
    <m/>
    <s v="Ali Imran Waseer Plaza, Phalia Road, Near Safe Way CNG, Punjab"/>
    <s v="0301-3187007"/>
    <s v="mian.muhsaeed@gmail.com"/>
    <s v="4466935-6"/>
    <m/>
    <n v="14396400"/>
    <n v="36"/>
    <n v="984486"/>
    <m/>
    <m/>
    <m/>
    <m/>
    <m/>
    <m/>
    <x v="0"/>
    <x v="0"/>
    <m/>
    <m/>
    <m/>
    <m/>
    <m/>
    <m/>
    <m/>
    <m/>
    <m/>
    <m/>
    <m/>
    <m/>
    <m/>
    <m/>
    <m/>
    <m/>
    <m/>
    <m/>
    <s v="Due to shortages of stock"/>
    <s v="To be trf to GAMCA, April 30"/>
    <n v="1"/>
    <s v="Not funtional - At customer site"/>
    <m/>
    <m/>
    <m/>
    <m/>
    <m/>
    <m/>
    <m/>
    <m/>
    <m/>
    <m/>
    <m/>
    <m/>
    <n v="0"/>
    <m/>
    <m/>
    <m/>
    <m/>
    <m/>
    <n v="868405"/>
    <n v="817823"/>
    <n v="0"/>
    <n v="0"/>
    <n v="0"/>
    <m/>
    <m/>
    <n v="1686228"/>
    <n v="0"/>
    <n v="0"/>
    <n v="0"/>
    <n v="0"/>
    <n v="0"/>
    <m/>
    <n v="1686228"/>
    <x v="14"/>
    <n v="337245.6"/>
    <n v="13721908.800000001"/>
    <n v="-302952"/>
    <x v="1"/>
    <n v="-60590.400000000001"/>
    <n v="0.4"/>
    <n v="674491.20000000007"/>
    <n v="0.4"/>
  </r>
  <r>
    <s v="Humayun Patel"/>
    <s v="Jahangir Jalil"/>
    <x v="8"/>
    <x v="17"/>
    <n v="15003367"/>
    <s v="Urine Analyzer"/>
    <m/>
    <m/>
    <n v="324100000639"/>
    <m/>
    <m/>
    <s v="27.05.2025"/>
    <m/>
    <s v="Appropriation request pending issued against B.C"/>
    <x v="0"/>
    <x v="0"/>
    <s v="Karachi"/>
    <n v="3020000647"/>
    <x v="39"/>
    <m/>
    <s v="Plot No Z-482 - 483,  Block 3, Kokan Society, Alamgir Road, Gulshan Town, Sindh"/>
    <s v="0336-2346111"/>
    <s v="amir@alamgirwelfaretrust.com.pk"/>
    <s v="1545651-0"/>
    <m/>
    <n v="3727984"/>
    <n v="36"/>
    <n v="275624"/>
    <m/>
    <m/>
    <m/>
    <m/>
    <m/>
    <m/>
    <x v="0"/>
    <x v="0"/>
    <m/>
    <m/>
    <m/>
    <m/>
    <m/>
    <m/>
    <m/>
    <m/>
    <m/>
    <m/>
    <m/>
    <m/>
    <m/>
    <m/>
    <m/>
    <m/>
    <m/>
    <m/>
    <s v="Behind track"/>
    <s v="Supply issue due to DRAP"/>
    <n v="1"/>
    <s v="Placed"/>
    <m/>
    <m/>
    <m/>
    <m/>
    <m/>
    <m/>
    <m/>
    <m/>
    <m/>
    <m/>
    <m/>
    <m/>
    <n v="0"/>
    <m/>
    <m/>
    <m/>
    <m/>
    <m/>
    <n v="211900"/>
    <n v="166500"/>
    <n v="216000"/>
    <n v="16200"/>
    <n v="77500"/>
    <n v="16400"/>
    <n v="140000"/>
    <n v="844500"/>
    <n v="0"/>
    <n v="0"/>
    <n v="0"/>
    <n v="0"/>
    <n v="38983.333333333336"/>
    <m/>
    <n v="844500"/>
    <x v="10"/>
    <n v="105562.5"/>
    <n v="3390184"/>
    <n v="-170061.5"/>
    <x v="1"/>
    <n v="-21257.6875"/>
    <n v="0.4"/>
    <n v="337800"/>
    <n v="0.4"/>
  </r>
  <r>
    <s v="Hammad Hafeez"/>
    <s v="Hammad Noor"/>
    <x v="1"/>
    <x v="8"/>
    <n v="15002463"/>
    <s v="Clinical Chemistry"/>
    <s v="AR # 300402"/>
    <m/>
    <s v="25-5206"/>
    <m/>
    <m/>
    <s v="12.06.2025"/>
    <m/>
    <m/>
    <x v="0"/>
    <x v="0"/>
    <s v="Karachi"/>
    <n v="3020000664"/>
    <x v="40"/>
    <m/>
    <s v="Quaideen Castle 241, Shah-e-Qaideen PECHS, BLOCK-2, New Allah Wali Chorangi"/>
    <s v="021-34541112/03002266780"/>
    <s v="ceo@nhsdiagnostics.com"/>
    <s v="B134403-6"/>
    <m/>
    <n v="8800000"/>
    <n v="35"/>
    <n v="513512"/>
    <m/>
    <m/>
    <m/>
    <m/>
    <m/>
    <m/>
    <x v="0"/>
    <x v="0"/>
    <m/>
    <m/>
    <m/>
    <m/>
    <m/>
    <m/>
    <m/>
    <m/>
    <m/>
    <m/>
    <m/>
    <m/>
    <m/>
    <m/>
    <m/>
    <m/>
    <m/>
    <m/>
    <s v="behind track need followup"/>
    <s v="follow up done it will be on track "/>
    <n v="1"/>
    <s v="Placed"/>
    <m/>
    <m/>
    <m/>
    <m/>
    <n v="1710000"/>
    <m/>
    <m/>
    <m/>
    <m/>
    <m/>
    <m/>
    <m/>
    <n v="1710000"/>
    <m/>
    <m/>
    <m/>
    <m/>
    <m/>
    <n v="1174394"/>
    <n v="263980"/>
    <n v="0"/>
    <n v="492790"/>
    <m/>
    <m/>
    <n v="191590"/>
    <n v="2122754"/>
    <n v="0"/>
    <n v="180500"/>
    <n v="363600"/>
    <n v="544100"/>
    <n v="183922.5"/>
    <m/>
    <n v="4376854"/>
    <x v="14"/>
    <n v="875370.8"/>
    <n v="6830415.7000000002"/>
    <n v="-1550725"/>
    <x v="1"/>
    <n v="-310145"/>
    <n v="0.45"/>
    <n v="1969584.3"/>
    <n v="0.45"/>
  </r>
  <r>
    <s v="Humayun Patel"/>
    <s v="Jahangir Jalil"/>
    <x v="2"/>
    <x v="18"/>
    <n v="15002760"/>
    <s v="Immunoassay"/>
    <s v="AR # 300412"/>
    <m/>
    <n v="30005087"/>
    <m/>
    <m/>
    <s v="19.06.2025"/>
    <m/>
    <m/>
    <x v="0"/>
    <x v="0"/>
    <s v="Karachi"/>
    <n v="3020000664"/>
    <x v="40"/>
    <m/>
    <m/>
    <m/>
    <m/>
    <m/>
    <m/>
    <n v="6938187"/>
    <n v="24"/>
    <n v="618263"/>
    <m/>
    <m/>
    <m/>
    <m/>
    <m/>
    <m/>
    <x v="0"/>
    <x v="0"/>
    <m/>
    <m/>
    <m/>
    <m/>
    <m/>
    <m/>
    <m/>
    <m/>
    <m/>
    <m/>
    <m/>
    <m/>
    <m/>
    <m/>
    <m/>
    <m/>
    <m/>
    <m/>
    <s v="Pull BAck"/>
    <s v="Pull back - Nasir"/>
    <n v="1"/>
    <s v="Placed"/>
    <m/>
    <m/>
    <m/>
    <m/>
    <m/>
    <m/>
    <m/>
    <m/>
    <m/>
    <m/>
    <m/>
    <m/>
    <n v="0"/>
    <m/>
    <m/>
    <m/>
    <m/>
    <m/>
    <m/>
    <n v="951500"/>
    <n v="72600"/>
    <n v="417200"/>
    <n v="109500"/>
    <n v="149200"/>
    <m/>
    <n v="1700000"/>
    <n v="0"/>
    <n v="0"/>
    <n v="0"/>
    <n v="0"/>
    <n v="51740"/>
    <m/>
    <n v="1700000"/>
    <x v="14"/>
    <n v="340000"/>
    <n v="6938187"/>
    <n v="-278263"/>
    <x v="2"/>
    <n v="-55652.6"/>
    <m/>
    <n v="0"/>
    <n v="0"/>
  </r>
  <r>
    <s v="Daniyal Khurshid"/>
    <s v="Jahangir Jalil"/>
    <x v="8"/>
    <x v="17"/>
    <n v="15003367"/>
    <s v="Urine Analyzer"/>
    <m/>
    <m/>
    <m/>
    <m/>
    <m/>
    <s v="30.09.2025"/>
    <m/>
    <m/>
    <x v="4"/>
    <x v="0"/>
    <s v="Karachi"/>
    <n v="3020000678"/>
    <x v="41"/>
    <m/>
    <m/>
    <m/>
    <m/>
    <m/>
    <m/>
    <n v="4528470"/>
    <n v="36"/>
    <n v="306830"/>
    <m/>
    <m/>
    <m/>
    <m/>
    <m/>
    <m/>
    <x v="0"/>
    <x v="0"/>
    <m/>
    <m/>
    <m/>
    <m/>
    <m/>
    <m/>
    <m/>
    <m/>
    <m/>
    <m/>
    <m/>
    <m/>
    <m/>
    <m/>
    <m/>
    <m/>
    <m/>
    <m/>
    <s v="Behind track"/>
    <s v="Supply issue due to DRAP"/>
    <m/>
    <s v="Placed"/>
    <m/>
    <m/>
    <m/>
    <m/>
    <m/>
    <m/>
    <m/>
    <m/>
    <m/>
    <m/>
    <m/>
    <m/>
    <n v="0"/>
    <m/>
    <m/>
    <m/>
    <m/>
    <m/>
    <m/>
    <m/>
    <m/>
    <n v="299000"/>
    <m/>
    <n v="64500"/>
    <n v="180000"/>
    <n v="543500"/>
    <m/>
    <m/>
    <m/>
    <n v="0"/>
    <n v="122250"/>
    <m/>
    <n v="543500"/>
    <x v="9"/>
    <e v="#DIV/0!"/>
    <m/>
    <e v="#DIV/0!"/>
    <x v="2"/>
    <e v="#DIV/0!"/>
    <m/>
    <n v="0"/>
    <n v="0"/>
  </r>
  <r>
    <s v="Humayun Patel"/>
    <s v="Jahangir Jalil"/>
    <x v="7"/>
    <x v="19"/>
    <n v="15002667"/>
    <s v="Coagulation Analyzer"/>
    <n v="3002000040"/>
    <s v="N/A"/>
    <s v="56-71-160517"/>
    <s v="10.02.2023"/>
    <s v="31.10.2023"/>
    <s v="31.10.2023"/>
    <s v="Available"/>
    <m/>
    <x v="1"/>
    <x v="0"/>
    <s v="Karachi"/>
    <n v="3020000692"/>
    <x v="42"/>
    <s v="N/A"/>
    <s v="Sector 48-H, Creek Road, Korangi Creek, Karachi"/>
    <s v="0302-8586998"/>
    <s v="psghospital123@gmail.com"/>
    <s v="7497628-7"/>
    <m/>
    <n v="1375572"/>
    <n v="38"/>
    <n v="134307"/>
    <m/>
    <m/>
    <m/>
    <m/>
    <m/>
    <m/>
    <x v="0"/>
    <x v="0"/>
    <m/>
    <m/>
    <m/>
    <m/>
    <m/>
    <m/>
    <m/>
    <m/>
    <m/>
    <m/>
    <s v="Price/workload revision - till 15 April 2024"/>
    <m/>
    <s v="New tender prices submitted, technical evaluation of tender is in process. "/>
    <s v="New tender in technical Evalualtion"/>
    <m/>
    <m/>
    <m/>
    <m/>
    <m/>
    <m/>
    <m/>
    <m/>
    <n v="0"/>
    <n v="118680"/>
    <n v="0"/>
    <n v="0"/>
    <n v="118390"/>
    <n v="325150"/>
    <n v="0"/>
    <n v="0"/>
    <n v="0"/>
    <n v="0"/>
    <n v="212120"/>
    <n v="0"/>
    <n v="774340"/>
    <n v="0"/>
    <n v="185720"/>
    <n v="0"/>
    <n v="73240"/>
    <n v="0"/>
    <n v="0"/>
    <n v="0"/>
    <n v="0"/>
    <n v="0"/>
    <m/>
    <m/>
    <m/>
    <n v="258960"/>
    <n v="0"/>
    <n v="0"/>
    <m/>
    <n v="0"/>
    <n v="0"/>
    <m/>
    <n v="1033300"/>
    <x v="23"/>
    <n v="32290.625"/>
    <n v="962252"/>
    <n v="-102016.375"/>
    <x v="1"/>
    <n v="-3188.01171875"/>
    <n v="0.4"/>
    <n v="413320"/>
    <n v="0.4"/>
  </r>
  <r>
    <s v="Hammad Hafeez"/>
    <s v="Hammad Noor"/>
    <x v="1"/>
    <x v="8"/>
    <n v="15002463"/>
    <s v="Clinical Chemistry"/>
    <n v="3002000012"/>
    <s v="N/A"/>
    <s v="22-5015"/>
    <s v="28.07.2022"/>
    <s v="06.29.2022"/>
    <s v="07.07.2022"/>
    <s v="Available"/>
    <m/>
    <x v="1"/>
    <x v="0"/>
    <s v="Karachi"/>
    <n v="3020000692"/>
    <x v="42"/>
    <s v="_x000a_Dr. Danish Muhammad Khan"/>
    <s v="Civil Hospital, New Labour Colony Nanakwara, Karachi, Karachi City, Sindh"/>
    <s v="0321-8784310"/>
    <s v="psghospital123@gamil.com"/>
    <s v="7497628-7"/>
    <m/>
    <m/>
    <m/>
    <m/>
    <s v="Proper installtion has been completed in this month"/>
    <s v="MACH5 kits was not availble in stock. New order recveived and processed."/>
    <s v="We need to follow up from them on committed sales per month."/>
    <s v="Will receive order of April 2023"/>
    <s v="Mach 5 kits were N/A"/>
    <s v="stock is now available so order will be placed "/>
    <x v="8"/>
    <x v="10"/>
    <s v="We've received order of 233,000 in August 2023 due to workload has been divided between us and ROCHE"/>
    <s v="We've received required spare parts and consumables which will help us to improve our business."/>
    <s v="Machine was under observation from customer "/>
    <s v="Working with customer to get the desired orders as per comittment"/>
    <m/>
    <m/>
    <m/>
    <m/>
    <s v="machine wasnt in Working condition"/>
    <s v="since last month machine is working properply "/>
    <m/>
    <m/>
    <s v="New tender prices submitted, technical evaluation of tender is in process. "/>
    <s v="New tender in technical Evalualtion"/>
    <m/>
    <m/>
    <m/>
    <m/>
    <m/>
    <m/>
    <m/>
    <m/>
    <n v="351000"/>
    <n v="309320"/>
    <n v="0"/>
    <n v="0"/>
    <n v="0"/>
    <n v="0"/>
    <n v="0"/>
    <n v="0"/>
    <n v="0"/>
    <n v="0"/>
    <n v="0"/>
    <n v="0"/>
    <n v="660320"/>
    <n v="0"/>
    <n v="398580"/>
    <m/>
    <n v="254800"/>
    <n v="180000"/>
    <n v="555900"/>
    <m/>
    <m/>
    <m/>
    <m/>
    <m/>
    <m/>
    <n v="1389280"/>
    <m/>
    <m/>
    <m/>
    <n v="0"/>
    <n v="0"/>
    <m/>
    <n v="2049600"/>
    <x v="10"/>
    <n v="256200"/>
    <n v="-922320"/>
    <n v="256200"/>
    <x v="0"/>
    <n v="32025"/>
    <n v="0.45"/>
    <n v="922320"/>
    <n v="0.45"/>
  </r>
  <r>
    <s v="Hammad Hafeez"/>
    <s v="Hammad Noor"/>
    <x v="1"/>
    <x v="8"/>
    <n v="15002463"/>
    <s v="Clinical Chemistry"/>
    <n v="3002000012"/>
    <s v="N/A"/>
    <s v="22-5015"/>
    <s v="28.07.2022"/>
    <s v="06.29.2022"/>
    <s v="04.04,2024"/>
    <s v="Not Available"/>
    <m/>
    <x v="5"/>
    <x v="0"/>
    <s v="Karachi"/>
    <n v="3020000692"/>
    <x v="42"/>
    <s v="_x000a_Dr. Danish Muhammad Khan"/>
    <s v="Civil Hospital, New Labour Colony Nanakwara, Karachi, Karachi City, Sindh"/>
    <s v="0321-8784310"/>
    <s v="psghospital123@gamil.com"/>
    <s v="7497628-7"/>
    <m/>
    <n v="4500000"/>
    <n v="37"/>
    <n v="385623"/>
    <m/>
    <m/>
    <m/>
    <m/>
    <m/>
    <m/>
    <x v="0"/>
    <x v="0"/>
    <m/>
    <m/>
    <m/>
    <m/>
    <m/>
    <m/>
    <m/>
    <m/>
    <m/>
    <m/>
    <m/>
    <m/>
    <m/>
    <s v="New tender in technical Evalualtion"/>
    <m/>
    <s v="No sales in June and July"/>
    <m/>
    <m/>
    <s v="behind track need followup"/>
    <s v="Follow up - Fasi"/>
    <n v="1"/>
    <s v="Placed"/>
    <n v="351000"/>
    <n v="309320"/>
    <n v="0"/>
    <n v="0"/>
    <n v="561500"/>
    <n v="0"/>
    <n v="0"/>
    <n v="433030"/>
    <n v="0"/>
    <n v="47600"/>
    <n v="0"/>
    <n v="291590"/>
    <n v="1994040"/>
    <n v="0"/>
    <n v="398580"/>
    <n v="0"/>
    <n v="254800"/>
    <n v="180000"/>
    <n v="555900"/>
    <n v="0"/>
    <n v="444470"/>
    <n v="114800"/>
    <n v="440940"/>
    <m/>
    <n v="372653"/>
    <n v="2762143"/>
    <n v="165400"/>
    <n v="0"/>
    <n v="0"/>
    <n v="165400"/>
    <n v="195798.6"/>
    <m/>
    <n v="4921583"/>
    <x v="24"/>
    <n v="234361.09523809524"/>
    <n v="2285287.65"/>
    <n v="-151261.90476190476"/>
    <x v="0"/>
    <n v="-7202.9478458049889"/>
    <n v="0.45"/>
    <n v="2214712.35"/>
    <n v="0.45"/>
  </r>
  <r>
    <s v="Hammad Hafeez"/>
    <s v="Hammad Noor"/>
    <x v="1"/>
    <x v="8"/>
    <n v="15002463"/>
    <s v="Clinical Chemistry"/>
    <n v="3002000011"/>
    <m/>
    <s v="22-5016"/>
    <s v="14.06.2022"/>
    <s v="04.01.2022"/>
    <s v="15.06.2022"/>
    <s v="Available"/>
    <m/>
    <x v="1"/>
    <x v="0"/>
    <s v="Karachi"/>
    <n v="3020000701"/>
    <x v="43"/>
    <s v="Government"/>
    <s v="M. T. Building, Head Office Karachi"/>
    <s v="0334-1047293"/>
    <s v="sanzsoomro34@gmail.com"/>
    <s v="0803450-8"/>
    <s v="-"/>
    <n v="4500000"/>
    <n v="12"/>
    <n v="761989"/>
    <s v="2nd PO is under Process and will be invoiced in this month(Sep)"/>
    <s v="MACH5 kits was not availble in stock, due to which order was given to another competitor. New stock received, new PO is in process at customer's end."/>
    <s v="Due to unavailbility of some items, orders has been reduced. New order is in process and its on hold."/>
    <s v="Items not in stock"/>
    <s v="Mach 5 kits were N/A"/>
    <s v="new order recieved"/>
    <x v="9"/>
    <x v="11"/>
    <s v="Machine was out of order and now has been installed and validation has been performed."/>
    <s v="Working with customer to get the PO."/>
    <s v="We've received order of 365,000 in Sep 2023 "/>
    <s v="Order value will increase gradually based on equipment proper functioning"/>
    <m/>
    <m/>
    <m/>
    <m/>
    <s v="machine wasnt in Working condition"/>
    <s v="since last month machine is working properply "/>
    <s v="Problem with machines. Now new business case will be prepared"/>
    <m/>
    <s v="New business case submitted for approval, due to machine problem."/>
    <s v="new tender with new prices has been submitted, under technical evaluation"/>
    <m/>
    <s v="The machine is still there and one of its part is required.that part is in import will bw delievered soon"/>
    <m/>
    <m/>
    <m/>
    <m/>
    <m/>
    <m/>
    <m/>
    <m/>
    <m/>
    <m/>
    <m/>
    <m/>
    <m/>
    <m/>
    <m/>
    <m/>
    <m/>
    <m/>
    <n v="0"/>
    <m/>
    <m/>
    <m/>
    <m/>
    <m/>
    <m/>
    <m/>
    <m/>
    <m/>
    <m/>
    <m/>
    <m/>
    <n v="0"/>
    <m/>
    <m/>
    <m/>
    <n v="0"/>
    <n v="0"/>
    <s v="Machine will be pulled back, Not returned yet"/>
    <n v="0"/>
    <x v="25"/>
    <n v="0"/>
    <n v="4500000"/>
    <n v="-761989"/>
    <x v="8"/>
    <n v="-29307.26923076923"/>
    <n v="0.45"/>
    <n v="0"/>
    <n v="0.45"/>
  </r>
  <r>
    <s v="Abdul Moeed"/>
    <s v="Jahangir Jalil"/>
    <x v="7"/>
    <x v="15"/>
    <n v="15002673"/>
    <s v="Urine Analyzer"/>
    <n v="3002000061"/>
    <s v="N/A"/>
    <s v="27-x2-130818"/>
    <m/>
    <s v="21.11.2023"/>
    <s v="29.02.2024"/>
    <s v="Available"/>
    <m/>
    <x v="1"/>
    <x v="1"/>
    <s v="Faisalabad"/>
    <n v="3020000719"/>
    <x v="44"/>
    <s v="Government Institution"/>
    <s v="Sargodha Road, Faisalabad"/>
    <s v="041-9201517"/>
    <s v="ms.ic.fsd@punjab.gov.pk"/>
    <s v="9020773-1"/>
    <m/>
    <n v="3409283"/>
    <n v="13"/>
    <n v="393750"/>
    <m/>
    <m/>
    <m/>
    <m/>
    <m/>
    <m/>
    <x v="0"/>
    <x v="0"/>
    <m/>
    <m/>
    <m/>
    <m/>
    <m/>
    <m/>
    <m/>
    <m/>
    <m/>
    <m/>
    <m/>
    <m/>
    <m/>
    <m/>
    <m/>
    <m/>
    <m/>
    <m/>
    <s v="Pull Back machine on Site till 18Mach"/>
    <m/>
    <m/>
    <s v="Placed"/>
    <m/>
    <n v="787500"/>
    <n v="787500"/>
    <n v="0"/>
    <n v="0"/>
    <n v="0"/>
    <n v="0"/>
    <n v="0"/>
    <n v="0"/>
    <n v="0"/>
    <n v="0"/>
    <n v="0"/>
    <n v="1575000"/>
    <n v="0"/>
    <n v="0"/>
    <n v="0"/>
    <n v="0"/>
    <n v="0"/>
    <n v="0"/>
    <n v="0"/>
    <n v="0"/>
    <m/>
    <m/>
    <m/>
    <m/>
    <n v="0"/>
    <m/>
    <m/>
    <m/>
    <n v="0"/>
    <n v="0"/>
    <s v="this machine will be replaced by demo 8800050621 serial no 0031-x2-230818/in working condition"/>
    <n v="1575000"/>
    <x v="26"/>
    <n v="92647.058823529413"/>
    <n v="2779283"/>
    <n v="-301102.9411764706"/>
    <x v="1"/>
    <n v="-17711.937716262975"/>
    <n v="0.4"/>
    <n v="630000"/>
    <n v="0.4"/>
  </r>
  <r>
    <s v="Humayun Patel"/>
    <s v="Jahangir Jalil"/>
    <x v="7"/>
    <x v="15"/>
    <n v="15002673"/>
    <s v="Urine Analyzer"/>
    <n v="3002000077"/>
    <s v="N/A"/>
    <s v="39-X2-100918"/>
    <s v="29.09.2023"/>
    <s v="24.10.2023"/>
    <s v="24.10.2023"/>
    <s v="In process"/>
    <m/>
    <x v="0"/>
    <x v="0"/>
    <s v="Karachi"/>
    <n v="3020000734"/>
    <x v="45"/>
    <s v="N/A"/>
    <s v="Hyder Buksh Gabol Road,Safora Chowrangi,Karachi"/>
    <s v="0345-2411026, 081-2664461"/>
    <s v="saifur.rehman@mhef.edu.pk"/>
    <s v="1414406-9"/>
    <m/>
    <n v="3393744"/>
    <n v="37"/>
    <n v="469938"/>
    <m/>
    <m/>
    <m/>
    <m/>
    <m/>
    <m/>
    <x v="0"/>
    <x v="0"/>
    <m/>
    <m/>
    <m/>
    <m/>
    <m/>
    <m/>
    <m/>
    <m/>
    <s v="supplies isnt avaiable "/>
    <s v="PO pending is in hand  0.2 M order in Hand "/>
    <s v="Six month machine was not operational. Now it is operational and sales will increase in two months time"/>
    <m/>
    <m/>
    <m/>
    <m/>
    <m/>
    <m/>
    <m/>
    <s v="behind track need followup"/>
    <s v="follow up done it will be on track "/>
    <m/>
    <s v="Placed"/>
    <n v="411080"/>
    <n v="347580"/>
    <n v="436720"/>
    <n v="0"/>
    <n v="347580"/>
    <n v="0"/>
    <n v="264220"/>
    <n v="146220"/>
    <n v="0"/>
    <n v="156500"/>
    <n v="183000"/>
    <n v="335000.8"/>
    <n v="2627900.7999999998"/>
    <n v="83360"/>
    <n v="298656"/>
    <n v="282609"/>
    <n v="0"/>
    <n v="189351.6"/>
    <n v="496284"/>
    <n v="365316"/>
    <n v="328566"/>
    <n v="432881"/>
    <m/>
    <n v="335396"/>
    <m/>
    <n v="2812419.6"/>
    <n v="165306"/>
    <n v="243590"/>
    <n v="158203.20000000001"/>
    <n v="567099.19999999995"/>
    <n v="225623.8"/>
    <m/>
    <n v="6007419.6000000006"/>
    <x v="19"/>
    <n v="171640.56000000003"/>
    <n v="990776.15999999968"/>
    <n v="-298297.43999999994"/>
    <x v="1"/>
    <n v="-8522.7839999999978"/>
    <n v="0.4"/>
    <n v="2402967.8400000003"/>
    <n v="0.4"/>
  </r>
  <r>
    <s v="Imran Rana"/>
    <s v="Hammad Noor"/>
    <x v="1"/>
    <x v="8"/>
    <n v="15002463"/>
    <s v="Clinical Chemistry"/>
    <s v="AR # 300236"/>
    <m/>
    <s v="24-5006"/>
    <m/>
    <m/>
    <s v="2.10.2025"/>
    <m/>
    <m/>
    <x v="0"/>
    <x v="1"/>
    <s v="Lahore"/>
    <n v="3020000736"/>
    <x v="46"/>
    <m/>
    <s v="opp eye ward, Mayo Hospital Rd, data ganj buksh town lahore"/>
    <s v="0345-0439404"/>
    <s v="info@kemu.edu.pk"/>
    <s v="9021032-8"/>
    <m/>
    <n v="7091000"/>
    <n v="37"/>
    <n v="510888"/>
    <m/>
    <m/>
    <m/>
    <m/>
    <m/>
    <m/>
    <x v="0"/>
    <x v="0"/>
    <m/>
    <m/>
    <m/>
    <m/>
    <m/>
    <m/>
    <m/>
    <m/>
    <m/>
    <m/>
    <m/>
    <m/>
    <m/>
    <m/>
    <m/>
    <m/>
    <m/>
    <m/>
    <s v="on Track"/>
    <s v="one time order (no monthly sales) - new tender expected in June"/>
    <n v="1"/>
    <s v="Placed"/>
    <m/>
    <m/>
    <m/>
    <m/>
    <m/>
    <m/>
    <m/>
    <m/>
    <m/>
    <m/>
    <m/>
    <m/>
    <n v="0"/>
    <n v="3051906"/>
    <n v="0"/>
    <n v="8509108"/>
    <n v="0"/>
    <n v="0"/>
    <n v="0"/>
    <n v="0"/>
    <n v="0"/>
    <n v="0"/>
    <n v="0"/>
    <n v="0"/>
    <m/>
    <n v="11561014"/>
    <n v="0"/>
    <n v="0"/>
    <n v="0"/>
    <n v="0"/>
    <n v="0"/>
    <m/>
    <n v="11561014"/>
    <x v="3"/>
    <n v="1284557.111111111"/>
    <n v="1888543.7000000002"/>
    <n v="773669.11111111101"/>
    <x v="9"/>
    <n v="85963.234567901221"/>
    <n v="0.45"/>
    <n v="5202456.3"/>
    <n v="0.45"/>
  </r>
  <r>
    <s v="Imran Rana"/>
    <s v="Hammad Noor"/>
    <x v="3"/>
    <x v="5"/>
    <n v="15001967"/>
    <s v="Hematology"/>
    <s v="AR # 300235"/>
    <m/>
    <n v="123216"/>
    <m/>
    <m/>
    <s v="10.02.2025"/>
    <m/>
    <m/>
    <x v="0"/>
    <x v="1"/>
    <s v="Lahore"/>
    <n v="3020000736"/>
    <x v="46"/>
    <m/>
    <s v="opp eye ward, Mayo Hospital Rd, data ganj buksh town lahore"/>
    <s v="0345-0439404"/>
    <s v="info@kemu.edu.pk"/>
    <s v="9021032-8"/>
    <m/>
    <n v="1197250"/>
    <n v="29"/>
    <n v="247788"/>
    <m/>
    <m/>
    <m/>
    <m/>
    <m/>
    <m/>
    <x v="0"/>
    <x v="0"/>
    <m/>
    <m/>
    <m/>
    <m/>
    <m/>
    <m/>
    <m/>
    <m/>
    <m/>
    <m/>
    <m/>
    <m/>
    <m/>
    <m/>
    <m/>
    <m/>
    <m/>
    <m/>
    <s v="Behind track"/>
    <s v="one time order (no monthly sales) - new tender expected in June"/>
    <n v="1"/>
    <s v="Placed"/>
    <m/>
    <m/>
    <m/>
    <m/>
    <m/>
    <m/>
    <m/>
    <m/>
    <m/>
    <m/>
    <m/>
    <m/>
    <n v="0"/>
    <n v="2973746"/>
    <n v="0"/>
    <n v="0"/>
    <n v="0"/>
    <n v="0"/>
    <n v="0"/>
    <n v="0"/>
    <n v="0"/>
    <n v="0"/>
    <n v="0"/>
    <n v="0"/>
    <n v="0"/>
    <n v="2973746"/>
    <n v="0"/>
    <n v="0"/>
    <n v="0"/>
    <n v="0"/>
    <n v="0"/>
    <m/>
    <n v="2973746"/>
    <x v="3"/>
    <n v="330416.22222222225"/>
    <n v="7751.5999999998603"/>
    <n v="82628.222222222248"/>
    <x v="9"/>
    <n v="9180.9135802469173"/>
    <n v="0.4"/>
    <n v="1189498.4000000001"/>
    <n v="0.4"/>
  </r>
  <r>
    <s v="Imran Rana"/>
    <s v="Hammad Noor"/>
    <x v="3"/>
    <x v="5"/>
    <n v="15001967"/>
    <s v="Hematology "/>
    <s v="AR # 300406"/>
    <m/>
    <n v="125199"/>
    <m/>
    <m/>
    <s v="19.08.2025"/>
    <m/>
    <s v="backup"/>
    <x v="2"/>
    <x v="1"/>
    <s v="Lahore"/>
    <n v="3020000736"/>
    <x v="46"/>
    <m/>
    <m/>
    <m/>
    <m/>
    <m/>
    <m/>
    <n v="1197250"/>
    <n v="37"/>
    <n v="217071"/>
    <m/>
    <m/>
    <m/>
    <m/>
    <m/>
    <m/>
    <x v="0"/>
    <x v="0"/>
    <m/>
    <m/>
    <m/>
    <m/>
    <m/>
    <m/>
    <m/>
    <m/>
    <m/>
    <m/>
    <m/>
    <m/>
    <m/>
    <m/>
    <m/>
    <m/>
    <m/>
    <m/>
    <s v="New Installation"/>
    <s v="one time order (no monthly sales) - new tender expected in June"/>
    <n v="1"/>
    <s v="Placed"/>
    <m/>
    <m/>
    <m/>
    <m/>
    <m/>
    <m/>
    <m/>
    <m/>
    <m/>
    <m/>
    <m/>
    <m/>
    <n v="0"/>
    <m/>
    <m/>
    <m/>
    <m/>
    <m/>
    <m/>
    <m/>
    <m/>
    <m/>
    <m/>
    <m/>
    <m/>
    <n v="0"/>
    <n v="0"/>
    <n v="0"/>
    <n v="0"/>
    <n v="0"/>
    <n v="0"/>
    <m/>
    <n v="0"/>
    <x v="9"/>
    <e v="#DIV/0!"/>
    <m/>
    <e v="#DIV/0!"/>
    <x v="2"/>
    <e v="#DIV/0!"/>
    <m/>
    <n v="0"/>
    <n v="0"/>
  </r>
  <r>
    <s v="Imran Rana"/>
    <s v="Hammad Noor"/>
    <x v="3"/>
    <x v="5"/>
    <n v="15001967"/>
    <s v="Hematology"/>
    <n v="3002000095"/>
    <m/>
    <n v="123220"/>
    <m/>
    <m/>
    <s v="25.04.2025"/>
    <s v="Not Available"/>
    <m/>
    <x v="0"/>
    <x v="1"/>
    <s v="Faisalabad"/>
    <n v="3020000753"/>
    <x v="47"/>
    <s v="N/A"/>
    <s v="GC university jhung road, new campus punjab, Faisalabad"/>
    <s v="041-9203055"/>
    <s v="chfsdpk@gmail.com"/>
    <s v="9020784-3"/>
    <m/>
    <n v="1000000"/>
    <n v="27"/>
    <n v="60135"/>
    <m/>
    <m/>
    <m/>
    <m/>
    <m/>
    <m/>
    <x v="0"/>
    <x v="0"/>
    <m/>
    <m/>
    <m/>
    <m/>
    <m/>
    <m/>
    <m/>
    <m/>
    <m/>
    <m/>
    <m/>
    <m/>
    <m/>
    <m/>
    <m/>
    <m/>
    <m/>
    <m/>
    <s v="Pull BAck"/>
    <s v="Pull back by April 30"/>
    <n v="1"/>
    <s v="Placed"/>
    <m/>
    <m/>
    <m/>
    <m/>
    <m/>
    <m/>
    <m/>
    <m/>
    <m/>
    <m/>
    <n v="343814"/>
    <m/>
    <n v="343814"/>
    <n v="687627"/>
    <n v="0"/>
    <n v="0"/>
    <n v="311017"/>
    <n v="0"/>
    <n v="0"/>
    <n v="212627.11"/>
    <n v="0"/>
    <n v="0"/>
    <m/>
    <m/>
    <m/>
    <n v="1211271.1099999999"/>
    <n v="0"/>
    <n v="0"/>
    <n v="0"/>
    <n v="0"/>
    <n v="0"/>
    <m/>
    <n v="1555085.1099999999"/>
    <x v="12"/>
    <n v="141371.37363636363"/>
    <n v="377965.95600000001"/>
    <n v="81236.373636363627"/>
    <x v="0"/>
    <n v="7385.1248760330573"/>
    <n v="0.4"/>
    <n v="622034.04399999999"/>
    <n v="0.4"/>
  </r>
  <r>
    <s v="Waqar wazir"/>
    <s v="Hammad Noor"/>
    <x v="0"/>
    <x v="12"/>
    <n v="15002553"/>
    <s v="Immunoassay"/>
    <s v="AR # 300294"/>
    <s v="Transferred from demo"/>
    <s v="ID00152044"/>
    <m/>
    <m/>
    <s v="26.03.2025"/>
    <m/>
    <m/>
    <x v="0"/>
    <x v="2"/>
    <s v="Rawalpindi"/>
    <n v="3020000764"/>
    <x v="48"/>
    <m/>
    <s v="Kashmir Gate Plaza Opp, Benazir Bhutto Hospital Murree Road, Punjab"/>
    <s v="0321-5330543 &amp; 051-4455204"/>
    <s v="dmadeemikram@gmail.com"/>
    <m/>
    <s v="37405-8526258-7"/>
    <n v="2915000"/>
    <n v="32"/>
    <n v="305347"/>
    <m/>
    <m/>
    <m/>
    <m/>
    <m/>
    <m/>
    <x v="0"/>
    <x v="0"/>
    <m/>
    <m/>
    <m/>
    <m/>
    <m/>
    <m/>
    <m/>
    <m/>
    <m/>
    <m/>
    <m/>
    <m/>
    <m/>
    <m/>
    <m/>
    <m/>
    <m/>
    <m/>
    <s v="Behind Track "/>
    <s v="over due issue, follow up needed Waqar"/>
    <n v="1"/>
    <s v="Placed"/>
    <m/>
    <m/>
    <m/>
    <m/>
    <m/>
    <m/>
    <m/>
    <m/>
    <m/>
    <m/>
    <m/>
    <m/>
    <n v="0"/>
    <n v="248200"/>
    <n v="76800"/>
    <n v="332400"/>
    <n v="0"/>
    <n v="0"/>
    <n v="184400"/>
    <n v="129400"/>
    <n v="0"/>
    <n v="179500"/>
    <n v="17500"/>
    <n v="75800"/>
    <n v="348380"/>
    <n v="1592380"/>
    <n v="0"/>
    <n v="0"/>
    <n v="0"/>
    <n v="0"/>
    <n v="73613.333333333328"/>
    <m/>
    <n v="1592380"/>
    <x v="2"/>
    <n v="106158.66666666667"/>
    <n v="2278048"/>
    <n v="-1222032.6666666667"/>
    <x v="1"/>
    <n v="-81468.844444444447"/>
    <n v="0.4"/>
    <n v="636952"/>
    <n v="0.4"/>
  </r>
  <r>
    <s v="Abdul Moeed"/>
    <s v="Jahangir Jalil"/>
    <x v="2"/>
    <x v="20"/>
    <n v="15002758"/>
    <s v="Immunoassay"/>
    <n v="3002000026"/>
    <s v="N/A"/>
    <n v="36001150"/>
    <s v="17.05.2023"/>
    <s v="13.04.2023"/>
    <s v="13.04.2023"/>
    <s v="Available"/>
    <m/>
    <x v="6"/>
    <x v="1"/>
    <s v="Lahore"/>
    <n v="3020000771"/>
    <x v="49"/>
    <s v="Govt. Hospital_x0009_"/>
    <s v="Ferozepur Road, Lahore"/>
    <s v="042-99230312"/>
    <s v="gulabdevi@hotmail.com"/>
    <s v="4022666-2"/>
    <m/>
    <n v="16350883"/>
    <n v="28"/>
    <n v="1316953"/>
    <m/>
    <m/>
    <m/>
    <m/>
    <s v="stock unavailable"/>
    <m/>
    <x v="10"/>
    <x v="12"/>
    <s v="Waiting for Inventory &amp; then invoice execution "/>
    <m/>
    <s v="New PO has been generated ,waiting for shipment "/>
    <s v="Waiting for Invoice "/>
    <m/>
    <s v="Waiting for Invoice "/>
    <s v="One po is in proceeded and waiting for another new order"/>
    <m/>
    <m/>
    <m/>
    <s v="we are re-negotiating the contract - going to place vitros ECIQ due to multiple issues with vitros 3600 "/>
    <m/>
    <s v="Revised case"/>
    <m/>
    <m/>
    <m/>
    <m/>
    <m/>
    <s v="Pull Back to WH"/>
    <m/>
    <m/>
    <s v="Closed"/>
    <n v="173231"/>
    <n v="154319"/>
    <n v="0"/>
    <n v="474372"/>
    <n v="0"/>
    <n v="0"/>
    <n v="83518"/>
    <n v="207188"/>
    <n v="329913"/>
    <n v="0"/>
    <n v="223703"/>
    <n v="267777"/>
    <n v="1914021"/>
    <n v="0"/>
    <n v="-114525"/>
    <n v="-376955"/>
    <n v="0"/>
    <n v="0"/>
    <n v="0"/>
    <n v="0"/>
    <n v="0"/>
    <n v="0"/>
    <n v="0"/>
    <m/>
    <m/>
    <n v="-491480"/>
    <m/>
    <m/>
    <m/>
    <n v="0"/>
    <n v="0"/>
    <m/>
    <n v="1422541"/>
    <x v="25"/>
    <n v="54713.115384615383"/>
    <n v="15781866.6"/>
    <n v="-1262239.8846153845"/>
    <x v="1"/>
    <n v="-48547.687869822483"/>
    <n v="0.4"/>
    <n v="569016.4"/>
    <n v="0.35"/>
  </r>
  <r>
    <s v="Imran Rana"/>
    <s v="Hammad Noor"/>
    <x v="0"/>
    <x v="12"/>
    <n v="15002553"/>
    <s v="Immunoassay"/>
    <n v="3002000106"/>
    <s v="Transferred from demo"/>
    <s v="ID00175547"/>
    <m/>
    <m/>
    <s v="13.05.2025"/>
    <m/>
    <m/>
    <x v="0"/>
    <x v="1"/>
    <s v="Lahore"/>
    <n v="3020000771"/>
    <x v="50"/>
    <m/>
    <s v="Near Children Hospital Ferozepur Road, Punjab"/>
    <s v="0345-4281596 &amp; 042-99230247"/>
    <s v="gulabdevi@hotmail.com"/>
    <s v="4022666-2"/>
    <m/>
    <n v="2615000"/>
    <n v="36"/>
    <n v="124814"/>
    <m/>
    <m/>
    <m/>
    <m/>
    <m/>
    <m/>
    <x v="0"/>
    <x v="0"/>
    <m/>
    <m/>
    <m/>
    <m/>
    <m/>
    <m/>
    <m/>
    <m/>
    <m/>
    <m/>
    <m/>
    <m/>
    <m/>
    <m/>
    <m/>
    <m/>
    <m/>
    <m/>
    <s v="on Track"/>
    <s v="on Track"/>
    <n v="1"/>
    <s v="Placed"/>
    <m/>
    <m/>
    <m/>
    <m/>
    <m/>
    <m/>
    <m/>
    <m/>
    <m/>
    <m/>
    <m/>
    <m/>
    <n v="0"/>
    <m/>
    <m/>
    <m/>
    <m/>
    <n v="527997"/>
    <n v="0"/>
    <n v="0"/>
    <n v="411462"/>
    <n v="0"/>
    <m/>
    <n v="328080"/>
    <m/>
    <n v="1267539"/>
    <n v="337476"/>
    <n v="0"/>
    <n v="0"/>
    <n v="337476"/>
    <n v="166389"/>
    <m/>
    <n v="1605015"/>
    <x v="10"/>
    <n v="200626.875"/>
    <n v="1972994"/>
    <n v="-404240"/>
    <x v="1"/>
    <n v="-50530"/>
    <n v="0.4"/>
    <n v="642006"/>
    <n v="0.4"/>
  </r>
  <r>
    <s v="Abdul Moeed"/>
    <s v="Jahangir Jalil"/>
    <x v="7"/>
    <x v="15"/>
    <n v="15002673"/>
    <s v="Urine Analyzer"/>
    <n v="3002000030"/>
    <s v="N/A"/>
    <s v="0034-X2-230818"/>
    <s v="29.05.2023"/>
    <s v="30.03.2023"/>
    <s v="19.05.2023"/>
    <s v="Available"/>
    <m/>
    <x v="1"/>
    <x v="1"/>
    <s v="Lahore"/>
    <n v="3020000776"/>
    <x v="51"/>
    <s v="Dr. Zeenat Hussain"/>
    <s v="34-Lawrence Road, Lahore"/>
    <s v="042-35912882"/>
    <s v="zeenatlaboratory@gmail.com_x0009_"/>
    <s v="2302878-5"/>
    <m/>
    <n v="2500000"/>
    <n v="13"/>
    <n v="643570"/>
    <m/>
    <m/>
    <m/>
    <m/>
    <s v="stock unavailable"/>
    <m/>
    <x v="10"/>
    <x v="12"/>
    <s v="Business is not as per comitment "/>
    <s v="Going to return the equipment in this month "/>
    <m/>
    <m/>
    <m/>
    <m/>
    <m/>
    <m/>
    <m/>
    <m/>
    <s v="Lab has been closed due to poor health of Dr. Zeenat. Machine will be pulled back within April"/>
    <m/>
    <s v="Returned to Warehouse "/>
    <m/>
    <m/>
    <s v="No sales after may 23"/>
    <m/>
    <m/>
    <m/>
    <m/>
    <m/>
    <m/>
    <m/>
    <m/>
    <m/>
    <m/>
    <n v="0"/>
    <m/>
    <m/>
    <m/>
    <m/>
    <m/>
    <m/>
    <m/>
    <n v="0"/>
    <m/>
    <m/>
    <m/>
    <m/>
    <m/>
    <m/>
    <m/>
    <m/>
    <m/>
    <m/>
    <m/>
    <m/>
    <n v="0"/>
    <m/>
    <m/>
    <m/>
    <n v="0"/>
    <n v="0"/>
    <s v="pulled back due to a fault. Placed at lahore warehouse"/>
    <n v="0"/>
    <x v="20"/>
    <n v="0"/>
    <n v="2500000"/>
    <n v="-643570"/>
    <x v="10"/>
    <n v="-53630.833333333336"/>
    <n v="0.4"/>
    <n v="0"/>
    <n v="0.4"/>
  </r>
  <r>
    <s v="Daniyal Khurshid"/>
    <s v="Jahangir Jalil"/>
    <x v="7"/>
    <x v="16"/>
    <n v="15002674"/>
    <s v="Electrolyte Analyzer"/>
    <m/>
    <m/>
    <m/>
    <m/>
    <m/>
    <s v="12.09.2025"/>
    <m/>
    <m/>
    <x v="0"/>
    <x v="0"/>
    <s v="Karachi"/>
    <n v="3020000811"/>
    <x v="52"/>
    <m/>
    <m/>
    <m/>
    <m/>
    <m/>
    <m/>
    <n v="593821"/>
    <n v="18"/>
    <n v="80770"/>
    <m/>
    <m/>
    <m/>
    <m/>
    <m/>
    <m/>
    <x v="0"/>
    <x v="0"/>
    <m/>
    <m/>
    <m/>
    <m/>
    <m/>
    <m/>
    <m/>
    <m/>
    <m/>
    <m/>
    <m/>
    <m/>
    <m/>
    <m/>
    <m/>
    <m/>
    <m/>
    <m/>
    <s v="Pull Back check with WH"/>
    <s v="Pull Back check with Nasir"/>
    <n v="1"/>
    <m/>
    <m/>
    <m/>
    <m/>
    <m/>
    <m/>
    <m/>
    <m/>
    <m/>
    <m/>
    <m/>
    <m/>
    <m/>
    <n v="0"/>
    <m/>
    <m/>
    <m/>
    <m/>
    <m/>
    <m/>
    <m/>
    <m/>
    <n v="112700"/>
    <m/>
    <m/>
    <m/>
    <n v="112700"/>
    <n v="0"/>
    <n v="0"/>
    <n v="0"/>
    <n v="0"/>
    <n v="0"/>
    <m/>
    <n v="112700"/>
    <x v="13"/>
    <n v="28175"/>
    <m/>
    <n v="-52595"/>
    <x v="2"/>
    <n v="-13148.75"/>
    <m/>
    <n v="0"/>
    <n v="0"/>
  </r>
  <r>
    <s v="Daniyal Khurshid"/>
    <s v="Jahangir Jalil"/>
    <x v="7"/>
    <x v="21"/>
    <n v="15002671"/>
    <s v="Urine Analyzer"/>
    <m/>
    <m/>
    <m/>
    <m/>
    <m/>
    <s v="12.09.2025"/>
    <m/>
    <m/>
    <x v="0"/>
    <x v="0"/>
    <s v="Karachi"/>
    <n v="3020000811"/>
    <x v="52"/>
    <m/>
    <m/>
    <m/>
    <m/>
    <m/>
    <m/>
    <n v="401644"/>
    <n v="18"/>
    <n v="42750"/>
    <m/>
    <m/>
    <m/>
    <m/>
    <m/>
    <m/>
    <x v="0"/>
    <x v="0"/>
    <m/>
    <m/>
    <m/>
    <m/>
    <m/>
    <m/>
    <m/>
    <m/>
    <m/>
    <m/>
    <m/>
    <m/>
    <m/>
    <m/>
    <m/>
    <m/>
    <m/>
    <m/>
    <s v="behind track need followup"/>
    <s v="Update by Daniyal"/>
    <n v="1"/>
    <s v="Placed"/>
    <m/>
    <m/>
    <m/>
    <m/>
    <m/>
    <m/>
    <m/>
    <m/>
    <m/>
    <m/>
    <m/>
    <m/>
    <n v="0"/>
    <m/>
    <m/>
    <m/>
    <m/>
    <m/>
    <m/>
    <m/>
    <m/>
    <n v="29500"/>
    <m/>
    <n v="20000"/>
    <m/>
    <n v="49500"/>
    <n v="0"/>
    <n v="0"/>
    <n v="0"/>
    <n v="0"/>
    <n v="5000"/>
    <m/>
    <n v="49500"/>
    <x v="14"/>
    <n v="9900"/>
    <m/>
    <n v="-32850"/>
    <x v="2"/>
    <n v="-6570"/>
    <m/>
    <n v="0"/>
    <n v="0"/>
  </r>
  <r>
    <s v="Daniyal Khurshid"/>
    <s v="Jahangir Jalil"/>
    <x v="4"/>
    <x v="22"/>
    <n v="15003000"/>
    <s v="coagulation"/>
    <m/>
    <m/>
    <m/>
    <m/>
    <m/>
    <s v="12.09.2025"/>
    <m/>
    <m/>
    <x v="1"/>
    <x v="0"/>
    <s v="Karachi"/>
    <n v="3020000811"/>
    <x v="52"/>
    <m/>
    <m/>
    <m/>
    <m/>
    <m/>
    <m/>
    <n v="823735"/>
    <n v="17"/>
    <n v="114156"/>
    <m/>
    <m/>
    <m/>
    <m/>
    <m/>
    <m/>
    <x v="0"/>
    <x v="0"/>
    <m/>
    <m/>
    <m/>
    <m/>
    <m/>
    <m/>
    <m/>
    <m/>
    <m/>
    <m/>
    <m/>
    <m/>
    <m/>
    <m/>
    <m/>
    <m/>
    <m/>
    <m/>
    <s v="Ned to be checked with WH"/>
    <m/>
    <m/>
    <m/>
    <m/>
    <m/>
    <m/>
    <m/>
    <m/>
    <m/>
    <m/>
    <m/>
    <m/>
    <m/>
    <m/>
    <m/>
    <n v="0"/>
    <m/>
    <m/>
    <m/>
    <m/>
    <m/>
    <m/>
    <m/>
    <m/>
    <n v="187800"/>
    <n v="28500"/>
    <m/>
    <m/>
    <n v="216300"/>
    <m/>
    <m/>
    <m/>
    <n v="0"/>
    <n v="28500"/>
    <m/>
    <n v="216300"/>
    <x v="13"/>
    <n v="54075"/>
    <m/>
    <n v="-60081"/>
    <x v="2"/>
    <n v="-15020.25"/>
    <m/>
    <n v="0"/>
    <n v="0"/>
  </r>
  <r>
    <s v="Imran Rana"/>
    <s v="Hammad Noor"/>
    <x v="0"/>
    <x v="12"/>
    <n v="15002553"/>
    <s v="Immunoassay"/>
    <n v="3002000029"/>
    <s v="N/A"/>
    <s v="ID00030225"/>
    <s v="27.01.2023"/>
    <s v="01.11.2023"/>
    <s v="27.02.2023"/>
    <s v="Available"/>
    <m/>
    <x v="0"/>
    <x v="1"/>
    <s v="Lahore"/>
    <n v="3020000816"/>
    <x v="53"/>
    <s v="Dr. Anwar Masood"/>
    <s v="99-Garden Block, Garden Town, Lahore"/>
    <s v="042-111627663"/>
    <s v="info@masoodhospital.com"/>
    <s v="1520150-3"/>
    <m/>
    <n v="1962000"/>
    <n v="10"/>
    <n v="458397"/>
    <m/>
    <m/>
    <s v="Sales on track"/>
    <s v="Stock unavailable, although invoiced "/>
    <s v="stock unavailable"/>
    <s v="0.5 Mio invioce has been recieved in july "/>
    <x v="11"/>
    <x v="13"/>
    <s v="600,000 order Received "/>
    <s v="Started new parameters businesss gap will be mitigate in next three months "/>
    <m/>
    <m/>
    <m/>
    <m/>
    <m/>
    <m/>
    <m/>
    <m/>
    <s v="Sales are on track"/>
    <m/>
    <m/>
    <m/>
    <m/>
    <m/>
    <m/>
    <m/>
    <s v="Behind Track Followup"/>
    <s v="Need follow up Imran Rana"/>
    <n v="1"/>
    <s v="Placed"/>
    <n v="138967.22"/>
    <n v="548950.83000000007"/>
    <n v="135622.95000000001"/>
    <n v="473500"/>
    <n v="99000"/>
    <n v="513500"/>
    <n v="290983.63"/>
    <n v="76229.52"/>
    <n v="696041.02"/>
    <n v="485140"/>
    <n v="0"/>
    <n v="428696.75"/>
    <n v="3886631.92"/>
    <n v="403811.49999999994"/>
    <n v="0"/>
    <n v="449950.73"/>
    <n v="567279"/>
    <n v="0"/>
    <n v="49500"/>
    <n v="0"/>
    <n v="258483.59"/>
    <n v="0"/>
    <n v="87516"/>
    <n v="57000"/>
    <m/>
    <n v="1873540.82"/>
    <n v="21000"/>
    <n v="79754"/>
    <m/>
    <n v="100754"/>
    <n v="61317.5"/>
    <m/>
    <n v="5860926.7400000002"/>
    <x v="16"/>
    <n v="172380.19823529411"/>
    <n v="-382370.696"/>
    <n v="-286016.80176470592"/>
    <x v="1"/>
    <n v="-8412.2588754325261"/>
    <n v="0.4"/>
    <n v="2344370.696"/>
    <n v="0.4"/>
  </r>
  <r>
    <s v="Abdul Moeed"/>
    <s v="Jahangir Jalil"/>
    <x v="6"/>
    <x v="23"/>
    <n v="15002705"/>
    <s v="Arterial Blood Gas Analyzer"/>
    <s v="AR # 300287"/>
    <m/>
    <s v="P079240350C"/>
    <m/>
    <m/>
    <s v="14.05.2025"/>
    <m/>
    <m/>
    <x v="0"/>
    <x v="1"/>
    <s v="Lahore"/>
    <n v="3020000823"/>
    <x v="54"/>
    <m/>
    <s v="Band road, GT road, bhurki road link, Jallo more, Punjab"/>
    <s v="0304-4029935"/>
    <s v="hr@ghurkitrust.org.pk"/>
    <s v="1801763-7"/>
    <m/>
    <n v="2164000"/>
    <n v="27"/>
    <n v="292900"/>
    <m/>
    <m/>
    <m/>
    <m/>
    <m/>
    <m/>
    <x v="0"/>
    <x v="0"/>
    <m/>
    <m/>
    <m/>
    <m/>
    <m/>
    <m/>
    <m/>
    <m/>
    <m/>
    <m/>
    <m/>
    <m/>
    <m/>
    <m/>
    <m/>
    <m/>
    <m/>
    <m/>
    <s v="behind track need followup"/>
    <s v="will be on track"/>
    <n v="1"/>
    <s v="Placed"/>
    <m/>
    <m/>
    <m/>
    <m/>
    <m/>
    <m/>
    <m/>
    <m/>
    <m/>
    <m/>
    <m/>
    <m/>
    <n v="0"/>
    <m/>
    <m/>
    <m/>
    <m/>
    <n v="0"/>
    <n v="382700"/>
    <n v="0"/>
    <n v="247700"/>
    <n v="495400"/>
    <m/>
    <n v="357700"/>
    <n v="135000"/>
    <n v="1618500"/>
    <n v="225400"/>
    <n v="0"/>
    <n v="247700"/>
    <n v="473100"/>
    <n v="193160"/>
    <m/>
    <n v="2091600"/>
    <x v="10"/>
    <n v="261450"/>
    <n v="1641100"/>
    <n v="-31450"/>
    <x v="0"/>
    <n v="-3931.25"/>
    <n v="0.25"/>
    <n v="522900"/>
    <n v="0.25"/>
  </r>
  <r>
    <s v="Imran Rana"/>
    <s v="Hammad Noor"/>
    <x v="5"/>
    <x v="7"/>
    <n v="15003243"/>
    <s v="Hematology "/>
    <n v="3002000094"/>
    <m/>
    <s v="DM11052408003"/>
    <m/>
    <s v="12.07.2024"/>
    <s v="4.25.2025"/>
    <s v="Available"/>
    <m/>
    <x v="4"/>
    <x v="1"/>
    <s v="Lahore"/>
    <n v="3020000823"/>
    <x v="54"/>
    <m/>
    <s v="Band road, GT road, bhurki road link, Jallo more, Punjab"/>
    <s v="0304-4029935"/>
    <s v="hr@ghurkitrust.org.pk"/>
    <s v="1801763-7"/>
    <m/>
    <n v="2324427"/>
    <n v="18"/>
    <n v="166828"/>
    <m/>
    <m/>
    <m/>
    <m/>
    <m/>
    <m/>
    <x v="0"/>
    <x v="0"/>
    <m/>
    <m/>
    <m/>
    <m/>
    <m/>
    <m/>
    <m/>
    <m/>
    <m/>
    <m/>
    <e v="#N/A"/>
    <m/>
    <m/>
    <m/>
    <m/>
    <m/>
    <m/>
    <m/>
    <s v="Supply issue due to DRAP registration followup"/>
    <s v="Supply issue due to DRAP registration followup"/>
    <m/>
    <s v="Placed"/>
    <m/>
    <m/>
    <m/>
    <m/>
    <m/>
    <m/>
    <m/>
    <n v="88500"/>
    <n v="0"/>
    <n v="91500"/>
    <n v="0"/>
    <n v="115500"/>
    <n v="295500"/>
    <n v="0"/>
    <n v="0"/>
    <n v="0"/>
    <n v="0"/>
    <n v="0"/>
    <n v="0"/>
    <n v="0"/>
    <n v="0"/>
    <n v="0"/>
    <m/>
    <m/>
    <m/>
    <n v="0"/>
    <m/>
    <m/>
    <m/>
    <n v="0"/>
    <n v="0"/>
    <m/>
    <n v="295500"/>
    <x v="27"/>
    <n v="22730.76923076923"/>
    <n v="2206227"/>
    <n v="-144097.23076923078"/>
    <x v="1"/>
    <n v="-11084.402366863906"/>
    <n v="0.4"/>
    <n v="118200"/>
    <n v="0.4"/>
  </r>
  <r>
    <s v="Humayun Patel"/>
    <s v="Jahangir Jalil"/>
    <x v="4"/>
    <x v="6"/>
    <n v="15003000"/>
    <s v="Coagulation Analyzer"/>
    <n v="3002000069"/>
    <m/>
    <n v="1588"/>
    <m/>
    <m/>
    <s v="05.01.2024"/>
    <s v="Available"/>
    <m/>
    <x v="0"/>
    <x v="0"/>
    <s v="Karachi"/>
    <n v="3020000845"/>
    <x v="55"/>
    <m/>
    <s v="Rafique Shaheed Road, Near Jinnah Post Graduate Medical Center Karachi"/>
    <s v="0308-2343292,  021-99201261"/>
    <s v="sairaerum696@gmail.com"/>
    <s v="9031234-4"/>
    <m/>
    <n v="5459835"/>
    <n v="37"/>
    <n v="742864"/>
    <m/>
    <m/>
    <m/>
    <m/>
    <m/>
    <m/>
    <x v="0"/>
    <x v="0"/>
    <m/>
    <m/>
    <m/>
    <m/>
    <m/>
    <m/>
    <m/>
    <m/>
    <m/>
    <m/>
    <e v="#N/A"/>
    <m/>
    <m/>
    <m/>
    <m/>
    <s v="Will be placed"/>
    <m/>
    <m/>
    <s v="on Track"/>
    <s v="Quarterly Sales - expected April"/>
    <n v="1"/>
    <s v="Placed"/>
    <m/>
    <m/>
    <m/>
    <m/>
    <m/>
    <m/>
    <m/>
    <m/>
    <m/>
    <n v="479000"/>
    <n v="0"/>
    <n v="977400"/>
    <n v="1456400"/>
    <n v="0"/>
    <n v="0"/>
    <n v="673200"/>
    <n v="0"/>
    <n v="852100"/>
    <n v="0"/>
    <n v="1357800"/>
    <n v="-160800"/>
    <n v="0"/>
    <m/>
    <m/>
    <n v="5229900"/>
    <n v="7952200"/>
    <n v="0"/>
    <n v="0"/>
    <n v="0"/>
    <n v="0"/>
    <n v="1307475"/>
    <m/>
    <n v="9408600"/>
    <x v="27"/>
    <n v="723738.4615384615"/>
    <n v="1696395"/>
    <n v="-19125.538461538497"/>
    <x v="1"/>
    <n v="-1471.1952662721922"/>
    <n v="0.4"/>
    <n v="3763440"/>
    <n v="0.4"/>
  </r>
  <r>
    <s v="Shagufta Anthony "/>
    <s v="Jahangir Jalil"/>
    <x v="6"/>
    <x v="24"/>
    <n v="15002705"/>
    <s v="Arterial Blood Gas Analyzer"/>
    <n v="3002000079"/>
    <m/>
    <s v="P072230210C"/>
    <m/>
    <m/>
    <s v="27.08.2024"/>
    <s v="Not Available"/>
    <m/>
    <x v="0"/>
    <x v="2"/>
    <s v="Islamabad"/>
    <n v="3020000881"/>
    <x v="56"/>
    <m/>
    <s v="Main Murree Road, 17 Mile, Barakahu, Capital Territory Islamabad"/>
    <s v="051-8153000, 0333-5233390"/>
    <s v="shafique.abbasi@imdcollege.edu.pk"/>
    <s v="4694571-5"/>
    <s v="N/A"/>
    <n v="2120000"/>
    <n v="28"/>
    <n v="270000"/>
    <m/>
    <m/>
    <m/>
    <m/>
    <m/>
    <m/>
    <x v="0"/>
    <x v="0"/>
    <m/>
    <m/>
    <m/>
    <m/>
    <m/>
    <m/>
    <m/>
    <m/>
    <m/>
    <m/>
    <e v="#N/A"/>
    <m/>
    <m/>
    <m/>
    <m/>
    <m/>
    <m/>
    <m/>
    <s v="Behind track"/>
    <s v="workload decrease, Pull back by 10 May"/>
    <n v="1"/>
    <s v="Placed"/>
    <m/>
    <m/>
    <m/>
    <m/>
    <m/>
    <m/>
    <m/>
    <m/>
    <m/>
    <m/>
    <n v="270000"/>
    <n v="100000"/>
    <n v="370000"/>
    <n v="710000"/>
    <n v="270000"/>
    <n v="0"/>
    <n v="0"/>
    <n v="0"/>
    <n v="345000"/>
    <n v="270000"/>
    <n v="270000"/>
    <n v="270000"/>
    <m/>
    <m/>
    <n v="569000"/>
    <n v="2704000"/>
    <n v="0"/>
    <n v="170000"/>
    <m/>
    <n v="170000"/>
    <n v="246333.33333333334"/>
    <m/>
    <n v="3244000"/>
    <x v="20"/>
    <n v="270333.33333333331"/>
    <n v="1309000"/>
    <n v="333.33333333331393"/>
    <x v="1"/>
    <n v="27.777777777776162"/>
    <n v="0.25"/>
    <n v="811000"/>
    <n v="0.25"/>
  </r>
  <r>
    <s v="Shagufta Anthony "/>
    <s v="Jahangir Jalil"/>
    <x v="4"/>
    <x v="6"/>
    <n v="15003000"/>
    <s v="Coagulation Analyzer"/>
    <n v="3002000101"/>
    <m/>
    <n v="1613"/>
    <m/>
    <m/>
    <s v="14.05.2025"/>
    <m/>
    <m/>
    <x v="0"/>
    <x v="2"/>
    <s v="Islamabad"/>
    <n v="3020000881"/>
    <x v="56"/>
    <m/>
    <s v="Main Murree Road, 17 Mile, Barakahu, Capital Territory Islamabad"/>
    <s v="051-8153000, 0333-5233390"/>
    <s v="shafique.abbasi@imdcollege.edu.pk"/>
    <s v="4694571-5"/>
    <s v="N/A"/>
    <n v="3592655"/>
    <n v="36"/>
    <n v="314974"/>
    <m/>
    <m/>
    <m/>
    <m/>
    <m/>
    <m/>
    <x v="0"/>
    <x v="0"/>
    <m/>
    <m/>
    <m/>
    <m/>
    <m/>
    <m/>
    <m/>
    <m/>
    <m/>
    <m/>
    <m/>
    <m/>
    <m/>
    <m/>
    <m/>
    <m/>
    <m/>
    <m/>
    <s v="on Track"/>
    <s v="will be on track, pateint decrease"/>
    <n v="1"/>
    <s v="Placed"/>
    <m/>
    <m/>
    <m/>
    <m/>
    <m/>
    <m/>
    <m/>
    <m/>
    <m/>
    <m/>
    <m/>
    <n v="234200"/>
    <n v="234200"/>
    <n v="470800"/>
    <n v="1920800"/>
    <n v="0"/>
    <n v="0"/>
    <n v="0"/>
    <n v="393800"/>
    <n v="309500"/>
    <n v="455500"/>
    <n v="0"/>
    <n v="0"/>
    <m/>
    <n v="206000"/>
    <n v="3756400"/>
    <n v="0"/>
    <n v="189000"/>
    <m/>
    <n v="189000"/>
    <n v="98750"/>
    <m/>
    <n v="4179600"/>
    <x v="20"/>
    <n v="348300"/>
    <n v="1920815"/>
    <n v="33326"/>
    <x v="0"/>
    <n v="2777.1666666666665"/>
    <n v="0.4"/>
    <n v="1671840"/>
    <n v="0.4"/>
  </r>
  <r>
    <s v="Hammad Hafeez"/>
    <s v="Hammad Noor"/>
    <x v="0"/>
    <x v="12"/>
    <n v="15002553"/>
    <s v="Immunoassay"/>
    <n v="3002000013"/>
    <s v="Machine has been returned from KKF to warehouse against asset # 3002000013 on dated 27.11.2023"/>
    <s v="ID00026724"/>
    <s v="12.08.2022"/>
    <s v="27.07.2022"/>
    <s v="08.05.2022"/>
    <s v="Available"/>
    <m/>
    <x v="1"/>
    <x v="0"/>
    <s v="Karachi"/>
    <n v="3020000888"/>
    <x v="57"/>
    <s v="Masood Ahmed Khan"/>
    <s v="179, C.P. &amp; Berar Society Cp &amp; Berar Chs, Karachi, Karachi City, Sindh"/>
    <s v="N/A"/>
    <s v="medciagnostic19@gmail.com"/>
    <s v="0944239-1"/>
    <m/>
    <n v="1700000"/>
    <n v="6"/>
    <n v="786668.28"/>
    <s v="Proper installtion has been completed in this month"/>
    <s v="YHLO reagents was not availble in stock. New order received and processed"/>
    <s v="We need to follow up from them on committed sales per month."/>
    <s v="Order hold/ Stock unavailable "/>
    <s v="YHLO kits were N/A "/>
    <s v="stock is now available so order will be placed "/>
    <x v="12"/>
    <x v="14"/>
    <s v="machine has been pulled back"/>
    <m/>
    <m/>
    <m/>
    <m/>
    <m/>
    <m/>
    <m/>
    <s v="Machine Move to Quetta"/>
    <s v="Machine Move to Quetta yaseen Hospital "/>
    <s v="Business case revision to be submitted"/>
    <m/>
    <s v="This machine was pullback and business case in under process, will be installed in quetta."/>
    <m/>
    <m/>
    <m/>
    <m/>
    <m/>
    <m/>
    <m/>
    <m/>
    <m/>
    <m/>
    <m/>
    <m/>
    <m/>
    <m/>
    <m/>
    <m/>
    <m/>
    <m/>
    <m/>
    <m/>
    <m/>
    <n v="0"/>
    <m/>
    <m/>
    <m/>
    <m/>
    <m/>
    <m/>
    <m/>
    <m/>
    <m/>
    <m/>
    <n v="0"/>
    <m/>
    <n v="0"/>
    <m/>
    <m/>
    <m/>
    <n v="0"/>
    <n v="0"/>
    <s v="Closed - No sales after Aug 23"/>
    <n v="0"/>
    <x v="28"/>
    <n v="0"/>
    <n v="1700000"/>
    <n v="-786668.28"/>
    <x v="11"/>
    <n v="-786668.28"/>
    <n v="0.4"/>
    <n v="0"/>
    <n v="0.4"/>
  </r>
  <r>
    <s v="Humayun Patel"/>
    <s v="Jahangir Jalil"/>
    <x v="2"/>
    <x v="2"/>
    <n v="15002760"/>
    <s v="Immunoassay"/>
    <n v="3002000024"/>
    <s v="N/A"/>
    <n v="30006173"/>
    <s v="01.06.2023"/>
    <s v="12.12.2022"/>
    <s v="12.12.2022"/>
    <s v="Available"/>
    <m/>
    <x v="1"/>
    <x v="0"/>
    <s v="Karachi"/>
    <n v="3020000888"/>
    <x v="58"/>
    <s v="Dr. Sheikh Abdul Ahad"/>
    <s v="St-7,Block 14,F.B Area Gulberg, Karachi"/>
    <s v="021-36323839 / 021-111222553"/>
    <s v="Not Available"/>
    <s v="4315201-5"/>
    <m/>
    <n v="9297200"/>
    <n v="31"/>
    <n v="967223"/>
    <m/>
    <m/>
    <s v="Reagents Not available"/>
    <s v="Partial items received, already processed the orders"/>
    <s v="machine out of order"/>
    <m/>
    <x v="11"/>
    <x v="13"/>
    <s v="Equipment has been functional now."/>
    <s v="Waiting to receive the PO on new prices"/>
    <s v="Revised business case has been sent to Mr, Irfan for further approvals"/>
    <s v="Order received for Sep 2023 and its on hold."/>
    <m/>
    <m/>
    <m/>
    <m/>
    <s v="M"/>
    <s v="Machine was not opperational 3 months"/>
    <s v="Business case submitted, machine was not operational due to parts arount 6 months."/>
    <m/>
    <s v="Order received, from next month customer is commited to give business of 0.7-0.8M otherwis will increase prices. right now due to non avaiablty of reagent we didnt fullfill complete PO/"/>
    <s v="Sales will be on track in coming 2 months"/>
    <m/>
    <s v="no sales in june july"/>
    <m/>
    <m/>
    <m/>
    <m/>
    <m/>
    <m/>
    <n v="422557.39"/>
    <m/>
    <m/>
    <n v="422557.39"/>
    <n v="585934.43000000005"/>
    <m/>
    <m/>
    <m/>
    <m/>
    <m/>
    <m/>
    <m/>
    <n v="1431049.21"/>
    <m/>
    <m/>
    <m/>
    <m/>
    <m/>
    <m/>
    <m/>
    <m/>
    <m/>
    <m/>
    <m/>
    <m/>
    <n v="0"/>
    <m/>
    <m/>
    <m/>
    <n v="0"/>
    <n v="0"/>
    <s v="its in warehouse"/>
    <n v="1431049.21"/>
    <x v="5"/>
    <n v="75318.37947368421"/>
    <n v="8724780.3159999996"/>
    <n v="-891904.62052631576"/>
    <x v="1"/>
    <n v="-46942.348448753459"/>
    <n v="0.4"/>
    <n v="572419.68400000001"/>
    <n v="0.35"/>
  </r>
  <r>
    <s v="Hammad Hafeez"/>
    <s v="Hammad Noor"/>
    <x v="0"/>
    <x v="12"/>
    <n v="15002553"/>
    <s v="Immunoassay"/>
    <n v="3002000060"/>
    <s v="N/A"/>
    <s v="ID00081331"/>
    <s v="13.02.2024 "/>
    <s v="Not mentioned on the agreement "/>
    <s v="02.02.2024"/>
    <s v="Not Available"/>
    <m/>
    <x v="1"/>
    <x v="0"/>
    <s v="Karachi"/>
    <n v="3020000917"/>
    <x v="59"/>
    <m/>
    <s v="Diagnostic &amp; Research Laboratory Near Civil Hospital Hirabad,HYD Sindh Jamshoro"/>
    <s v="0334-0020341"/>
    <s v="fehandio@gmail.com"/>
    <s v="9030415-2"/>
    <m/>
    <n v="2868545"/>
    <n v="19"/>
    <n v="702513"/>
    <m/>
    <m/>
    <m/>
    <m/>
    <m/>
    <m/>
    <x v="0"/>
    <x v="0"/>
    <m/>
    <m/>
    <m/>
    <m/>
    <m/>
    <m/>
    <m/>
    <m/>
    <m/>
    <m/>
    <m/>
    <m/>
    <s v="Machine was installed in feb, work load totally shifted on iflash, sales will increase by the time "/>
    <m/>
    <m/>
    <m/>
    <m/>
    <m/>
    <s v="Pull BAck"/>
    <m/>
    <n v="1"/>
    <s v="Placed"/>
    <m/>
    <m/>
    <n v="655500"/>
    <n v="20900"/>
    <n v="17711.87"/>
    <n v="25000"/>
    <n v="90400"/>
    <n v="19800"/>
    <n v="0"/>
    <n v="68000"/>
    <n v="0"/>
    <n v="586800"/>
    <n v="1484111.87"/>
    <n v="0"/>
    <n v="79200"/>
    <n v="0"/>
    <n v="0"/>
    <n v="0"/>
    <n v="0"/>
    <n v="0"/>
    <n v="0"/>
    <n v="0"/>
    <m/>
    <n v="0"/>
    <m/>
    <n v="79200"/>
    <m/>
    <n v="79200"/>
    <m/>
    <n v="79200"/>
    <n v="39600"/>
    <m/>
    <n v="1642511.87"/>
    <x v="26"/>
    <n v="96618.345294117651"/>
    <n v="2211540.2519999999"/>
    <n v="-605894.65470588231"/>
    <x v="1"/>
    <n v="-35640.862041522487"/>
    <n v="0.4"/>
    <n v="657004.74800000014"/>
    <n v="0.4"/>
  </r>
  <r>
    <s v="Hammad Hafeez"/>
    <s v="Hammad Noor"/>
    <x v="1"/>
    <x v="1"/>
    <n v="15002128"/>
    <s v="Clinical Chemistry"/>
    <s v="AR#300091"/>
    <m/>
    <m/>
    <m/>
    <s v="30.08.2023"/>
    <s v="16.02.2024"/>
    <s v="Not Available"/>
    <m/>
    <x v="1"/>
    <x v="0"/>
    <s v="larkana/hyderabad"/>
    <n v="3020000917"/>
    <x v="59"/>
    <s v="Ikram Hujjan"/>
    <s v="VIP Road Larkana"/>
    <s v="0334-0020341"/>
    <s v="fehandio@gmail.com"/>
    <s v="9030415-2"/>
    <m/>
    <n v="4499722"/>
    <n v="36"/>
    <n v="399013"/>
    <m/>
    <m/>
    <m/>
    <m/>
    <m/>
    <m/>
    <x v="0"/>
    <x v="0"/>
    <m/>
    <m/>
    <m/>
    <m/>
    <m/>
    <m/>
    <m/>
    <m/>
    <m/>
    <m/>
    <s v="Price/workload revision - till 15 April 2024"/>
    <m/>
    <m/>
    <s v="Order was hold due to payment issue, this is direct customer. by next 2 months sales will be on track"/>
    <m/>
    <m/>
    <m/>
    <m/>
    <m/>
    <m/>
    <m/>
    <m/>
    <m/>
    <m/>
    <n v="616700"/>
    <n v="0"/>
    <n v="681360"/>
    <n v="193000"/>
    <n v="50000"/>
    <n v="0"/>
    <n v="0"/>
    <n v="0"/>
    <n v="0"/>
    <n v="0"/>
    <n v="1541060"/>
    <n v="0"/>
    <n v="0"/>
    <n v="0"/>
    <n v="0"/>
    <n v="0"/>
    <n v="0"/>
    <n v="0"/>
    <n v="0"/>
    <n v="0"/>
    <m/>
    <m/>
    <m/>
    <n v="0"/>
    <n v="0"/>
    <m/>
    <m/>
    <n v="0"/>
    <n v="0"/>
    <s v="Without informing, machine is placed at another lab but a/c to them its not in use"/>
    <n v="1541060"/>
    <x v="2"/>
    <n v="102737.33333333333"/>
    <n v="3806245"/>
    <n v="-296275.66666666669"/>
    <x v="1"/>
    <n v="-19751.711111111112"/>
    <n v="0.45"/>
    <n v="693477"/>
    <n v="0.35"/>
  </r>
  <r>
    <s v="Humayun Patel"/>
    <s v="Jahangir Jalil"/>
    <x v="2"/>
    <x v="20"/>
    <n v="15002758"/>
    <s v="Immunoassay"/>
    <n v="3002000027"/>
    <s v="N/A"/>
    <n v="36001565"/>
    <s v="05.05.2023"/>
    <s v="17.04.2023"/>
    <s v="17.04.2023"/>
    <s v="Available"/>
    <m/>
    <x v="1"/>
    <x v="0"/>
    <s v="Dadu"/>
    <n v="3020000917"/>
    <x v="60"/>
    <s v="N/A"/>
    <s v="Liaqat University of Medical &amp; Health (Jamshoro)"/>
    <s v="0334-0020341"/>
    <s v="fehandio@gmail.com"/>
    <s v="9030415-2"/>
    <m/>
    <n v="16350883"/>
    <n v="29"/>
    <n v="1477881"/>
    <m/>
    <m/>
    <m/>
    <m/>
    <s v="on track "/>
    <m/>
    <x v="13"/>
    <x v="15"/>
    <s v="No order received in August 2023"/>
    <s v="Working with customer to get the PO to cover the deficit of August 2023"/>
    <s v="No Orders received in Sep 2023"/>
    <s v="Following up for Over due payments before getting their order"/>
    <m/>
    <m/>
    <m/>
    <m/>
    <s v="Due payment issues"/>
    <s v=" Working to get all over due payment and new PO will process"/>
    <s v="Price revision within April 2024"/>
    <m/>
    <s v="Prices revision in discussion, machine isnt in opertational condiation due to hardware issues."/>
    <m/>
    <m/>
    <s v="no sales in july"/>
    <m/>
    <m/>
    <m/>
    <m/>
    <m/>
    <m/>
    <n v="823288.59"/>
    <n v="0"/>
    <n v="743994.95"/>
    <n v="607700"/>
    <n v="1827500"/>
    <n v="22100"/>
    <n v="0"/>
    <n v="1505200"/>
    <n v="0"/>
    <n v="0"/>
    <n v="1092300"/>
    <n v="299700"/>
    <n v="6921783.54"/>
    <n v="0"/>
    <n v="441000"/>
    <n v="0"/>
    <n v="0"/>
    <m/>
    <m/>
    <m/>
    <m/>
    <m/>
    <m/>
    <m/>
    <m/>
    <n v="441000"/>
    <m/>
    <m/>
    <m/>
    <n v="0"/>
    <n v="0"/>
    <m/>
    <n v="7362783.54"/>
    <x v="26"/>
    <n v="433104.91411764704"/>
    <n v="13405769.583999999"/>
    <n v="-1044776.0858823529"/>
    <x v="1"/>
    <n v="-61457.416816608995"/>
    <n v="0.4"/>
    <n v="2945113.4160000002"/>
    <n v="0.35"/>
  </r>
  <r>
    <s v="Humayun Patel"/>
    <s v="Jahangir Jalil"/>
    <x v="2"/>
    <x v="20"/>
    <n v="15002758"/>
    <s v="Immunoassay"/>
    <n v="3002000027"/>
    <s v="N/A"/>
    <n v="36001565"/>
    <m/>
    <m/>
    <s v="25.04.2025"/>
    <s v="Available"/>
    <m/>
    <x v="5"/>
    <x v="0"/>
    <s v="Dadu"/>
    <n v="3020000917"/>
    <x v="60"/>
    <s v="N/A"/>
    <s v="Liaqat University of Medical &amp; Health (Jamshoro)"/>
    <s v="0334-0020341"/>
    <s v="fehandio@gmail.com"/>
    <s v="9030415-2"/>
    <m/>
    <n v="16465883"/>
    <n v="60"/>
    <n v="864628"/>
    <m/>
    <m/>
    <m/>
    <m/>
    <m/>
    <m/>
    <x v="0"/>
    <x v="0"/>
    <m/>
    <m/>
    <m/>
    <m/>
    <m/>
    <m/>
    <m/>
    <m/>
    <m/>
    <m/>
    <m/>
    <m/>
    <m/>
    <m/>
    <m/>
    <m/>
    <m/>
    <m/>
    <s v="Pull BAck"/>
    <s v="Daniyal will take update"/>
    <n v="1"/>
    <s v="Placed"/>
    <n v="823288.59"/>
    <n v="0"/>
    <n v="743994.95"/>
    <n v="607700"/>
    <n v="1827500"/>
    <n v="22100"/>
    <n v="0"/>
    <n v="1505200"/>
    <n v="0"/>
    <n v="0"/>
    <n v="1092300"/>
    <n v="299700"/>
    <n v="6921783.54"/>
    <n v="0"/>
    <n v="441000"/>
    <n v="0"/>
    <n v="0"/>
    <n v="0"/>
    <n v="0"/>
    <n v="0"/>
    <n v="0"/>
    <n v="0"/>
    <n v="0"/>
    <n v="0"/>
    <m/>
    <n v="441000"/>
    <n v="0"/>
    <n v="0"/>
    <n v="0"/>
    <n v="0"/>
    <n v="0"/>
    <m/>
    <n v="7362783.54"/>
    <x v="29"/>
    <n v="368139.17700000003"/>
    <n v="13520769.583999999"/>
    <n v="-496488.82299999997"/>
    <x v="1"/>
    <n v="-24824.441149999999"/>
    <n v="0.4"/>
    <n v="2945113.4160000002"/>
    <n v="0.4"/>
  </r>
  <r>
    <s v="Shagufta Anthony "/>
    <s v="Jahangir Jalil"/>
    <x v="2"/>
    <x v="13"/>
    <n v="15002759"/>
    <s v="Immunoassay"/>
    <n v="3002000087"/>
    <m/>
    <n v="30006188"/>
    <m/>
    <d v="2023-12-15T00:00:00"/>
    <s v="2.10.2025"/>
    <s v="Available"/>
    <m/>
    <x v="0"/>
    <x v="2"/>
    <s v="Islamabad"/>
    <n v="3020000936"/>
    <x v="61"/>
    <m/>
    <s v="Off 06,2nd Floor Waqar Centre, Canning Road, Saddar, Rawalpindi"/>
    <s v="051-5120050/5521248, 0333-5720322"/>
    <s v="magmapk@yahoo.com"/>
    <m/>
    <s v="35302-1882668-3"/>
    <n v="6818058"/>
    <n v="36"/>
    <n v="392516"/>
    <m/>
    <m/>
    <m/>
    <m/>
    <m/>
    <m/>
    <x v="0"/>
    <x v="0"/>
    <m/>
    <m/>
    <m/>
    <m/>
    <m/>
    <m/>
    <m/>
    <m/>
    <m/>
    <m/>
    <m/>
    <m/>
    <m/>
    <m/>
    <m/>
    <m/>
    <m/>
    <m/>
    <s v="on Track"/>
    <s v="on track, to add TFT profile"/>
    <n v="1"/>
    <s v="Placed"/>
    <n v="955655"/>
    <n v="0"/>
    <n v="61560"/>
    <n v="880770"/>
    <n v="0"/>
    <n v="123080"/>
    <n v="188785"/>
    <n v="0"/>
    <n v="504101"/>
    <n v="573549"/>
    <n v="472661"/>
    <n v="1172180"/>
    <n v="4932341"/>
    <n v="0"/>
    <n v="571455"/>
    <n v="0"/>
    <n v="500320"/>
    <n v="1132725"/>
    <n v="1368005"/>
    <n v="895385"/>
    <n v="481310"/>
    <n v="15980"/>
    <n v="58140"/>
    <m/>
    <m/>
    <n v="5023320"/>
    <n v="511332"/>
    <n v="544884"/>
    <n v="245254"/>
    <n v="1301470"/>
    <n v="339902.5"/>
    <m/>
    <n v="11257131"/>
    <x v="30"/>
    <n v="416930.77777777775"/>
    <n v="2315205.5999999996"/>
    <n v="24414.777777777752"/>
    <x v="9"/>
    <n v="904.25102880658335"/>
    <n v="0.4"/>
    <n v="4502852.4000000004"/>
    <n v="0.35"/>
  </r>
  <r>
    <s v="Waqar wazir"/>
    <s v="Hammad Noor"/>
    <x v="0"/>
    <x v="12"/>
    <n v="15002553"/>
    <s v="Immunoassay"/>
    <n v="3002000019"/>
    <s v="N/A"/>
    <s v="ID00026524"/>
    <s v="06.09.2022"/>
    <s v="07.14.2022"/>
    <s v="18.07.2022"/>
    <s v="Available"/>
    <m/>
    <x v="1"/>
    <x v="2"/>
    <s v="Abbotobad"/>
    <n v="3020000943"/>
    <x v="62"/>
    <s v="MR. KHALID HUSSAIN QURESHI"/>
    <s v="M/S VALLEY HEALTH CARE LABORATORIES,MAIN MANSEHRA ROAD, MIRPUR ABBOTTABAD."/>
    <s v="0345-9236895"/>
    <s v="healthcarecare204@gmail.com  "/>
    <s v="6392920-4"/>
    <m/>
    <n v="2100000"/>
    <n v="12"/>
    <n v="490395"/>
    <s v="Installation not completed due to un-availability of PC which is under procurement."/>
    <s v="Unavailability of stock"/>
    <s v="Order hold/ Stock unavailable "/>
    <s v="Stock unavailable "/>
    <s v="sales are not on track because of shipment delay  due to selective payment issue "/>
    <s v="machine is now working and sales will be recovered in two to three order"/>
    <x v="14"/>
    <x v="16"/>
    <s v="New order of approx. 1 million will be recieved next month to cover the defecit"/>
    <s v="Strong follow up"/>
    <s v="Stock Unavailable"/>
    <s v="Stock has been Recieved ,will be invoiced"/>
    <m/>
    <s v="Stock has been Recieved ,will be invoiced"/>
    <m/>
    <m/>
    <m/>
    <m/>
    <s v="Meeting will be held in April to discuss this case"/>
    <m/>
    <m/>
    <m/>
    <m/>
    <m/>
    <m/>
    <m/>
    <s v="Machine Trf to WH"/>
    <m/>
    <m/>
    <m/>
    <m/>
    <m/>
    <m/>
    <m/>
    <n v="1803278.69"/>
    <m/>
    <m/>
    <n v="-52359"/>
    <m/>
    <m/>
    <m/>
    <m/>
    <n v="1750919.69"/>
    <m/>
    <m/>
    <n v="553215"/>
    <m/>
    <m/>
    <m/>
    <m/>
    <m/>
    <m/>
    <m/>
    <n v="0"/>
    <n v="131275"/>
    <n v="684490"/>
    <m/>
    <m/>
    <m/>
    <n v="0"/>
    <n v="65637.5"/>
    <m/>
    <n v="2435409.69"/>
    <x v="0"/>
    <n v="105887.37782608696"/>
    <n v="1125836.1239999998"/>
    <n v="-384507.62217391306"/>
    <x v="12"/>
    <n v="-16717.722703213611"/>
    <n v="0.4"/>
    <n v="974163.87600000005"/>
    <n v="0.4"/>
  </r>
  <r>
    <s v="Abdul Moeed"/>
    <s v="Jahangir Jalil"/>
    <x v="4"/>
    <x v="6"/>
    <n v="15003000"/>
    <s v="Coagulation Analyzer"/>
    <n v="3002000114"/>
    <m/>
    <n v="1736"/>
    <m/>
    <m/>
    <s v="1.30.2025"/>
    <s v="Available"/>
    <m/>
    <x v="0"/>
    <x v="1"/>
    <s v="Lahore"/>
    <n v="3020000960"/>
    <x v="63"/>
    <m/>
    <s v="rashid latif medical complex gul e berah stop Kasur road"/>
    <s v="0336-5399909"/>
    <s v="muhammad.imran@rimc.edu.pk"/>
    <s v="3407280-2"/>
    <m/>
    <n v="3432757"/>
    <n v="36"/>
    <n v="214221"/>
    <m/>
    <m/>
    <m/>
    <m/>
    <m/>
    <m/>
    <x v="0"/>
    <x v="0"/>
    <m/>
    <m/>
    <m/>
    <m/>
    <m/>
    <m/>
    <m/>
    <m/>
    <m/>
    <m/>
    <m/>
    <m/>
    <m/>
    <m/>
    <m/>
    <m/>
    <m/>
    <m/>
    <s v="will be discussed then Pull back and will given to national hospital"/>
    <s v="revised quatation to be submitted by AM, invoice expected in April"/>
    <m/>
    <m/>
    <m/>
    <m/>
    <m/>
    <m/>
    <m/>
    <m/>
    <m/>
    <m/>
    <m/>
    <m/>
    <m/>
    <m/>
    <n v="0"/>
    <m/>
    <n v="482899.98000000004"/>
    <n v="41435.24"/>
    <n v="0"/>
    <n v="145894.42000000001"/>
    <n v="111684.1"/>
    <n v="198298"/>
    <n v="0"/>
    <n v="126221.29999999999"/>
    <n v="52404"/>
    <m/>
    <n v="145891.79999999999"/>
    <n v="1304728.8400000001"/>
    <m/>
    <m/>
    <m/>
    <n v="0"/>
    <n v="99147.9"/>
    <m/>
    <n v="1304728.8400000001"/>
    <x v="12"/>
    <n v="118611.71272727274"/>
    <n v="2910865.4639999997"/>
    <n v="-95609.287272727262"/>
    <x v="1"/>
    <n v="-8691.7533884297518"/>
    <n v="0.4"/>
    <n v="521891.53600000008"/>
    <n v="0.4"/>
  </r>
  <r>
    <s v="Imran Rana"/>
    <s v="Hammad Noor"/>
    <x v="1"/>
    <x v="8"/>
    <n v="15002463"/>
    <s v="Clinical Chemistry"/>
    <n v="3002000115"/>
    <m/>
    <s v="24-5048"/>
    <m/>
    <m/>
    <s v="25.04.2025"/>
    <s v="Available"/>
    <m/>
    <x v="0"/>
    <x v="1"/>
    <s v="Gujranwala"/>
    <n v="3020000979"/>
    <x v="64"/>
    <s v="N/A"/>
    <s v="GT road, civil lines, Gujranwala"/>
    <s v="055-3732003"/>
    <s v="sheeza.tariq94@gmail.com"/>
    <s v="3965326-9"/>
    <m/>
    <n v="7115000"/>
    <n v="62"/>
    <n v="624712"/>
    <m/>
    <m/>
    <m/>
    <m/>
    <m/>
    <m/>
    <x v="0"/>
    <x v="0"/>
    <m/>
    <m/>
    <m/>
    <m/>
    <m/>
    <m/>
    <m/>
    <m/>
    <m/>
    <m/>
    <m/>
    <m/>
    <m/>
    <m/>
    <m/>
    <m/>
    <m/>
    <m/>
    <s v="on Track"/>
    <s v="On Track"/>
    <n v="1"/>
    <s v="Placed"/>
    <m/>
    <m/>
    <m/>
    <m/>
    <m/>
    <m/>
    <m/>
    <m/>
    <m/>
    <m/>
    <m/>
    <m/>
    <n v="0"/>
    <m/>
    <m/>
    <n v="718270"/>
    <n v="1074986"/>
    <n v="1023917"/>
    <n v="621068"/>
    <n v="277731.5"/>
    <n v="764542.5"/>
    <n v="48840"/>
    <n v="703037.3"/>
    <n v="77975"/>
    <n v="207281.5"/>
    <n v="5517648.7999999998"/>
    <n v="310130.15000000002"/>
    <n v="466119"/>
    <n v="195891.5"/>
    <n v="972140.65"/>
    <n v="326739.07500000001"/>
    <m/>
    <n v="6489789.4500000002"/>
    <x v="20"/>
    <n v="540815.78749999998"/>
    <n v="4194594.7475000005"/>
    <n v="-83896.212500000023"/>
    <x v="0"/>
    <n v="-6991.3510416666686"/>
    <n v="0.45"/>
    <n v="2920405.2524999999"/>
    <n v="0.45"/>
  </r>
  <r>
    <s v="Imran Rana"/>
    <s v="Hammad Noor"/>
    <x v="1"/>
    <x v="8"/>
    <n v="15002463"/>
    <s v="Clinical Chemistry"/>
    <n v="3002000105"/>
    <s v="Transfer from Sharif TMC"/>
    <s v="24-5018"/>
    <m/>
    <m/>
    <s v="24.07.2025"/>
    <m/>
    <s v="backup"/>
    <x v="0"/>
    <x v="1"/>
    <s v="Gujranwala"/>
    <n v="3020000979"/>
    <x v="64"/>
    <m/>
    <m/>
    <m/>
    <m/>
    <m/>
    <m/>
    <n v="7115000"/>
    <n v="38"/>
    <n v="554232"/>
    <m/>
    <m/>
    <m/>
    <m/>
    <m/>
    <m/>
    <x v="0"/>
    <x v="0"/>
    <m/>
    <m/>
    <m/>
    <m/>
    <m/>
    <m/>
    <m/>
    <m/>
    <m/>
    <m/>
    <m/>
    <m/>
    <m/>
    <m/>
    <m/>
    <m/>
    <m/>
    <m/>
    <s v="on Track"/>
    <s v="On Track - Part pending - Waleed"/>
    <n v="1"/>
    <s v="Placed"/>
    <m/>
    <m/>
    <m/>
    <m/>
    <m/>
    <m/>
    <m/>
    <m/>
    <m/>
    <m/>
    <m/>
    <m/>
    <n v="0"/>
    <m/>
    <m/>
    <m/>
    <m/>
    <m/>
    <m/>
    <n v="277731.5"/>
    <n v="764542.5"/>
    <n v="48840"/>
    <n v="703037.3"/>
    <n v="77975"/>
    <n v="207281.5"/>
    <n v="2079407.8"/>
    <n v="310130.15000000002"/>
    <n v="466119"/>
    <n v="195891.5"/>
    <n v="972140.65"/>
    <n v="326739.07500000001"/>
    <m/>
    <n v="3051548.45"/>
    <x v="10"/>
    <n v="381443.55625000002"/>
    <m/>
    <n v="-172788.44374999998"/>
    <x v="2"/>
    <n v="-21598.555468749997"/>
    <m/>
    <n v="0"/>
    <n v="0"/>
  </r>
  <r>
    <s v="Abdul Moeed"/>
    <s v="Jahangir Jalil"/>
    <x v="2"/>
    <x v="2"/>
    <n v="15002760"/>
    <s v="Immunoassay"/>
    <m/>
    <s v="From hormone to Ridhan to Med Care Hospital"/>
    <n v="30006181"/>
    <m/>
    <m/>
    <s v="05.12.2024"/>
    <m/>
    <m/>
    <x v="0"/>
    <x v="1"/>
    <s v="Gujranwala"/>
    <n v="3020000979"/>
    <x v="65"/>
    <m/>
    <s v="Gill road, Civil Lines, Punjab"/>
    <s v="055-3732003 &amp; 0337-0460249"/>
    <s v="sheeza.tariq94@gmail.com"/>
    <s v="3965326-9"/>
    <m/>
    <n v="5415000"/>
    <n v="37"/>
    <n v="518873"/>
    <m/>
    <m/>
    <m/>
    <m/>
    <m/>
    <m/>
    <x v="0"/>
    <x v="0"/>
    <m/>
    <m/>
    <m/>
    <m/>
    <m/>
    <m/>
    <m/>
    <m/>
    <m/>
    <m/>
    <e v="#N/A"/>
    <m/>
    <m/>
    <m/>
    <m/>
    <m/>
    <m/>
    <m/>
    <s v="Behind Target"/>
    <s v="Will be on track"/>
    <n v="1"/>
    <m/>
    <m/>
    <m/>
    <m/>
    <m/>
    <m/>
    <m/>
    <m/>
    <m/>
    <m/>
    <m/>
    <m/>
    <n v="1454603"/>
    <n v="1454603"/>
    <n v="0"/>
    <n v="802483"/>
    <n v="409692"/>
    <n v="411828"/>
    <n v="949897"/>
    <n v="278043"/>
    <n v="1045122"/>
    <n v="522335"/>
    <n v="305569"/>
    <n v="176821"/>
    <m/>
    <m/>
    <n v="4901790"/>
    <n v="406749"/>
    <n v="245162"/>
    <n v="0"/>
    <n v="651911"/>
    <n v="207183"/>
    <m/>
    <n v="7008304"/>
    <x v="20"/>
    <n v="584025.33333333337"/>
    <n v="2611678.4"/>
    <n v="65152.333333333372"/>
    <x v="9"/>
    <n v="5429.361111111114"/>
    <n v="0.4"/>
    <n v="2803321.6"/>
    <n v="0.4"/>
  </r>
  <r>
    <s v="Imrna Fazal"/>
    <s v="Hammad Noor"/>
    <x v="0"/>
    <x v="25"/>
    <n v="15002462"/>
    <s v="Immunoassay"/>
    <m/>
    <m/>
    <m/>
    <m/>
    <m/>
    <s v="25.11.2025"/>
    <m/>
    <m/>
    <x v="1"/>
    <x v="1"/>
    <s v="Gujranwala"/>
    <n v="3020000979"/>
    <x v="64"/>
    <m/>
    <s v="GT road, civil lines, Gujranwala"/>
    <s v="055-3732003"/>
    <s v="sheeza.tariq94@gmail.com"/>
    <s v="3965326-9"/>
    <m/>
    <n v="4910685"/>
    <n v="36"/>
    <n v="330776"/>
    <m/>
    <m/>
    <m/>
    <m/>
    <m/>
    <m/>
    <x v="0"/>
    <x v="0"/>
    <m/>
    <m/>
    <m/>
    <m/>
    <m/>
    <m/>
    <m/>
    <m/>
    <m/>
    <m/>
    <m/>
    <m/>
    <m/>
    <m/>
    <m/>
    <m/>
    <m/>
    <m/>
    <s v="Closed"/>
    <m/>
    <m/>
    <s v="Closed"/>
    <m/>
    <m/>
    <m/>
    <m/>
    <m/>
    <m/>
    <m/>
    <m/>
    <m/>
    <m/>
    <m/>
    <m/>
    <n v="0"/>
    <m/>
    <m/>
    <m/>
    <m/>
    <m/>
    <m/>
    <m/>
    <m/>
    <m/>
    <m/>
    <m/>
    <m/>
    <n v="0"/>
    <m/>
    <m/>
    <m/>
    <n v="0"/>
    <n v="0"/>
    <m/>
    <n v="0"/>
    <x v="9"/>
    <e v="#DIV/0!"/>
    <m/>
    <e v="#DIV/0!"/>
    <x v="2"/>
    <e v="#DIV/0!"/>
    <m/>
    <n v="0"/>
    <n v="0"/>
  </r>
  <r>
    <s v="Waqar wazir"/>
    <s v="Hammad Noor"/>
    <x v="0"/>
    <x v="12"/>
    <n v="15002553"/>
    <s v="Immunoassay"/>
    <n v="3002000099"/>
    <m/>
    <s v="ID00175847"/>
    <m/>
    <m/>
    <s v="14.05.2025"/>
    <m/>
    <m/>
    <x v="0"/>
    <x v="2"/>
    <s v="Peshawar"/>
    <n v="3020000987"/>
    <x v="66"/>
    <m/>
    <m/>
    <m/>
    <m/>
    <m/>
    <m/>
    <n v="2915000"/>
    <n v="36"/>
    <n v="307062"/>
    <m/>
    <m/>
    <m/>
    <m/>
    <m/>
    <m/>
    <x v="0"/>
    <x v="0"/>
    <m/>
    <m/>
    <m/>
    <m/>
    <m/>
    <m/>
    <m/>
    <m/>
    <m/>
    <m/>
    <m/>
    <m/>
    <m/>
    <m/>
    <m/>
    <m/>
    <m/>
    <m/>
    <s v="Behind track"/>
    <s v="Waqar will confirm about the status"/>
    <n v="1"/>
    <s v="Placed"/>
    <m/>
    <m/>
    <m/>
    <m/>
    <m/>
    <m/>
    <m/>
    <m/>
    <m/>
    <m/>
    <m/>
    <n v="703400"/>
    <n v="703400"/>
    <m/>
    <m/>
    <m/>
    <n v="568280"/>
    <n v="0"/>
    <n v="0"/>
    <n v="0"/>
    <n v="271800"/>
    <n v="0"/>
    <n v="0"/>
    <n v="0"/>
    <n v="844820"/>
    <n v="1684900"/>
    <n v="174700"/>
    <m/>
    <m/>
    <n v="174700"/>
    <n v="254880"/>
    <m/>
    <n v="2563000"/>
    <x v="31"/>
    <n v="256300"/>
    <n v="1889800"/>
    <n v="-50762"/>
    <x v="1"/>
    <n v="-5076.2"/>
    <n v="0.4"/>
    <n v="1025200"/>
    <n v="0.4"/>
  </r>
  <r>
    <s v="Humayun Patel"/>
    <s v="Jahangir Jalil"/>
    <x v="4"/>
    <x v="26"/>
    <n v="15003000"/>
    <s v="Coagulation Analyzer"/>
    <s v="AR#300141"/>
    <s v="N/A"/>
    <m/>
    <m/>
    <m/>
    <s v="02.04.2024"/>
    <s v="Not Available"/>
    <m/>
    <x v="1"/>
    <x v="0"/>
    <s v="Karachi"/>
    <n v="3020001019"/>
    <x v="67"/>
    <s v="N/A"/>
    <s v="A-5/A, National Highway, DHA Phase-1, Near Kalapul, Sindh"/>
    <s v="021-35380000, 0345-2086204"/>
    <s v="info@nmc.net.pk"/>
    <s v="0818709-6"/>
    <m/>
    <n v="4045003"/>
    <n v="36"/>
    <n v="465012"/>
    <m/>
    <m/>
    <m/>
    <m/>
    <m/>
    <m/>
    <x v="0"/>
    <x v="0"/>
    <m/>
    <m/>
    <m/>
    <m/>
    <m/>
    <m/>
    <m/>
    <m/>
    <m/>
    <m/>
    <m/>
    <m/>
    <m/>
    <m/>
    <m/>
    <m/>
    <m/>
    <m/>
    <s v="Closed"/>
    <m/>
    <m/>
    <m/>
    <m/>
    <m/>
    <m/>
    <m/>
    <m/>
    <m/>
    <m/>
    <m/>
    <m/>
    <m/>
    <m/>
    <m/>
    <n v="0"/>
    <m/>
    <m/>
    <m/>
    <m/>
    <m/>
    <m/>
    <m/>
    <m/>
    <m/>
    <m/>
    <m/>
    <m/>
    <n v="0"/>
    <m/>
    <m/>
    <m/>
    <n v="0"/>
    <n v="0"/>
    <s v="Pulled back and placed at Karachi warehouse."/>
    <n v="0"/>
    <x v="32"/>
    <e v="#VALUE!"/>
    <n v="4045003"/>
    <e v="#VALUE!"/>
    <x v="13"/>
    <e v="#VALUE!"/>
    <n v="0.4"/>
    <n v="0"/>
    <n v="0.4"/>
  </r>
  <r>
    <s v="Hammad Hafeez"/>
    <s v="Hammad Noor"/>
    <x v="1"/>
    <x v="27"/>
    <n v="15002128"/>
    <s v="Clinical Chemistry"/>
    <s v="AR # 300323"/>
    <s v="Transferred from demo"/>
    <s v="20-4085"/>
    <m/>
    <m/>
    <s v="23.05.2025"/>
    <m/>
    <s v="Demo order still not received"/>
    <x v="0"/>
    <x v="1"/>
    <s v="Quetta"/>
    <n v="3020001042"/>
    <x v="68"/>
    <m/>
    <s v="Shop 2, Whdat Colony, Brewary Road, Balochistan"/>
    <s v="081-2440931 &amp; 0300-3805199"/>
    <s v="bilal.chishti@ahf.com.pk"/>
    <s v="7600330-1"/>
    <m/>
    <n v="4100000"/>
    <n v="37"/>
    <n v="163502"/>
    <m/>
    <m/>
    <m/>
    <m/>
    <m/>
    <m/>
    <x v="0"/>
    <x v="0"/>
    <m/>
    <m/>
    <m/>
    <m/>
    <m/>
    <m/>
    <m/>
    <m/>
    <m/>
    <m/>
    <m/>
    <m/>
    <m/>
    <m/>
    <m/>
    <m/>
    <m/>
    <m/>
    <s v="on Track"/>
    <s v="on Track"/>
    <n v="1"/>
    <s v="Placed"/>
    <m/>
    <n v="1000000"/>
    <n v="5357692"/>
    <n v="512300"/>
    <m/>
    <m/>
    <n v="693179"/>
    <n v="252622"/>
    <m/>
    <m/>
    <m/>
    <n v="13540"/>
    <n v="7829333"/>
    <m/>
    <n v="0"/>
    <n v="0"/>
    <n v="0"/>
    <n v="0"/>
    <n v="530000"/>
    <n v="0"/>
    <n v="629759"/>
    <n v="23244"/>
    <m/>
    <n v="1284379"/>
    <n v="500000"/>
    <n v="2967382"/>
    <n v="0"/>
    <n v="0"/>
    <n v="0"/>
    <n v="0"/>
    <n v="356875.8"/>
    <m/>
    <n v="10796715"/>
    <x v="29"/>
    <n v="539835.75"/>
    <n v="-758521.75"/>
    <n v="-582258.24076923076"/>
    <x v="1"/>
    <n v="-29112.912038461538"/>
    <n v="0.45"/>
    <n v="4858521.75"/>
    <n v="0.45"/>
  </r>
  <r>
    <s v="Waqar wazir"/>
    <s v="Hammad Noor"/>
    <x v="3"/>
    <x v="14"/>
    <n v="15002248"/>
    <s v="Hematology"/>
    <s v="AR # 300320"/>
    <m/>
    <s v="TE11042147005"/>
    <m/>
    <s v="12.07.2024"/>
    <m/>
    <s v="Available"/>
    <m/>
    <x v="0"/>
    <x v="2"/>
    <s v="Mirpur Azad Kashmir"/>
    <n v="3020001042"/>
    <x v="69"/>
    <m/>
    <s v="Al khidmat complex, 3-km Khayban-e-Jinnah road, Punjab"/>
    <s v="0333-4695192 &amp; 042-35957260"/>
    <s v="asad.tufail@ahf.com.pk"/>
    <s v="7600330-1"/>
    <m/>
    <n v="2059750"/>
    <n v="36"/>
    <n v="100802"/>
    <m/>
    <m/>
    <m/>
    <m/>
    <m/>
    <m/>
    <x v="0"/>
    <x v="0"/>
    <m/>
    <m/>
    <m/>
    <m/>
    <m/>
    <m/>
    <m/>
    <m/>
    <m/>
    <m/>
    <e v="#N/A"/>
    <m/>
    <m/>
    <m/>
    <m/>
    <m/>
    <m/>
    <m/>
    <s v="Behind Track due to supply issue"/>
    <s v="Visit in April and then update the status"/>
    <n v="1"/>
    <s v="Placed"/>
    <m/>
    <m/>
    <n v="1216000"/>
    <n v="198000"/>
    <n v="0"/>
    <n v="0"/>
    <n v="0"/>
    <n v="99000"/>
    <n v="29000"/>
    <n v="0"/>
    <n v="0"/>
    <n v="349000"/>
    <n v="1891000"/>
    <n v="0"/>
    <n v="0"/>
    <n v="0"/>
    <n v="0"/>
    <n v="0"/>
    <n v="0"/>
    <n v="0"/>
    <n v="0"/>
    <n v="0"/>
    <n v="0"/>
    <n v="0"/>
    <n v="112250"/>
    <n v="112250"/>
    <n v="0"/>
    <n v="0"/>
    <m/>
    <n v="0"/>
    <n v="22450"/>
    <m/>
    <n v="2003250"/>
    <x v="13"/>
    <n v="500812.5"/>
    <n v="1258450"/>
    <n v="400010.5"/>
    <x v="0"/>
    <n v="100002.625"/>
    <n v="0.4"/>
    <n v="801300"/>
    <n v="0.4"/>
  </r>
  <r>
    <s v="Hammad Hafeez"/>
    <s v="Hammad Noor"/>
    <x v="1"/>
    <x v="8"/>
    <n v="15002463"/>
    <s v="Clinical Chemistry"/>
    <n v="3002000017"/>
    <m/>
    <s v="22-5023"/>
    <s v="29.08.2022"/>
    <s v="16.08.2022"/>
    <s v="22.08.2022"/>
    <s v="Available"/>
    <m/>
    <x v="1"/>
    <x v="0"/>
    <s v="Karachi"/>
    <n v="3020001047"/>
    <x v="70"/>
    <s v="Shazia Parveen"/>
    <s v="R 8, Sector 5c/4 Sector 5 C 4 New Karachi Town, Karachi,"/>
    <s v="0323-2342326"/>
    <s v="not available"/>
    <m/>
    <s v="42101-4970811-0"/>
    <m/>
    <m/>
    <m/>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x v="8"/>
    <x v="10"/>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s v="Problem with machines. Now new business case will be prepared"/>
    <m/>
    <s v="New business case submitted for approval, due to machine problem."/>
    <m/>
    <m/>
    <m/>
    <m/>
    <m/>
    <m/>
    <m/>
    <m/>
    <m/>
    <n v="75305.23"/>
    <n v="162894.44500000001"/>
    <n v="0"/>
    <n v="0"/>
    <n v="108085.85500000001"/>
    <n v="12500"/>
    <n v="0"/>
    <n v="245489"/>
    <n v="160439.5"/>
    <n v="0"/>
    <n v="0"/>
    <n v="0"/>
    <n v="764714.03"/>
    <n v="0"/>
    <m/>
    <n v="0"/>
    <m/>
    <m/>
    <m/>
    <m/>
    <m/>
    <m/>
    <m/>
    <m/>
    <m/>
    <n v="0"/>
    <m/>
    <m/>
    <m/>
    <n v="0"/>
    <n v="0"/>
    <m/>
    <n v="764714.03"/>
    <x v="21"/>
    <n v="20667.946756756759"/>
    <n v="-344121.31350000005"/>
    <n v="20667.946756756759"/>
    <x v="0"/>
    <n v="558.59315558802052"/>
    <n v="0.45"/>
    <n v="344121.31350000005"/>
    <n v="0.45"/>
  </r>
  <r>
    <s v="Hammad Hafeez"/>
    <s v="Hammad Noor"/>
    <x v="1"/>
    <x v="8"/>
    <n v="15002463"/>
    <s v="Clinical Chemistry"/>
    <n v="3002000017"/>
    <s v="N/A"/>
    <s v="22-5023"/>
    <m/>
    <m/>
    <s v="04.04.2024"/>
    <s v="Not Available"/>
    <m/>
    <x v="5"/>
    <x v="0"/>
    <s v="Karachi"/>
    <n v="3020001047"/>
    <x v="70"/>
    <s v="Shazia Parveen"/>
    <s v="R 8, Sector 5c/4 Sector 5 C 4 New Karachi Town, Karachi,"/>
    <s v="0323-2342326"/>
    <s v="not available"/>
    <m/>
    <s v="42101-4970811-0"/>
    <n v="4500000"/>
    <n v="37"/>
    <n v="404240"/>
    <s v="Proper installtion has been completed in this month"/>
    <s v="MACH5 kits was not availble in stock. New order recveived and processed. Furthermore, instrument was down due to spart part unavailability for 10 Days."/>
    <s v="Due to slack season sales has been reduced. Now, we have some orders from them which are on hold."/>
    <s v="Items not in stock"/>
    <s v="Mach 5 kits were N/A"/>
    <s v="stock is now available so order will be placed "/>
    <x v="8"/>
    <x v="10"/>
    <s v="We have not received any order in August 2023 for MACH5 due to problems in MACH5 but we've supplied kits for SELECTRA through distributor as they have purchased SELECTRA as a backup unit."/>
    <s v="We've received required spare parts and consumables which will help us to improve our business."/>
    <s v="Machine was under observation from customer "/>
    <s v="Working with customer to get the desired orders as per comittment"/>
    <m/>
    <m/>
    <m/>
    <m/>
    <s v="inititally machine having major issues in H/W, payment issue order is on hold many time, they ran samples on roche."/>
    <s v="Trying to shift complete load on Mach 5 "/>
    <m/>
    <m/>
    <m/>
    <s v="Order in hand, awaiting for shipment "/>
    <m/>
    <s v="no sales in july"/>
    <m/>
    <m/>
    <s v="behind track need followup"/>
    <s v="Pull back by April 30"/>
    <n v="1"/>
    <s v="Placed"/>
    <n v="75305.23"/>
    <n v="162894.44500000001"/>
    <n v="0"/>
    <n v="0"/>
    <n v="108085.85500000001"/>
    <n v="12500"/>
    <n v="0"/>
    <n v="245489"/>
    <n v="160439.5"/>
    <n v="0"/>
    <n v="0"/>
    <n v="0"/>
    <n v="764714.03"/>
    <n v="0"/>
    <n v="0"/>
    <n v="0"/>
    <n v="261520.54"/>
    <n v="90822.950000000012"/>
    <n v="149392"/>
    <n v="0"/>
    <n v="204777"/>
    <n v="145376"/>
    <n v="181755"/>
    <n v="0"/>
    <n v="0"/>
    <n v="1033643.49"/>
    <n v="73919.67"/>
    <n v="0"/>
    <n v="0"/>
    <n v="73919.67"/>
    <n v="42612.445"/>
    <s v="No Sales after sep-24"/>
    <n v="1872277.19"/>
    <x v="29"/>
    <n v="93613.859499999991"/>
    <n v="3657475.2645"/>
    <n v="-310626.14049999998"/>
    <x v="1"/>
    <n v="-15531.307024999998"/>
    <n v="0.45"/>
    <n v="842524.73549999995"/>
    <n v="0.45"/>
  </r>
  <r>
    <s v="Humayun Patel"/>
    <s v="Jahangir Jalil"/>
    <x v="4"/>
    <x v="28"/>
    <n v="15003159"/>
    <s v="Coagulation Analyzer"/>
    <n v="3002000096"/>
    <m/>
    <n v="8673"/>
    <m/>
    <m/>
    <s v="14.10.2024"/>
    <m/>
    <m/>
    <x v="0"/>
    <x v="0"/>
    <s v="Karachi"/>
    <n v="3020001067"/>
    <x v="71"/>
    <m/>
    <s v="H.J Rafique Shaheed Road, South Saddar Town, Karachi "/>
    <s v="0322-2328894"/>
    <s v="mursaleem.nicvd@gmail.com"/>
    <s v="9033300-4"/>
    <m/>
    <n v="5741480.5"/>
    <n v="6"/>
    <n v="2106303.5"/>
    <m/>
    <m/>
    <m/>
    <m/>
    <m/>
    <m/>
    <x v="0"/>
    <x v="0"/>
    <m/>
    <m/>
    <m/>
    <m/>
    <m/>
    <m/>
    <m/>
    <m/>
    <m/>
    <m/>
    <e v="#REF!"/>
    <m/>
    <m/>
    <m/>
    <m/>
    <m/>
    <m/>
    <m/>
    <s v="on Track"/>
    <s v="on track - check March Sales Rafay"/>
    <n v="1"/>
    <s v="Placed"/>
    <m/>
    <m/>
    <m/>
    <m/>
    <m/>
    <m/>
    <m/>
    <m/>
    <m/>
    <n v="10851396"/>
    <n v="1239776"/>
    <n v="4030196"/>
    <n v="16121368"/>
    <n v="0"/>
    <n v="246892"/>
    <n v="2964712"/>
    <n v="0"/>
    <n v="0"/>
    <n v="2600500"/>
    <n v="0"/>
    <n v="0"/>
    <n v="3437600"/>
    <n v="2287400"/>
    <n v="2865200"/>
    <n v="244000"/>
    <n v="14646304"/>
    <m/>
    <n v="23200"/>
    <n v="972400"/>
    <n v="995600"/>
    <n v="1278440"/>
    <m/>
    <n v="31763272"/>
    <x v="2"/>
    <n v="2117551.4666666668"/>
    <n v="-6963828.3000000007"/>
    <n v="11247.966666666791"/>
    <x v="1"/>
    <n v="749.86444444445272"/>
    <n v="0.4"/>
    <n v="12705308.800000001"/>
    <n v="0.4"/>
  </r>
  <r>
    <s v="Hammad Hafeez"/>
    <s v="Hammad Noor"/>
    <x v="3"/>
    <x v="29"/>
    <n v="15001968"/>
    <s v="Hematology "/>
    <n v="3002000041"/>
    <s v="N/A"/>
    <n v="120754"/>
    <s v="22.11.2022"/>
    <s v="07.11.2022"/>
    <s v="27.10.2023"/>
    <s v="Available"/>
    <m/>
    <x v="0"/>
    <x v="0"/>
    <s v="Karachi"/>
    <n v="3020001067"/>
    <x v="71"/>
    <s v="N/A"/>
    <s v="H.J Rafique Shaheed Road, South Saddar Town, Karachi "/>
    <s v="0322-2328894"/>
    <s v="mursaleem.nicvd@gmail.com"/>
    <s v="9033300-4"/>
    <m/>
    <n v="1954396"/>
    <n v="36"/>
    <n v="323047"/>
    <m/>
    <m/>
    <m/>
    <m/>
    <m/>
    <m/>
    <x v="0"/>
    <x v="0"/>
    <m/>
    <m/>
    <m/>
    <m/>
    <m/>
    <m/>
    <m/>
    <m/>
    <s v="Order is in process due to Payment issue we didnt consider po."/>
    <s v="this month we will recevie order and exicute "/>
    <s v="we will increase our prices in new tender which is in process."/>
    <m/>
    <s v="Technical Evaluation in process, prices will reviesed once new awarded to us."/>
    <s v="New tender in technical Evalualtion"/>
    <m/>
    <m/>
    <m/>
    <m/>
    <s v="on Track"/>
    <s v="on Track"/>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x v="21"/>
    <n v="147121.74689189187"/>
    <n v="-223005.85399999982"/>
    <n v="-175925.25310810813"/>
    <x v="1"/>
    <n v="-4754.7365704894091"/>
    <n v="0.4"/>
    <n v="2177401.8539999998"/>
    <n v="0.4"/>
  </r>
  <r>
    <s v="Humayun Patel"/>
    <s v="Jahangir Jalil"/>
    <x v="4"/>
    <x v="28"/>
    <n v="15003159"/>
    <s v="Coagulation Analyzer"/>
    <m/>
    <m/>
    <m/>
    <m/>
    <m/>
    <s v="15.10.2025"/>
    <m/>
    <m/>
    <x v="4"/>
    <x v="0"/>
    <s v="Karachi"/>
    <n v="3020001067"/>
    <x v="71"/>
    <m/>
    <s v="H.J Rafique Shaheed Road, South Saddar Town, Karachi "/>
    <s v="0322-2328894"/>
    <s v="mursaleem.nicvd@gmail.com"/>
    <s v="9033300-4"/>
    <m/>
    <n v="5557031"/>
    <n v="6"/>
    <n v="2106303.5"/>
    <m/>
    <m/>
    <m/>
    <m/>
    <m/>
    <m/>
    <x v="0"/>
    <x v="0"/>
    <m/>
    <m/>
    <m/>
    <m/>
    <m/>
    <m/>
    <m/>
    <m/>
    <m/>
    <m/>
    <e v="#REF!"/>
    <m/>
    <m/>
    <m/>
    <m/>
    <m/>
    <m/>
    <m/>
    <s v="Behind Track machine placed in july 2025"/>
    <s v="on track - check March Sales Rafay"/>
    <n v="1"/>
    <s v="Placed - Operational"/>
    <m/>
    <m/>
    <m/>
    <m/>
    <m/>
    <m/>
    <m/>
    <m/>
    <m/>
    <m/>
    <m/>
    <m/>
    <n v="0"/>
    <m/>
    <m/>
    <m/>
    <m/>
    <m/>
    <m/>
    <m/>
    <m/>
    <m/>
    <m/>
    <m/>
    <m/>
    <n v="0"/>
    <m/>
    <n v="0"/>
    <n v="972400"/>
    <n v="972400"/>
    <n v="486200"/>
    <m/>
    <n v="972400"/>
    <x v="9"/>
    <e v="#DIV/0!"/>
    <n v="5168071"/>
    <e v="#DIV/0!"/>
    <x v="1"/>
    <e v="#DIV/0!"/>
    <n v="0.4"/>
    <n v="388960"/>
    <n v="0.4"/>
  </r>
  <r>
    <s v="Hammad Hafeez"/>
    <s v="Hammad Noor"/>
    <x v="3"/>
    <x v="29"/>
    <n v="15001968"/>
    <s v="Hematology "/>
    <n v="3002000041"/>
    <s v="N/A"/>
    <n v="120751"/>
    <m/>
    <m/>
    <s v="20.12.2024"/>
    <m/>
    <m/>
    <x v="5"/>
    <x v="0"/>
    <s v="Karachi"/>
    <n v="3020001067"/>
    <x v="71"/>
    <m/>
    <s v="H.J Rafique Shaheed Road, South Saddar Town, Karachi "/>
    <s v="0322-2328894"/>
    <s v="mursaleem.nicvd@gmail.com"/>
    <s v="9033300-4"/>
    <m/>
    <n v="1071000"/>
    <n v="60"/>
    <n v="111305"/>
    <m/>
    <m/>
    <m/>
    <m/>
    <m/>
    <m/>
    <x v="0"/>
    <x v="0"/>
    <m/>
    <m/>
    <m/>
    <m/>
    <m/>
    <m/>
    <m/>
    <m/>
    <m/>
    <m/>
    <e v="#REF!"/>
    <m/>
    <m/>
    <m/>
    <m/>
    <m/>
    <m/>
    <m/>
    <s v="on Track"/>
    <s v="on Track"/>
    <n v="1"/>
    <s v="Placed"/>
    <n v="0"/>
    <n v="0"/>
    <n v="396000"/>
    <n v="0"/>
    <n v="140250"/>
    <n v="0"/>
    <n v="198000"/>
    <n v="330000"/>
    <n v="0"/>
    <n v="470250"/>
    <n v="0"/>
    <n v="375401.81"/>
    <n v="1909901.81"/>
    <n v="397406.8"/>
    <n v="0"/>
    <n v="619833.375"/>
    <n v="0"/>
    <n v="0"/>
    <n v="600607"/>
    <n v="0"/>
    <n v="0"/>
    <n v="375401.81"/>
    <n v="0"/>
    <n v="646334.5"/>
    <n v="0"/>
    <n v="2639583.4850000003"/>
    <n v="0"/>
    <n v="263183.34000000003"/>
    <n v="630836"/>
    <n v="894019.34000000008"/>
    <n v="256725.64"/>
    <m/>
    <n v="5443504.6349999998"/>
    <x v="21"/>
    <n v="147121.74689189187"/>
    <n v="-1106401.8539999998"/>
    <n v="35816.746891891875"/>
    <x v="0"/>
    <n v="968.02018626734798"/>
    <n v="0.4"/>
    <n v="2177401.8539999998"/>
    <n v="0.4"/>
  </r>
  <r>
    <s v="Hammad Hafeez"/>
    <s v="Hammad Noor"/>
    <x v="3"/>
    <x v="29"/>
    <n v="15001967"/>
    <s v="Hematology"/>
    <s v="AR # 300410"/>
    <m/>
    <n v="127707"/>
    <m/>
    <m/>
    <s v="05.13.2025"/>
    <m/>
    <s v="Appropriation request pending but machine delivered against B.C"/>
    <x v="0"/>
    <x v="0"/>
    <s v="Karachi"/>
    <n v="3020001074"/>
    <x v="72"/>
    <m/>
    <s v="Plot No ST-15, Block 16, Federal B Area, Sindh"/>
    <s v="021-99330011"/>
    <s v="kihd@cdgk@gmail.com"/>
    <s v="9030950-8"/>
    <m/>
    <n v="1515000"/>
    <n v="36"/>
    <n v="109047"/>
    <m/>
    <m/>
    <m/>
    <m/>
    <m/>
    <m/>
    <x v="0"/>
    <x v="0"/>
    <m/>
    <m/>
    <m/>
    <m/>
    <m/>
    <m/>
    <m/>
    <m/>
    <m/>
    <m/>
    <m/>
    <m/>
    <m/>
    <m/>
    <m/>
    <m/>
    <m/>
    <m/>
    <s v="on Track"/>
    <s v="Sales not in track - April Sales 650k"/>
    <n v="1"/>
    <s v="Placed"/>
    <m/>
    <m/>
    <m/>
    <m/>
    <m/>
    <m/>
    <m/>
    <m/>
    <m/>
    <m/>
    <m/>
    <m/>
    <n v="0"/>
    <m/>
    <m/>
    <m/>
    <m/>
    <n v="635200"/>
    <n v="0"/>
    <n v="0"/>
    <n v="0"/>
    <n v="144340"/>
    <m/>
    <m/>
    <m/>
    <n v="779540"/>
    <n v="0"/>
    <n v="0"/>
    <n v="0"/>
    <n v="0"/>
    <n v="0"/>
    <m/>
    <n v="779540"/>
    <x v="14"/>
    <n v="155908"/>
    <n v="1203184"/>
    <n v="-223571"/>
    <x v="1"/>
    <n v="-44714.2"/>
    <n v="0.4"/>
    <n v="311816"/>
    <n v="0.4"/>
  </r>
  <r>
    <s v="Hammad Hafeez"/>
    <s v="Hammad Noor"/>
    <x v="0"/>
    <x v="0"/>
    <n v="15002462"/>
    <s v="Immunoassay"/>
    <n v="3002000009"/>
    <s v="Machine has been transferred from Noor to Jiliani"/>
    <s v="IA00092922"/>
    <s v="01.07.2022"/>
    <s v="28.06.2022"/>
    <s v="28.06.2022"/>
    <s v="Available"/>
    <m/>
    <x v="3"/>
    <x v="0"/>
    <s v="Quetta"/>
    <n v="3020001083"/>
    <x v="73"/>
    <s v="Asad Ullah"/>
    <s v="Shop # 5, Yet Road, Near M.A. Jinnah Road,"/>
    <s v="0307-3800575 , 081-2826500"/>
    <s v="noor.lab.surgical@gmail.com"/>
    <m/>
    <s v="54400-0524139-1"/>
    <n v="2675000"/>
    <n v="14"/>
    <n v="690432"/>
    <m/>
    <m/>
    <m/>
    <m/>
    <m/>
    <m/>
    <x v="0"/>
    <x v="0"/>
    <m/>
    <m/>
    <m/>
    <m/>
    <m/>
    <m/>
    <m/>
    <m/>
    <m/>
    <m/>
    <m/>
    <m/>
    <s v="This machine was pullback and installed in Burhani khi "/>
    <m/>
    <m/>
    <m/>
    <m/>
    <m/>
    <m/>
    <m/>
    <m/>
    <m/>
    <m/>
    <m/>
    <m/>
    <m/>
    <m/>
    <m/>
    <m/>
    <m/>
    <m/>
    <m/>
    <m/>
    <m/>
    <n v="0"/>
    <m/>
    <m/>
    <m/>
    <m/>
    <m/>
    <m/>
    <m/>
    <m/>
    <n v="0"/>
    <m/>
    <n v="0"/>
    <m/>
    <n v="0"/>
    <m/>
    <m/>
    <m/>
    <n v="0"/>
    <n v="0"/>
    <s v="Closed - No sales after Feb 23"/>
    <n v="0"/>
    <x v="31"/>
    <n v="0"/>
    <n v="2675000"/>
    <n v="-690432"/>
    <x v="1"/>
    <n v="-69043.199999999997"/>
    <n v="0.4"/>
    <n v="0"/>
    <n v="0.4"/>
  </r>
  <r>
    <s v="Abdul Moeed"/>
    <s v="Jahangir Jalil"/>
    <x v="6"/>
    <x v="23"/>
    <n v="15002705"/>
    <s v="Arterial Blood Gas Analyzer"/>
    <m/>
    <m/>
    <m/>
    <m/>
    <m/>
    <s v="02.07.2025"/>
    <m/>
    <m/>
    <x v="4"/>
    <x v="1"/>
    <s v="Lahore"/>
    <n v="3020001092"/>
    <x v="74"/>
    <m/>
    <m/>
    <m/>
    <m/>
    <m/>
    <m/>
    <n v="1904821"/>
    <n v="30"/>
    <n v="299183"/>
    <m/>
    <m/>
    <m/>
    <m/>
    <m/>
    <m/>
    <x v="0"/>
    <x v="0"/>
    <m/>
    <m/>
    <m/>
    <m/>
    <m/>
    <m/>
    <m/>
    <m/>
    <m/>
    <m/>
    <m/>
    <m/>
    <m/>
    <m/>
    <m/>
    <m/>
    <m/>
    <m/>
    <s v="Due to shortages of stock"/>
    <s v="Due to shortages of stock"/>
    <m/>
    <s v="Placed"/>
    <m/>
    <m/>
    <m/>
    <m/>
    <m/>
    <m/>
    <m/>
    <m/>
    <m/>
    <m/>
    <m/>
    <m/>
    <n v="0"/>
    <m/>
    <m/>
    <m/>
    <m/>
    <m/>
    <m/>
    <m/>
    <m/>
    <m/>
    <m/>
    <m/>
    <m/>
    <n v="0"/>
    <n v="368850"/>
    <m/>
    <m/>
    <n v="368850"/>
    <n v="368850"/>
    <m/>
    <n v="368850"/>
    <x v="28"/>
    <n v="368850"/>
    <n v="1904821"/>
    <n v="69667"/>
    <x v="2"/>
    <n v="69667"/>
    <m/>
    <n v="0"/>
    <n v="0"/>
  </r>
  <r>
    <s v="Daniyal Khurshid"/>
    <s v="Jahangir Jalil"/>
    <x v="7"/>
    <x v="15"/>
    <n v="15002673"/>
    <s v="Urine Analyzer"/>
    <m/>
    <m/>
    <m/>
    <m/>
    <m/>
    <s v="14.10.2025"/>
    <m/>
    <m/>
    <x v="4"/>
    <x v="0"/>
    <s v="Karachi"/>
    <n v="3020000135"/>
    <x v="75"/>
    <m/>
    <m/>
    <m/>
    <m/>
    <m/>
    <m/>
    <n v="6101141"/>
    <n v="37"/>
    <n v="432965"/>
    <m/>
    <m/>
    <m/>
    <m/>
    <m/>
    <m/>
    <x v="0"/>
    <x v="0"/>
    <m/>
    <m/>
    <m/>
    <m/>
    <m/>
    <m/>
    <m/>
    <m/>
    <m/>
    <m/>
    <m/>
    <m/>
    <m/>
    <m/>
    <m/>
    <m/>
    <m/>
    <m/>
    <s v="Behind track"/>
    <s v="will be on track by April"/>
    <m/>
    <s v="Placed"/>
    <m/>
    <m/>
    <m/>
    <m/>
    <m/>
    <m/>
    <m/>
    <m/>
    <m/>
    <m/>
    <m/>
    <m/>
    <n v="0"/>
    <m/>
    <m/>
    <m/>
    <m/>
    <m/>
    <m/>
    <m/>
    <m/>
    <m/>
    <m/>
    <m/>
    <m/>
    <n v="0"/>
    <n v="404200"/>
    <n v="111800"/>
    <n v="725400"/>
    <n v="1241400"/>
    <n v="413800"/>
    <m/>
    <n v="1241400"/>
    <x v="9"/>
    <e v="#DIV/0!"/>
    <m/>
    <e v="#DIV/0!"/>
    <x v="2"/>
    <e v="#DIV/0!"/>
    <m/>
    <n v="0"/>
    <n v="0"/>
  </r>
  <r>
    <s v="Daniyal Khurshid"/>
    <s v="Jahangir Jalil"/>
    <x v="4"/>
    <x v="30"/>
    <n v="15003001"/>
    <s v="Urine Analyzer"/>
    <m/>
    <m/>
    <m/>
    <m/>
    <m/>
    <s v="13.10.2025"/>
    <m/>
    <m/>
    <x v="2"/>
    <x v="0"/>
    <s v="Karachi"/>
    <n v="3020001115"/>
    <x v="76"/>
    <m/>
    <m/>
    <m/>
    <m/>
    <m/>
    <m/>
    <n v="7395308"/>
    <n v="40"/>
    <n v="688873"/>
    <m/>
    <m/>
    <m/>
    <m/>
    <m/>
    <m/>
    <x v="0"/>
    <x v="0"/>
    <m/>
    <m/>
    <m/>
    <m/>
    <m/>
    <m/>
    <m/>
    <m/>
    <m/>
    <m/>
    <m/>
    <m/>
    <m/>
    <m/>
    <m/>
    <m/>
    <m/>
    <m/>
    <s v="New Installation"/>
    <s v="on track - check March Sales Rafay"/>
    <m/>
    <s v="Placed"/>
    <m/>
    <m/>
    <m/>
    <m/>
    <m/>
    <m/>
    <m/>
    <m/>
    <m/>
    <m/>
    <m/>
    <m/>
    <n v="0"/>
    <m/>
    <m/>
    <m/>
    <m/>
    <m/>
    <m/>
    <m/>
    <m/>
    <m/>
    <m/>
    <m/>
    <m/>
    <n v="0"/>
    <m/>
    <m/>
    <m/>
    <n v="0"/>
    <n v="0"/>
    <m/>
    <n v="0"/>
    <x v="9"/>
    <e v="#DIV/0!"/>
    <m/>
    <e v="#DIV/0!"/>
    <x v="2"/>
    <e v="#DIV/0!"/>
    <m/>
    <n v="0"/>
    <n v="0"/>
  </r>
  <r>
    <s v="Abdul Moeed"/>
    <s v="Jahangir Jalil"/>
    <x v="2"/>
    <x v="13"/>
    <n v="15002760"/>
    <s v="Immunoassay"/>
    <n v="3002000080"/>
    <m/>
    <n v="30006375"/>
    <m/>
    <m/>
    <m/>
    <m/>
    <m/>
    <x v="0"/>
    <x v="1"/>
    <s v="Lahore"/>
    <n v="3020001124"/>
    <x v="77"/>
    <m/>
    <m/>
    <m/>
    <m/>
    <m/>
    <m/>
    <n v="18808000"/>
    <m/>
    <n v="3123750"/>
    <m/>
    <m/>
    <m/>
    <m/>
    <m/>
    <m/>
    <x v="0"/>
    <x v="0"/>
    <m/>
    <m/>
    <m/>
    <m/>
    <m/>
    <m/>
    <m/>
    <m/>
    <m/>
    <m/>
    <m/>
    <m/>
    <m/>
    <m/>
    <m/>
    <m/>
    <m/>
    <m/>
    <s v="Behind Target need to followup"/>
    <s v="issue settled will be on track soon"/>
    <n v="1"/>
    <m/>
    <m/>
    <m/>
    <m/>
    <m/>
    <m/>
    <m/>
    <m/>
    <m/>
    <m/>
    <m/>
    <m/>
    <m/>
    <n v="0"/>
    <m/>
    <m/>
    <n v="0"/>
    <n v="6230153"/>
    <n v="3749491.8000000003"/>
    <n v="19000"/>
    <n v="0"/>
    <n v="0"/>
    <n v="0"/>
    <n v="0"/>
    <m/>
    <m/>
    <n v="9998644.8000000007"/>
    <n v="0"/>
    <n v="0"/>
    <n v="0"/>
    <n v="0"/>
    <n v="0"/>
    <m/>
    <n v="9998644.8000000007"/>
    <x v="31"/>
    <n v="999864.4800000001"/>
    <m/>
    <n v="-2123885.52"/>
    <x v="2"/>
    <n v="-212388.552"/>
    <m/>
    <n v="0"/>
    <n v="0"/>
  </r>
  <r>
    <s v="Abdul Moeed"/>
    <s v="Jahangir Jalil"/>
    <x v="4"/>
    <x v="30"/>
    <n v="15003001"/>
    <s v="coagulation"/>
    <m/>
    <m/>
    <m/>
    <m/>
    <m/>
    <s v="20.10.2025"/>
    <m/>
    <m/>
    <x v="4"/>
    <x v="1"/>
    <s v="Lahore"/>
    <n v="3020001124"/>
    <x v="78"/>
    <s v="Hafiz Aneaq Ahmed"/>
    <s v="Ghaus-ul-azam Road, jail road punjab lahore"/>
    <s v="042-99203053, 03008183288"/>
    <s v="punjab.cardiology@gmail.com"/>
    <s v="9020107-1"/>
    <s v="_"/>
    <n v="15492667"/>
    <n v="23"/>
    <n v="4804146"/>
    <m/>
    <m/>
    <m/>
    <m/>
    <m/>
    <m/>
    <x v="0"/>
    <x v="0"/>
    <m/>
    <m/>
    <m/>
    <m/>
    <m/>
    <m/>
    <m/>
    <m/>
    <m/>
    <m/>
    <m/>
    <m/>
    <m/>
    <m/>
    <m/>
    <m/>
    <m/>
    <m/>
    <s v="On Track"/>
    <s v="on Track"/>
    <n v="1"/>
    <s v="Placed  "/>
    <m/>
    <m/>
    <m/>
    <m/>
    <m/>
    <m/>
    <m/>
    <m/>
    <m/>
    <m/>
    <m/>
    <m/>
    <n v="0"/>
    <m/>
    <m/>
    <m/>
    <m/>
    <m/>
    <m/>
    <m/>
    <m/>
    <m/>
    <m/>
    <n v="2462400"/>
    <n v="16873200"/>
    <n v="19335600"/>
    <m/>
    <m/>
    <m/>
    <n v="0"/>
    <n v="9667800"/>
    <m/>
    <n v="19335600"/>
    <x v="4"/>
    <n v="6445200"/>
    <m/>
    <n v="1641054"/>
    <x v="2"/>
    <n v="547018"/>
    <m/>
    <n v="0"/>
    <n v="0"/>
  </r>
  <r>
    <s v="Imran Rana"/>
    <s v="Hammad Noor"/>
    <x v="0"/>
    <x v="12"/>
    <n v="15002553"/>
    <s v="Immunoassay"/>
    <m/>
    <m/>
    <m/>
    <m/>
    <m/>
    <s v="02.09.2025"/>
    <m/>
    <m/>
    <x v="0"/>
    <x v="1"/>
    <s v="Wazirabad"/>
    <n v="3020001131"/>
    <x v="79"/>
    <m/>
    <m/>
    <m/>
    <m/>
    <m/>
    <m/>
    <n v="3032232"/>
    <n v="36"/>
    <n v="147374"/>
    <m/>
    <m/>
    <m/>
    <m/>
    <m/>
    <m/>
    <x v="0"/>
    <x v="0"/>
    <m/>
    <m/>
    <m/>
    <m/>
    <m/>
    <m/>
    <m/>
    <m/>
    <m/>
    <m/>
    <m/>
    <m/>
    <m/>
    <m/>
    <m/>
    <m/>
    <m/>
    <m/>
    <s v="On Track"/>
    <s v="On Track"/>
    <n v="1"/>
    <s v="Placed"/>
    <m/>
    <m/>
    <m/>
    <m/>
    <m/>
    <m/>
    <m/>
    <m/>
    <m/>
    <m/>
    <m/>
    <m/>
    <n v="0"/>
    <m/>
    <m/>
    <m/>
    <m/>
    <m/>
    <m/>
    <m/>
    <m/>
    <n v="251840"/>
    <n v="381770"/>
    <n v="0"/>
    <m/>
    <n v="633610"/>
    <m/>
    <m/>
    <n v="391470"/>
    <n v="391470"/>
    <n v="257746.66666666666"/>
    <m/>
    <n v="1025080"/>
    <x v="4"/>
    <n v="341693.33333333331"/>
    <m/>
    <n v="194319.33333333331"/>
    <x v="2"/>
    <n v="64773.111111111102"/>
    <m/>
    <n v="0"/>
    <n v="0"/>
  </r>
  <r>
    <s v="Imran Rana"/>
    <s v="Hammad Noor"/>
    <x v="0"/>
    <x v="25"/>
    <n v="15002462"/>
    <s v="Immunoassay"/>
    <n v="3002000028"/>
    <s v="N/A"/>
    <s v="IA00096624"/>
    <s v="27.01.2023"/>
    <s v="10.01.2023"/>
    <s v="27.02.2023"/>
    <s v="Available"/>
    <m/>
    <x v="0"/>
    <x v="1"/>
    <s v="Gujranwala"/>
    <n v="3020001141"/>
    <x v="80"/>
    <s v="Mr. Nawaz Ahmed Bajwa"/>
    <s v="Sialkot Road, Gujranwala."/>
    <s v="055-3259061-3"/>
    <s v="Not Available"/>
    <s v="2298630-8"/>
    <m/>
    <n v="3706000"/>
    <n v="15"/>
    <n v="541370"/>
    <m/>
    <m/>
    <s v="1 month sales, first order sale still not completed due to unavailiblity of stock"/>
    <s v="Stock unavailable "/>
    <s v="account has been blocked "/>
    <s v="invoice 0.7 Mio has been recieved "/>
    <x v="15"/>
    <x v="17"/>
    <s v="800,000 order invoiced "/>
    <s v="in line as per business comitment "/>
    <m/>
    <m/>
    <m/>
    <m/>
    <m/>
    <m/>
    <m/>
    <m/>
    <s v="Sales are on track"/>
    <m/>
    <m/>
    <m/>
    <m/>
    <m/>
    <m/>
    <m/>
    <s v="On Track"/>
    <s v="On Track"/>
    <n v="1"/>
    <s v="Placed"/>
    <n v="640175"/>
    <n v="530975"/>
    <n v="569950"/>
    <n v="469775"/>
    <n v="561800"/>
    <n v="577100"/>
    <n v="873725"/>
    <n v="747100"/>
    <n v="811225"/>
    <n v="365700"/>
    <n v="855075"/>
    <n v="583900"/>
    <n v="7586500"/>
    <n v="672050"/>
    <n v="462125"/>
    <n v="422120"/>
    <n v="576650"/>
    <n v="634525"/>
    <n v="468775"/>
    <n v="514375"/>
    <n v="574200"/>
    <n v="505350"/>
    <n v="359125"/>
    <n v="714925"/>
    <n v="377400"/>
    <n v="6281620"/>
    <n v="574900"/>
    <n v="986225"/>
    <n v="843500"/>
    <n v="2404625"/>
    <n v="642679.16666666663"/>
    <m/>
    <n v="16272745"/>
    <x v="19"/>
    <n v="464935.57142857142"/>
    <n v="-2803098"/>
    <n v="-76434.42857142858"/>
    <x v="0"/>
    <n v="-2183.8408163265308"/>
    <n v="0.4"/>
    <n v="6509098"/>
    <n v="0.4"/>
  </r>
  <r>
    <s v="Daniyal Khurshid"/>
    <s v="Jahangir Jalil"/>
    <x v="7"/>
    <x v="16"/>
    <n v="15002674"/>
    <s v="Electrolyte Analyzer"/>
    <m/>
    <m/>
    <s v="5867-2-202302"/>
    <m/>
    <m/>
    <s v="12.09.2025"/>
    <m/>
    <m/>
    <x v="0"/>
    <x v="0"/>
    <s v="Karachi"/>
    <n v="3020001174"/>
    <x v="81"/>
    <m/>
    <m/>
    <m/>
    <m/>
    <m/>
    <m/>
    <n v="633821"/>
    <n v="22"/>
    <n v="63930"/>
    <m/>
    <m/>
    <m/>
    <m/>
    <m/>
    <m/>
    <x v="0"/>
    <x v="0"/>
    <m/>
    <m/>
    <m/>
    <m/>
    <m/>
    <m/>
    <m/>
    <m/>
    <m/>
    <m/>
    <m/>
    <m/>
    <m/>
    <m/>
    <m/>
    <m/>
    <m/>
    <m/>
    <s v="Pull Back"/>
    <s v="invoice in April"/>
    <n v="1"/>
    <s v="Placed"/>
    <m/>
    <m/>
    <m/>
    <m/>
    <m/>
    <m/>
    <m/>
    <m/>
    <m/>
    <m/>
    <m/>
    <m/>
    <n v="0"/>
    <m/>
    <m/>
    <m/>
    <m/>
    <m/>
    <m/>
    <m/>
    <m/>
    <n v="87100"/>
    <m/>
    <m/>
    <m/>
    <n v="87100"/>
    <n v="0"/>
    <n v="0"/>
    <n v="0"/>
    <n v="0"/>
    <n v="0"/>
    <m/>
    <n v="87100"/>
    <x v="14"/>
    <n v="17420"/>
    <m/>
    <n v="-46510"/>
    <x v="2"/>
    <n v="-9302"/>
    <m/>
    <n v="0"/>
    <n v="0"/>
  </r>
  <r>
    <s v="Humayun Patel"/>
    <s v="Jahangir Jalil"/>
    <x v="7"/>
    <x v="31"/>
    <n v="15002668"/>
    <s v="Coagulation Analyzer"/>
    <n v="3002000074"/>
    <m/>
    <s v="E0672-41-300621"/>
    <m/>
    <m/>
    <s v="16.09.2024"/>
    <m/>
    <m/>
    <x v="0"/>
    <x v="0"/>
    <s v="Nawabshah"/>
    <n v="3020001175"/>
    <x v="82"/>
    <m/>
    <m/>
    <m/>
    <m/>
    <m/>
    <m/>
    <n v="483475"/>
    <n v="6"/>
    <n v="143250"/>
    <m/>
    <m/>
    <m/>
    <m/>
    <m/>
    <m/>
    <x v="0"/>
    <x v="0"/>
    <m/>
    <m/>
    <m/>
    <m/>
    <m/>
    <m/>
    <m/>
    <m/>
    <m/>
    <m/>
    <e v="#N/A"/>
    <m/>
    <m/>
    <m/>
    <m/>
    <m/>
    <m/>
    <m/>
    <s v="behind track need followup"/>
    <s v="will be on track by April - follow up by Daniyal"/>
    <n v="1"/>
    <s v="Placed"/>
    <m/>
    <m/>
    <m/>
    <m/>
    <m/>
    <m/>
    <m/>
    <m/>
    <m/>
    <m/>
    <m/>
    <m/>
    <n v="0"/>
    <m/>
    <m/>
    <m/>
    <m/>
    <n v="0"/>
    <n v="154153"/>
    <n v="0"/>
    <n v="0"/>
    <n v="150763"/>
    <n v="0"/>
    <n v="0"/>
    <n v="0"/>
    <n v="304916"/>
    <n v="155085"/>
    <m/>
    <n v="113390"/>
    <n v="268475"/>
    <n v="53695"/>
    <s v="tender based busi. Demo kits have been issued then they’ll order"/>
    <n v="573391"/>
    <x v="33"/>
    <n v="95565.166666666672"/>
    <n v="254118.59999999998"/>
    <n v="-47684.833333333328"/>
    <x v="14"/>
    <n v="-7947.4722222222217"/>
    <n v="0.4"/>
    <n v="229356.40000000002"/>
    <n v="0.4"/>
  </r>
  <r>
    <s v="Hammad Hafeez"/>
    <s v="Hammad Noor"/>
    <x v="0"/>
    <x v="12"/>
    <n v="15002553"/>
    <s v="Immunoassay"/>
    <m/>
    <m/>
    <m/>
    <m/>
    <m/>
    <s v="12.09.2024"/>
    <s v="Not Available"/>
    <m/>
    <x v="1"/>
    <x v="0"/>
    <s v="Nawabshah"/>
    <n v="3020001175"/>
    <x v="82"/>
    <m/>
    <m/>
    <m/>
    <m/>
    <m/>
    <m/>
    <n v="2915000"/>
    <n v="36"/>
    <n v="295221"/>
    <m/>
    <m/>
    <m/>
    <m/>
    <m/>
    <m/>
    <x v="0"/>
    <x v="0"/>
    <m/>
    <m/>
    <m/>
    <m/>
    <m/>
    <m/>
    <m/>
    <m/>
    <m/>
    <m/>
    <e v="#N/A"/>
    <m/>
    <m/>
    <m/>
    <m/>
    <m/>
    <m/>
    <m/>
    <m/>
    <m/>
    <m/>
    <m/>
    <m/>
    <m/>
    <m/>
    <m/>
    <m/>
    <m/>
    <m/>
    <m/>
    <m/>
    <m/>
    <m/>
    <m/>
    <n v="0"/>
    <m/>
    <m/>
    <m/>
    <m/>
    <m/>
    <m/>
    <n v="0"/>
    <n v="0"/>
    <m/>
    <n v="0"/>
    <n v="0"/>
    <m/>
    <n v="0"/>
    <m/>
    <m/>
    <m/>
    <n v="0"/>
    <n v="0"/>
    <m/>
    <n v="0"/>
    <x v="9"/>
    <e v="#DIV/0!"/>
    <n v="2915000"/>
    <m/>
    <x v="4"/>
    <e v="#DIV/0!"/>
    <n v="0.4"/>
    <n v="0"/>
    <n v="0.4"/>
  </r>
  <r>
    <s v="Imran Rana"/>
    <s v="Hammad Noor"/>
    <x v="1"/>
    <x v="8"/>
    <n v="15002463"/>
    <s v="Clinical Chemistry"/>
    <n v="3002000002"/>
    <s v="N/A"/>
    <s v="21-5017"/>
    <m/>
    <s v="21.9.2023"/>
    <s v="19.03.2024"/>
    <s v="Available"/>
    <m/>
    <x v="0"/>
    <x v="1"/>
    <s v="Gujrat"/>
    <n v="3020001192"/>
    <x v="83"/>
    <s v="Govt. Institute"/>
    <s v="AZIZ BHATTI SHAHEED TEACHING HOSPITAL"/>
    <s v="053-9260104"/>
    <s v=" shaistasyed28@hotmail.com"/>
    <s v="9021249-0"/>
    <m/>
    <n v="4350000"/>
    <n v="30"/>
    <n v="391086"/>
    <m/>
    <m/>
    <m/>
    <m/>
    <m/>
    <m/>
    <x v="0"/>
    <x v="0"/>
    <m/>
    <m/>
    <m/>
    <m/>
    <m/>
    <m/>
    <m/>
    <m/>
    <m/>
    <m/>
    <m/>
    <m/>
    <m/>
    <m/>
    <m/>
    <m/>
    <m/>
    <m/>
    <s v="Pull Back"/>
    <s v="Waleed - Imran Rana will upate on it"/>
    <n v="1"/>
    <s v="Placed"/>
    <n v="3781305.1599999997"/>
    <n v="0"/>
    <n v="236600"/>
    <n v="0"/>
    <n v="0"/>
    <n v="0"/>
    <n v="2442712.11"/>
    <n v="-335500"/>
    <n v="0"/>
    <n v="685254.27"/>
    <n v="0"/>
    <n v="1821694.8600000003"/>
    <n v="8632066.3999999985"/>
    <n v="0"/>
    <n v="0"/>
    <n v="878818"/>
    <n v="0"/>
    <n v="0"/>
    <n v="0"/>
    <n v="0"/>
    <n v="0"/>
    <n v="0"/>
    <m/>
    <m/>
    <m/>
    <n v="878818"/>
    <n v="0"/>
    <n v="0"/>
    <n v="0"/>
    <n v="0"/>
    <n v="0"/>
    <m/>
    <n v="9510884.3999999985"/>
    <x v="18"/>
    <n v="380435.37599999993"/>
    <n v="70102.020000000484"/>
    <n v="-10650.624000000069"/>
    <x v="0"/>
    <n v="-426.02496000000275"/>
    <n v="0.45"/>
    <n v="4279897.9799999995"/>
    <n v="0.45"/>
  </r>
  <r>
    <s v="Imran Rana"/>
    <s v="Hammad Noor"/>
    <x v="1"/>
    <x v="8"/>
    <n v="15002463"/>
    <s v="Clinical Chemistry"/>
    <n v="3002000105"/>
    <s v="Transferred to Medcare"/>
    <s v="24-5018"/>
    <m/>
    <m/>
    <s v="13.05.2025"/>
    <m/>
    <m/>
    <x v="1"/>
    <x v="1"/>
    <s v="Lahore"/>
    <n v="3020001221"/>
    <x v="84"/>
    <m/>
    <s v="Jatti Umra, Adda Plot Rawand Road, Punjab"/>
    <s v="042-37860101"/>
    <s v="smch@brain.net.pk"/>
    <s v="1888872-7"/>
    <m/>
    <n v="4335000"/>
    <n v="35"/>
    <n v="272436"/>
    <m/>
    <m/>
    <m/>
    <m/>
    <m/>
    <m/>
    <x v="0"/>
    <x v="0"/>
    <m/>
    <m/>
    <m/>
    <m/>
    <m/>
    <m/>
    <m/>
    <m/>
    <m/>
    <m/>
    <m/>
    <m/>
    <m/>
    <m/>
    <m/>
    <m/>
    <m/>
    <m/>
    <s v="Closed"/>
    <m/>
    <m/>
    <m/>
    <m/>
    <m/>
    <m/>
    <m/>
    <m/>
    <m/>
    <n v="258474.57"/>
    <n v="494000"/>
    <n v="354880"/>
    <m/>
    <m/>
    <n v="280000"/>
    <n v="1387354.57"/>
    <n v="0"/>
    <n v="0"/>
    <n v="0"/>
    <n v="0"/>
    <n v="0"/>
    <n v="0"/>
    <n v="0"/>
    <n v="0"/>
    <n v="0"/>
    <n v="0"/>
    <n v="0"/>
    <m/>
    <n v="0"/>
    <m/>
    <m/>
    <m/>
    <n v="0"/>
    <n v="0"/>
    <m/>
    <n v="1387354.57"/>
    <x v="17"/>
    <n v="86709.660625000004"/>
    <n v="3710690.4435000001"/>
    <n v="122659.33333333331"/>
    <x v="0"/>
    <n v="7666.2083333333321"/>
    <n v="0.45"/>
    <n v="624309.55650000006"/>
    <n v="0.45"/>
  </r>
  <r>
    <s v="Hammad Hafeez"/>
    <s v="Hammad Noor"/>
    <x v="1"/>
    <x v="8"/>
    <n v="15002463"/>
    <s v="Clinical Chemistry"/>
    <n v="3002000110"/>
    <m/>
    <s v="24-5032"/>
    <s v="11.02.2025"/>
    <m/>
    <s v="20.12.2024"/>
    <s v="Available"/>
    <m/>
    <x v="1"/>
    <x v="0"/>
    <s v="Karachi"/>
    <n v="3020001224"/>
    <x v="85"/>
    <m/>
    <s v="Fauji Foundation, Shahfaisal colony-2"/>
    <s v="021-3814060"/>
    <s v="shaffat.hussain@fauji.org.pk"/>
    <s v="0710317-2"/>
    <m/>
    <n v="8800000"/>
    <n v="35"/>
    <n v="389145"/>
    <m/>
    <m/>
    <m/>
    <m/>
    <m/>
    <m/>
    <x v="0"/>
    <x v="0"/>
    <m/>
    <m/>
    <m/>
    <m/>
    <m/>
    <m/>
    <m/>
    <m/>
    <m/>
    <m/>
    <e v="#N/A"/>
    <m/>
    <m/>
    <m/>
    <m/>
    <m/>
    <m/>
    <m/>
    <m/>
    <m/>
    <m/>
    <m/>
    <m/>
    <m/>
    <m/>
    <m/>
    <m/>
    <m/>
    <m/>
    <m/>
    <m/>
    <m/>
    <m/>
    <m/>
    <n v="0"/>
    <m/>
    <m/>
    <n v="4557907"/>
    <m/>
    <n v="259077"/>
    <m/>
    <m/>
    <m/>
    <m/>
    <m/>
    <m/>
    <m/>
    <n v="4816984"/>
    <m/>
    <m/>
    <m/>
    <n v="0"/>
    <n v="0"/>
    <m/>
    <n v="4816984"/>
    <x v="10"/>
    <n v="602123"/>
    <n v="6632357.1999999993"/>
    <n v="212978"/>
    <x v="0"/>
    <n v="26622.25"/>
    <n v="0.45"/>
    <n v="2167642.8000000003"/>
    <n v="0.45"/>
  </r>
  <r>
    <s v="Hammad Hafeez"/>
    <s v="Hammad Noor"/>
    <x v="1"/>
    <x v="8"/>
    <n v="15002463"/>
    <s v="Clinical Chemistry"/>
    <m/>
    <m/>
    <m/>
    <m/>
    <m/>
    <m/>
    <m/>
    <m/>
    <x v="5"/>
    <x v="0"/>
    <s v="Karachi"/>
    <n v="3020001224"/>
    <x v="85"/>
    <m/>
    <m/>
    <m/>
    <m/>
    <m/>
    <m/>
    <n v="8800000"/>
    <n v="37"/>
    <n v="379664"/>
    <m/>
    <m/>
    <m/>
    <m/>
    <m/>
    <m/>
    <x v="0"/>
    <x v="0"/>
    <m/>
    <m/>
    <m/>
    <m/>
    <m/>
    <m/>
    <m/>
    <m/>
    <m/>
    <m/>
    <m/>
    <m/>
    <m/>
    <m/>
    <m/>
    <m/>
    <m/>
    <m/>
    <s v="on Track"/>
    <s v="on Track - check BC - Fasi"/>
    <n v="1"/>
    <s v="Placed"/>
    <m/>
    <m/>
    <m/>
    <m/>
    <m/>
    <m/>
    <m/>
    <m/>
    <m/>
    <m/>
    <m/>
    <m/>
    <n v="0"/>
    <m/>
    <m/>
    <n v="4557907"/>
    <m/>
    <n v="259077"/>
    <m/>
    <m/>
    <n v="30000"/>
    <n v="2618773"/>
    <n v="3250213"/>
    <n v="3363259"/>
    <n v="2171078"/>
    <n v="16250307"/>
    <n v="5612247"/>
    <n v="221538"/>
    <n v="418339"/>
    <n v="6252124"/>
    <n v="2506112.3333333335"/>
    <m/>
    <n v="22502431"/>
    <x v="33"/>
    <n v="3750405.1666666665"/>
    <m/>
    <n v="3370741.1666666665"/>
    <x v="2"/>
    <n v="561790.19444444438"/>
    <m/>
    <n v="0"/>
    <n v="0"/>
  </r>
  <r>
    <s v="Abdul Moeed"/>
    <s v="Jahangir Jalil"/>
    <x v="7"/>
    <x v="16"/>
    <n v="15002674"/>
    <s v="Electrolyte Analyzer"/>
    <n v="3002000116"/>
    <m/>
    <s v="81-1-202207"/>
    <m/>
    <m/>
    <s v="27.06.2025"/>
    <m/>
    <m/>
    <x v="0"/>
    <x v="1"/>
    <s v="Rahim Yar Khan"/>
    <n v="3020001230"/>
    <x v="86"/>
    <m/>
    <m/>
    <m/>
    <m/>
    <m/>
    <m/>
    <n v="653000"/>
    <n v="27"/>
    <n v="79375"/>
    <m/>
    <m/>
    <m/>
    <m/>
    <m/>
    <m/>
    <x v="0"/>
    <x v="0"/>
    <m/>
    <m/>
    <m/>
    <m/>
    <m/>
    <m/>
    <m/>
    <m/>
    <m/>
    <m/>
    <m/>
    <m/>
    <m/>
    <m/>
    <m/>
    <m/>
    <m/>
    <m/>
    <s v="Pull Back"/>
    <s v="Pulled Back and placed in Children Hospital  as backup - New case to be submitted"/>
    <m/>
    <s v="Placed"/>
    <m/>
    <m/>
    <m/>
    <m/>
    <m/>
    <m/>
    <m/>
    <m/>
    <m/>
    <m/>
    <n v="190500"/>
    <m/>
    <n v="190500"/>
    <m/>
    <m/>
    <n v="381000"/>
    <n v="0"/>
    <n v="0"/>
    <n v="0"/>
    <n v="0"/>
    <n v="0"/>
    <n v="0"/>
    <m/>
    <m/>
    <m/>
    <n v="381000"/>
    <m/>
    <m/>
    <m/>
    <n v="0"/>
    <n v="0"/>
    <m/>
    <n v="571500"/>
    <x v="20"/>
    <n v="47625"/>
    <n v="653000"/>
    <n v="-31750"/>
    <x v="2"/>
    <n v="-2645.8333333333335"/>
    <m/>
    <n v="0"/>
    <n v="0"/>
  </r>
  <r>
    <s v="Imran Rana"/>
    <s v="Hammad Noor"/>
    <x v="5"/>
    <x v="7"/>
    <n v="15003243"/>
    <s v="Hematology "/>
    <m/>
    <m/>
    <s v="DM11052437001"/>
    <m/>
    <m/>
    <s v="25.04.2025"/>
    <s v="Available"/>
    <m/>
    <x v="0"/>
    <x v="1"/>
    <s v="Gujranwala"/>
    <n v="3020001237"/>
    <x v="87"/>
    <s v="N/A"/>
    <s v="Sheikhupura road, Gujranwala"/>
    <s v="0308-4227064"/>
    <s v="ssmtci@yahoo.com"/>
    <s v="2073349-6"/>
    <m/>
    <n v="2324427"/>
    <n v="37"/>
    <n v="92242"/>
    <m/>
    <m/>
    <m/>
    <m/>
    <m/>
    <m/>
    <x v="0"/>
    <x v="0"/>
    <m/>
    <m/>
    <m/>
    <m/>
    <m/>
    <m/>
    <m/>
    <m/>
    <m/>
    <m/>
    <m/>
    <m/>
    <m/>
    <m/>
    <m/>
    <m/>
    <m/>
    <m/>
    <s v="On Track but supply issue"/>
    <s v="Supply issue due to DRAP"/>
    <n v="1"/>
    <s v="Placed"/>
    <m/>
    <m/>
    <m/>
    <m/>
    <m/>
    <m/>
    <m/>
    <m/>
    <m/>
    <m/>
    <m/>
    <m/>
    <n v="0"/>
    <n v="0"/>
    <n v="0"/>
    <n v="0"/>
    <n v="238820"/>
    <n v="0"/>
    <n v="0"/>
    <n v="222380"/>
    <n v="916400"/>
    <n v="98940"/>
    <n v="100200"/>
    <m/>
    <n v="273000"/>
    <n v="1849740"/>
    <n v="0"/>
    <n v="0"/>
    <m/>
    <n v="0"/>
    <n v="93300"/>
    <m/>
    <n v="1849740"/>
    <x v="10"/>
    <n v="231217.5"/>
    <n v="1584531"/>
    <n v="138975.5"/>
    <x v="0"/>
    <n v="17371.9375"/>
    <n v="0.4"/>
    <n v="739896"/>
    <n v="0.4"/>
  </r>
  <r>
    <s v="Imran Rana"/>
    <s v="Hammad Noor"/>
    <x v="1"/>
    <x v="8"/>
    <n v="15002463"/>
    <s v="Clinical Chemistry"/>
    <n v="3002000001"/>
    <s v="N/A"/>
    <s v="22-5003"/>
    <s v="18.01.2022"/>
    <s v="29.03.2022"/>
    <s v="20.03.2022"/>
    <s v="Available"/>
    <m/>
    <x v="0"/>
    <x v="1"/>
    <s v="Gujranwala"/>
    <n v="3020001237"/>
    <x v="87"/>
    <s v="Mr. Usman"/>
    <s v="Sheikhupura road, Gujranwala"/>
    <s v="0304-1114242"/>
    <s v=" ssmtci@yahoo.com       "/>
    <s v="2073349-6"/>
    <m/>
    <n v="4520275"/>
    <n v="32"/>
    <n v="400000"/>
    <s v="Instrument was down due to photometric unit. Now repaired after receiving parts from Elitech. "/>
    <s v="order received will be invoiced this month 0.7 mio"/>
    <s v="Stock unavailable "/>
    <s v="Stock unavailable "/>
    <s v="stock not available,issue in instrument "/>
    <s v="instruments parts are intransit which we will recieve in next week "/>
    <x v="16"/>
    <x v="18"/>
    <s v=" Order is in process expected orderRs. 800,000 "/>
    <s v="prices revised to mitigate the commited Sales gap "/>
    <m/>
    <m/>
    <m/>
    <m/>
    <m/>
    <m/>
    <m/>
    <m/>
    <s v="Sales are on track. We have revised the prices. Gap will be covered within next 3 months"/>
    <m/>
    <s v="Revised case"/>
    <m/>
    <m/>
    <m/>
    <m/>
    <m/>
    <s v="behind track need followup"/>
    <s v="behind track - few items short due to supply"/>
    <n v="1"/>
    <s v="Placed"/>
    <n v="0"/>
    <n v="324345"/>
    <n v="19245"/>
    <n v="225042"/>
    <n v="677282"/>
    <n v="0"/>
    <n v="710770"/>
    <n v="0"/>
    <n v="29800"/>
    <n v="298061"/>
    <n v="610185"/>
    <n v="41090"/>
    <n v="2935820"/>
    <n v="269486"/>
    <n v="487678"/>
    <n v="93646"/>
    <n v="1110653"/>
    <n v="10602"/>
    <n v="87624"/>
    <n v="45600"/>
    <n v="815305"/>
    <n v="336333"/>
    <n v="571545"/>
    <n v="-18142"/>
    <n v="441948"/>
    <n v="4252278"/>
    <n v="141569"/>
    <n v="520230"/>
    <n v="188558"/>
    <n v="850357"/>
    <n v="307618"/>
    <m/>
    <n v="8038455"/>
    <x v="1"/>
    <n v="178632.33333333334"/>
    <n v="902970.25"/>
    <n v="-221367.66666666666"/>
    <x v="1"/>
    <n v="-4919.281481481481"/>
    <n v="0.45"/>
    <n v="3617304.75"/>
    <n v="0.45"/>
  </r>
  <r>
    <s v="Abdul Moeed"/>
    <s v="Jahangir Jalil"/>
    <x v="2"/>
    <x v="2"/>
    <n v="15002760"/>
    <s v="Immunoassay"/>
    <n v="3002000035"/>
    <s v="N/A"/>
    <n v="30006187"/>
    <s v="20.07.2023"/>
    <s v="17.05.2023"/>
    <s v="17.05.2023"/>
    <s v="Available"/>
    <m/>
    <x v="1"/>
    <x v="1"/>
    <s v="Lahore"/>
    <n v="3020001238"/>
    <x v="88"/>
    <s v="Dr. Mateen Izhar"/>
    <s v="100-A, Shadman-1, Lahore-54000"/>
    <s v="042-37550666 &amp; 37550555"/>
    <s v="zubairee786@gmail.com     "/>
    <s v="1533283-7"/>
    <m/>
    <n v="7000000"/>
    <n v="23"/>
    <n v="909975"/>
    <m/>
    <m/>
    <m/>
    <m/>
    <s v="System is still not installed "/>
    <m/>
    <x v="17"/>
    <x v="19"/>
    <s v="Waiting for Inventory &amp; then invoice execution "/>
    <m/>
    <s v="New PO has been Recieved Amount Subject to Invoice "/>
    <s v="Parameter Woking Planning to shift from Roche "/>
    <m/>
    <s v="Parameter Woking Planning to shift from Roche "/>
    <s v="PO is in hand , waiting for payment "/>
    <s v="once payment will receive then order will be released by our finance and number will shown in sales "/>
    <s v="credit days issue , actually we block the orders after 30 days and our competitor has given the supplies. i think we redefine the credit days to 60"/>
    <m/>
    <s v="we have received an order of 0.4 mio. Re-negotiating the prices/Contract"/>
    <m/>
    <s v="Revised case"/>
    <m/>
    <m/>
    <s v="No sales in June and July"/>
    <m/>
    <m/>
    <m/>
    <m/>
    <m/>
    <m/>
    <n v="0"/>
    <n v="0"/>
    <n v="232100"/>
    <n v="47000"/>
    <n v="164500"/>
    <n v="0"/>
    <n v="0"/>
    <n v="0"/>
    <n v="249200"/>
    <n v="0"/>
    <n v="0"/>
    <n v="65700"/>
    <n v="758500"/>
    <n v="0"/>
    <n v="0"/>
    <n v="0"/>
    <n v="0"/>
    <n v="0"/>
    <m/>
    <m/>
    <m/>
    <m/>
    <m/>
    <m/>
    <m/>
    <n v="0"/>
    <m/>
    <m/>
    <m/>
    <n v="0"/>
    <n v="0"/>
    <m/>
    <n v="758500"/>
    <x v="0"/>
    <n v="32978.260869565216"/>
    <n v="6696600"/>
    <n v="-876996.73913043481"/>
    <x v="1"/>
    <n v="-38130.293005671076"/>
    <n v="0.4"/>
    <n v="303400"/>
    <n v="0.35"/>
  </r>
  <r>
    <s v="Humayun Patel"/>
    <s v="Jahangir Jalil"/>
    <x v="7"/>
    <x v="16"/>
    <n v="15002674"/>
    <s v="Electrolyte Analyzer "/>
    <n v="3002000043"/>
    <s v="N/A"/>
    <s v="5782-2-202302 "/>
    <s v="07.08.2023 "/>
    <s v="07.11.2023"/>
    <s v="03.08.2023"/>
    <s v="Available"/>
    <m/>
    <x v="1"/>
    <x v="0"/>
    <s v="Karachi"/>
    <n v="3020001255"/>
    <x v="89"/>
    <s v="N/A"/>
    <s v="House B-24, Block 20, FB Area, Gulberg Town,"/>
    <s v="0333-3351024, 021-36341059"/>
    <s v=" lab@jdcwelfare.org"/>
    <s v="4003056-3"/>
    <m/>
    <n v="442697"/>
    <n v="11"/>
    <n v="105332.5"/>
    <m/>
    <m/>
    <m/>
    <m/>
    <m/>
    <m/>
    <x v="18"/>
    <x v="20"/>
    <s v="We've received order of 280,000 in August 2023 "/>
    <s v="Order received as per commitment"/>
    <s v="No Orders received in Sep 2023 due to innaguration preparation"/>
    <s v="Working with customer to get the desired orders as per comittment"/>
    <m/>
    <m/>
    <m/>
    <m/>
    <s v="Still lab isnt completely opperational"/>
    <m/>
    <s v="Business case to be check for monthly commitment One machine to be pull back by 15 April"/>
    <m/>
    <s v="Under dicussion on pull back of one instrument, infromed to Insituite. We will pull back one unit by May 2024."/>
    <m/>
    <m/>
    <m/>
    <m/>
    <m/>
    <m/>
    <m/>
    <m/>
    <m/>
    <m/>
    <n v="122500"/>
    <m/>
    <n v="17500"/>
    <n v="0"/>
    <m/>
    <m/>
    <m/>
    <m/>
    <m/>
    <m/>
    <m/>
    <n v="140000"/>
    <m/>
    <m/>
    <m/>
    <m/>
    <m/>
    <m/>
    <m/>
    <m/>
    <m/>
    <m/>
    <m/>
    <m/>
    <n v="0"/>
    <m/>
    <m/>
    <m/>
    <n v="0"/>
    <n v="0"/>
    <s v="Return confirm status/Hopefully pull back this month coz they were not satisfied by the services"/>
    <n v="140000"/>
    <x v="29"/>
    <n v="7000"/>
    <n v="386697"/>
    <n v="-98332.5"/>
    <x v="1"/>
    <n v="-4916.625"/>
    <n v="0.4"/>
    <n v="56000"/>
    <n v="0.4"/>
  </r>
  <r>
    <s v="Humayun Patel"/>
    <s v="Jahangir Jalil"/>
    <x v="7"/>
    <x v="16"/>
    <n v="15002674"/>
    <s v="Electrolyte Analyzer "/>
    <n v="3002000043"/>
    <s v="N/A"/>
    <s v="4286-2-202208"/>
    <s v="04.07.2023"/>
    <s v="07.11.2023"/>
    <s v="08.03.2024"/>
    <s v="Available"/>
    <m/>
    <x v="1"/>
    <x v="0"/>
    <s v="Karachi"/>
    <n v="3020001255"/>
    <x v="89"/>
    <s v="N/A"/>
    <s v="House B-24, Block 20, FB Area, Gulberg Town,"/>
    <s v="0333-3351024, 021-36341059"/>
    <s v=" lab@jdcwelfare.org"/>
    <s v="4003056-3"/>
    <m/>
    <n v="442697"/>
    <n v="11"/>
    <n v="105332.5"/>
    <m/>
    <m/>
    <m/>
    <m/>
    <m/>
    <m/>
    <x v="0"/>
    <x v="0"/>
    <m/>
    <m/>
    <m/>
    <m/>
    <m/>
    <m/>
    <m/>
    <m/>
    <m/>
    <m/>
    <s v="Business case to be check for monthly commitment One machine to be pull back by 15 April"/>
    <m/>
    <s v="Under dicussion on pull back of one instrument, infromed to Insituite. We will pull back one unit by May 2024."/>
    <s v="Letter submitted to pull back one Unit"/>
    <m/>
    <m/>
    <m/>
    <m/>
    <m/>
    <m/>
    <m/>
    <m/>
    <m/>
    <n v="122500"/>
    <m/>
    <n v="17500"/>
    <n v="0"/>
    <m/>
    <m/>
    <m/>
    <m/>
    <m/>
    <m/>
    <m/>
    <n v="140000"/>
    <m/>
    <m/>
    <n v="0"/>
    <m/>
    <m/>
    <m/>
    <m/>
    <m/>
    <m/>
    <m/>
    <m/>
    <m/>
    <n v="0"/>
    <m/>
    <m/>
    <m/>
    <n v="0"/>
    <n v="0"/>
    <s v="Return confirm status/Hopefully pull back this month coz they were not satisfied by the services"/>
    <n v="140000"/>
    <x v="29"/>
    <n v="7000"/>
    <n v="386697"/>
    <n v="-98332.5"/>
    <x v="1"/>
    <n v="-4916.625"/>
    <n v="0.4"/>
    <n v="56000"/>
    <n v="0.4"/>
  </r>
  <r>
    <s v="Imran Rana"/>
    <s v="Hammad Noor"/>
    <x v="0"/>
    <x v="25"/>
    <n v="15002462"/>
    <s v="Immunoassay"/>
    <n v="3002000071"/>
    <m/>
    <s v="IA00096724 "/>
    <m/>
    <s v="Not mentioned on the agreement "/>
    <s v="30.09.2024"/>
    <s v="Available"/>
    <m/>
    <x v="0"/>
    <x v="1"/>
    <s v="Lahore"/>
    <n v="3020001280"/>
    <x v="90"/>
    <m/>
    <s v="133-A Faisal town opposite to Allama Iqbal medical college gate no. 2"/>
    <s v="0336-4820296 &amp; 042-35163747"/>
    <s v="support@testzone.com.pk"/>
    <s v="4008662-3"/>
    <m/>
    <n v="4615000"/>
    <n v="15"/>
    <n v="2046333"/>
    <m/>
    <m/>
    <m/>
    <m/>
    <m/>
    <m/>
    <x v="0"/>
    <x v="0"/>
    <m/>
    <m/>
    <m/>
    <m/>
    <m/>
    <m/>
    <m/>
    <m/>
    <m/>
    <m/>
    <e v="#N/A"/>
    <m/>
    <m/>
    <m/>
    <m/>
    <m/>
    <m/>
    <m/>
    <s v="behind track need followup"/>
    <s v="Customer issues need to be settle in April"/>
    <n v="1"/>
    <s v="Placed"/>
    <m/>
    <m/>
    <m/>
    <m/>
    <m/>
    <m/>
    <m/>
    <n v="2085200"/>
    <n v="804000"/>
    <n v="590000"/>
    <n v="803000"/>
    <n v="0"/>
    <n v="4282200"/>
    <n v="2171000"/>
    <n v="0"/>
    <n v="0"/>
    <n v="496000"/>
    <n v="1771200"/>
    <m/>
    <n v="2783753"/>
    <m/>
    <n v="1174300"/>
    <n v="2198150"/>
    <n v="0"/>
    <m/>
    <n v="10594403"/>
    <m/>
    <m/>
    <m/>
    <n v="0"/>
    <n v="1099075"/>
    <m/>
    <n v="14876603"/>
    <x v="17"/>
    <n v="929787.6875"/>
    <n v="-1335641.2000000002"/>
    <n v="-1116545.3125"/>
    <x v="15"/>
    <n v="-69784.08203125"/>
    <n v="0.4"/>
    <n v="5950641.2000000002"/>
    <n v="0.4"/>
  </r>
  <r>
    <s v="Imran Rana"/>
    <s v="Hammad Noor"/>
    <x v="0"/>
    <x v="12"/>
    <n v="15002553"/>
    <s v="Immunoassay"/>
    <s v="AR # 300346"/>
    <m/>
    <s v="ID00148543"/>
    <m/>
    <m/>
    <s v="17.07.2025"/>
    <m/>
    <m/>
    <x v="0"/>
    <x v="1"/>
    <s v="Multan"/>
    <n v="3020001280"/>
    <x v="91"/>
    <m/>
    <m/>
    <m/>
    <m/>
    <m/>
    <m/>
    <n v="2894655"/>
    <n v="36"/>
    <n v="529290"/>
    <m/>
    <m/>
    <m/>
    <m/>
    <m/>
    <m/>
    <x v="0"/>
    <x v="0"/>
    <m/>
    <m/>
    <m/>
    <m/>
    <m/>
    <m/>
    <m/>
    <m/>
    <m/>
    <m/>
    <m/>
    <m/>
    <m/>
    <m/>
    <m/>
    <m/>
    <m/>
    <m/>
    <s v="behind track need followup"/>
    <s v="Customer issues need to be settle in April"/>
    <n v="1"/>
    <s v="Placed"/>
    <m/>
    <m/>
    <m/>
    <m/>
    <m/>
    <m/>
    <m/>
    <m/>
    <m/>
    <m/>
    <m/>
    <n v="0"/>
    <n v="0"/>
    <m/>
    <m/>
    <m/>
    <m/>
    <m/>
    <m/>
    <m/>
    <m/>
    <m/>
    <m/>
    <n v="0"/>
    <m/>
    <n v="0"/>
    <m/>
    <m/>
    <m/>
    <n v="0"/>
    <n v="0"/>
    <m/>
    <n v="0"/>
    <x v="9"/>
    <e v="#DIV/0!"/>
    <m/>
    <e v="#DIV/0!"/>
    <x v="2"/>
    <e v="#DIV/0!"/>
    <m/>
    <n v="0"/>
    <n v="0"/>
  </r>
  <r>
    <s v="Imran Rana"/>
    <s v="Hammad Noor"/>
    <x v="0"/>
    <x v="3"/>
    <n v="15003241"/>
    <s v="Immunoassay"/>
    <s v="AR # 300245"/>
    <m/>
    <s v="FC4040144B"/>
    <m/>
    <m/>
    <s v="17.07.2025"/>
    <m/>
    <m/>
    <x v="0"/>
    <x v="1"/>
    <s v="Lahore"/>
    <n v="3020001280"/>
    <x v="90"/>
    <m/>
    <s v="133-A Faisal town opposite to Allama Iqbal medical college gate no. 2"/>
    <s v="0336-4820296 &amp; 042-35163747"/>
    <s v="support@testzone.com.pk"/>
    <s v="4008662-3"/>
    <m/>
    <n v="5025642"/>
    <n v="36"/>
    <n v="1028560"/>
    <m/>
    <m/>
    <m/>
    <m/>
    <m/>
    <m/>
    <x v="0"/>
    <x v="0"/>
    <m/>
    <m/>
    <m/>
    <m/>
    <m/>
    <m/>
    <m/>
    <m/>
    <m/>
    <m/>
    <m/>
    <m/>
    <m/>
    <m/>
    <m/>
    <m/>
    <m/>
    <m/>
    <s v="behind track need followup"/>
    <s v="Customer issues need to be settle in April"/>
    <n v="1"/>
    <s v="Placed"/>
    <m/>
    <m/>
    <m/>
    <m/>
    <m/>
    <m/>
    <m/>
    <m/>
    <m/>
    <m/>
    <m/>
    <m/>
    <n v="0"/>
    <m/>
    <m/>
    <m/>
    <m/>
    <m/>
    <m/>
    <m/>
    <m/>
    <m/>
    <m/>
    <n v="0"/>
    <m/>
    <n v="0"/>
    <m/>
    <m/>
    <m/>
    <n v="0"/>
    <n v="0"/>
    <m/>
    <n v="0"/>
    <x v="9"/>
    <e v="#DIV/0!"/>
    <m/>
    <e v="#DIV/0!"/>
    <x v="2"/>
    <e v="#DIV/0!"/>
    <m/>
    <n v="0"/>
    <n v="0"/>
  </r>
  <r>
    <s v="Waqar wazir"/>
    <s v="Hammad Noor"/>
    <x v="0"/>
    <x v="0"/>
    <n v="15002462"/>
    <s v="Immunoassay"/>
    <n v="3002000100"/>
    <m/>
    <s v="IA00147046"/>
    <m/>
    <m/>
    <s v="14.05.2025"/>
    <m/>
    <m/>
    <x v="0"/>
    <x v="2"/>
    <s v="Rawalpindi"/>
    <n v="3020001357"/>
    <x v="92"/>
    <m/>
    <m/>
    <m/>
    <m/>
    <m/>
    <m/>
    <n v="4715000"/>
    <n v="35"/>
    <n v="551283"/>
    <m/>
    <m/>
    <m/>
    <m/>
    <m/>
    <m/>
    <x v="0"/>
    <x v="0"/>
    <m/>
    <m/>
    <m/>
    <m/>
    <m/>
    <m/>
    <m/>
    <m/>
    <m/>
    <m/>
    <m/>
    <m/>
    <m/>
    <m/>
    <m/>
    <m/>
    <m/>
    <m/>
    <s v="Behind Track Followup"/>
    <s v="over due, order of 800k will be processed in April"/>
    <n v="1"/>
    <s v="Placed"/>
    <m/>
    <m/>
    <m/>
    <m/>
    <m/>
    <m/>
    <m/>
    <m/>
    <m/>
    <m/>
    <m/>
    <m/>
    <n v="0"/>
    <n v="1124145"/>
    <n v="181223"/>
    <n v="286961"/>
    <n v="695411"/>
    <n v="722945"/>
    <n v="448757"/>
    <n v="881376"/>
    <n v="397279"/>
    <n v="571425"/>
    <n v="0"/>
    <n v="0"/>
    <n v="1474506"/>
    <n v="6784028"/>
    <n v="40800"/>
    <n v="0"/>
    <m/>
    <n v="40800"/>
    <n v="303061.2"/>
    <m/>
    <n v="6824828"/>
    <x v="27"/>
    <n v="524986.76923076925"/>
    <n v="1985068.7999999998"/>
    <n v="-26296.230769230751"/>
    <x v="0"/>
    <n v="-2022.7869822485193"/>
    <n v="0.4"/>
    <n v="2729931.2"/>
    <n v="0.4"/>
  </r>
  <r>
    <s v="Hammad Hafeez"/>
    <s v="Hammad Noor"/>
    <x v="3"/>
    <x v="5"/>
    <n v="15001967"/>
    <s v="Hematology"/>
    <n v="3002000039"/>
    <m/>
    <n v="121495"/>
    <s v="07.11.2023"/>
    <m/>
    <s v="07.11.2023"/>
    <s v="Available"/>
    <m/>
    <x v="1"/>
    <x v="0"/>
    <s v="Hyderabad"/>
    <n v="3020001382"/>
    <x v="93"/>
    <s v="Junaid Ahmed Jatoi"/>
    <s v="National Stadium Road, Karachi"/>
    <s v="022-2666644, 0333-2751669"/>
    <s v="enterprisesojal@gmail.com"/>
    <m/>
    <s v="45501-4957284-1"/>
    <n v="880301.4"/>
    <n v="15"/>
    <n v="156749.4"/>
    <m/>
    <m/>
    <m/>
    <m/>
    <m/>
    <m/>
    <x v="0"/>
    <x v="0"/>
    <m/>
    <m/>
    <m/>
    <m/>
    <m/>
    <m/>
    <m/>
    <m/>
    <m/>
    <m/>
    <s v="Sales On track"/>
    <m/>
    <e v="#REF!"/>
    <m/>
    <m/>
    <s v="No sales in June and July"/>
    <m/>
    <m/>
    <s v="Close"/>
    <m/>
    <m/>
    <m/>
    <m/>
    <n v="855000"/>
    <m/>
    <m/>
    <n v="1710000"/>
    <m/>
    <m/>
    <m/>
    <m/>
    <m/>
    <m/>
    <m/>
    <n v="2565000"/>
    <m/>
    <m/>
    <n v="0"/>
    <m/>
    <m/>
    <m/>
    <m/>
    <m/>
    <m/>
    <m/>
    <m/>
    <m/>
    <n v="0"/>
    <n v="0"/>
    <n v="0"/>
    <m/>
    <n v="0"/>
    <n v="0"/>
    <s v="3 machines are placed. Business case is in process. 2 machines will be placed"/>
    <n v="2565000"/>
    <x v="7"/>
    <n v="142500"/>
    <n v="-145698.59999999998"/>
    <n v="-14249.399999999994"/>
    <x v="0"/>
    <n v="-791.63333333333298"/>
    <n v="0.4"/>
    <n v="1026000"/>
    <n v="0.4"/>
  </r>
  <r>
    <s v="Hammad Hafeez"/>
    <s v="Hammad Noor"/>
    <x v="3"/>
    <x v="5"/>
    <n v="15001967"/>
    <s v="Hematology"/>
    <n v="3002000064"/>
    <m/>
    <n v="121497"/>
    <s v="07.11.2023"/>
    <m/>
    <s v="07.11.2023"/>
    <s v="Available"/>
    <m/>
    <x v="1"/>
    <x v="0"/>
    <s v="Hyderabad"/>
    <n v="3020001382"/>
    <x v="93"/>
    <s v="Junaid Ahmed Jatoi"/>
    <s v="National Stadium Road, Karachi"/>
    <s v="022-2666644, 0333-2751669"/>
    <s v="enterprisesojal@gmail.com"/>
    <m/>
    <s v="45501-4957284-1"/>
    <n v="880301.4"/>
    <n v="15"/>
    <n v="156749.4"/>
    <m/>
    <m/>
    <m/>
    <m/>
    <m/>
    <m/>
    <x v="0"/>
    <x v="0"/>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x v="7"/>
    <n v="142500"/>
    <n v="-145698.59999999998"/>
    <n v="-14249.399999999994"/>
    <x v="0"/>
    <n v="-791.63333333333298"/>
    <n v="0.4"/>
    <n v="1026000"/>
    <n v="0.4"/>
  </r>
  <r>
    <s v="Hammad Hafeez"/>
    <s v="Hammad Noor"/>
    <x v="3"/>
    <x v="5"/>
    <n v="15001967"/>
    <s v="Hematology"/>
    <n v="3002000050"/>
    <m/>
    <n v="122531"/>
    <s v="07.11.2023"/>
    <s v="31.10.2023"/>
    <s v="07.11.2023"/>
    <s v="Available"/>
    <m/>
    <x v="1"/>
    <x v="0"/>
    <s v="Hyderabad"/>
    <n v="3020001382"/>
    <x v="93"/>
    <s v="Junaid Ahmed Jatoi"/>
    <s v="National Stadium Road, Karachi"/>
    <s v="022-2666644, 0333-2751669"/>
    <s v="enterprisesojal@gmail.com"/>
    <m/>
    <s v="45501-4957284-1"/>
    <n v="880301.4"/>
    <n v="15"/>
    <n v="156749.4"/>
    <m/>
    <m/>
    <m/>
    <m/>
    <m/>
    <m/>
    <x v="0"/>
    <x v="0"/>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x v="7"/>
    <n v="142500"/>
    <n v="-145698.59999999998"/>
    <n v="-14249.399999999994"/>
    <x v="0"/>
    <n v="-791.63333333333298"/>
    <n v="0.4"/>
    <n v="1026000"/>
    <n v="0.4"/>
  </r>
  <r>
    <s v="Hammad Hafeez"/>
    <s v="Hammad Noor"/>
    <x v="3"/>
    <x v="5"/>
    <n v="15001967"/>
    <s v="Hematology "/>
    <n v="3002000051"/>
    <s v="N/A"/>
    <n v="123197"/>
    <s v="22.11.2023"/>
    <s v="31.10.2023"/>
    <s v="07.11.2023"/>
    <s v="Available"/>
    <m/>
    <x v="1"/>
    <x v="0"/>
    <s v="Hyderabad"/>
    <n v="3020001382"/>
    <x v="93"/>
    <s v="Junaid Ahmed Jatoi"/>
    <s v="National Stadium Road, Karachi"/>
    <s v="022-2666644, 0333-2751669"/>
    <s v="enterprisesojal@gmail.com"/>
    <m/>
    <s v="45501-4957284-1"/>
    <n v="880301.4"/>
    <n v="15"/>
    <n v="156749.4"/>
    <m/>
    <m/>
    <m/>
    <m/>
    <m/>
    <m/>
    <x v="0"/>
    <x v="0"/>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x v="7"/>
    <n v="142500"/>
    <n v="-145698.59999999998"/>
    <n v="-14249.399999999994"/>
    <x v="0"/>
    <n v="-791.63333333333298"/>
    <n v="0.4"/>
    <n v="1026000"/>
    <n v="0.4"/>
  </r>
  <r>
    <s v="Hammad Hafeez"/>
    <s v="Hammad Noor"/>
    <x v="3"/>
    <x v="5"/>
    <n v="15001967"/>
    <s v="Hematology"/>
    <n v="3002000048"/>
    <m/>
    <n v="121496"/>
    <s v="07.11.2023"/>
    <m/>
    <s v="07.11.2023"/>
    <s v="Available"/>
    <m/>
    <x v="1"/>
    <x v="0"/>
    <s v="Hyderabad"/>
    <n v="3020001382"/>
    <x v="93"/>
    <s v="Junaid Ahmed Jatoi"/>
    <s v="National Stadium Road, Karachi"/>
    <s v="022-2666644, 0333-2751669"/>
    <s v="enterprisesojal@gmail.com"/>
    <m/>
    <s v="45501-4957284-1"/>
    <n v="880301.4"/>
    <n v="15"/>
    <n v="156749.4"/>
    <m/>
    <m/>
    <m/>
    <m/>
    <m/>
    <m/>
    <x v="0"/>
    <x v="0"/>
    <m/>
    <m/>
    <m/>
    <m/>
    <m/>
    <m/>
    <m/>
    <m/>
    <m/>
    <m/>
    <s v="Sales On track"/>
    <m/>
    <e v="#REF!"/>
    <m/>
    <m/>
    <s v="No sales in June and July"/>
    <m/>
    <m/>
    <s v="Close"/>
    <m/>
    <m/>
    <m/>
    <m/>
    <n v="855000"/>
    <m/>
    <m/>
    <n v="1710000"/>
    <m/>
    <m/>
    <m/>
    <m/>
    <m/>
    <m/>
    <m/>
    <n v="2565000"/>
    <m/>
    <m/>
    <n v="0"/>
    <m/>
    <m/>
    <m/>
    <m/>
    <m/>
    <m/>
    <m/>
    <m/>
    <m/>
    <n v="0"/>
    <m/>
    <m/>
    <m/>
    <n v="0"/>
    <n v="0"/>
    <s v="3 machines are placed. Business case is in process. 2 machines will be placed"/>
    <n v="2565000"/>
    <x v="7"/>
    <n v="142500"/>
    <n v="-145698.59999999998"/>
    <n v="-14249.399999999994"/>
    <x v="0"/>
    <n v="-791.63333333333298"/>
    <n v="0.4"/>
    <n v="1026000"/>
    <n v="0.4"/>
  </r>
  <r>
    <s v="Imran Rana"/>
    <s v="Hammad Noor"/>
    <x v="0"/>
    <x v="12"/>
    <n v="15002553"/>
    <s v="Immunoassay"/>
    <s v="AR # 300322"/>
    <s v="Transferred from demo"/>
    <s v="ID00094934"/>
    <m/>
    <m/>
    <s v="23.05.2025"/>
    <m/>
    <m/>
    <x v="0"/>
    <x v="1"/>
    <s v="Gujranwala"/>
    <n v="3020001384"/>
    <x v="94"/>
    <m/>
    <s v="Sialkot Road, Civil Lines, Punjab"/>
    <s v="055-3841018 &amp; 0322-5955955"/>
    <s v="waleed.tarrar000gmail.com"/>
    <m/>
    <s v="34101-5252040-3"/>
    <n v="2549913"/>
    <n v="36"/>
    <n v="237632"/>
    <m/>
    <m/>
    <m/>
    <m/>
    <m/>
    <m/>
    <x v="0"/>
    <x v="0"/>
    <m/>
    <m/>
    <m/>
    <m/>
    <m/>
    <m/>
    <m/>
    <m/>
    <m/>
    <m/>
    <m/>
    <m/>
    <m/>
    <m/>
    <m/>
    <m/>
    <m/>
    <m/>
    <s v="On Track"/>
    <s v="On Track"/>
    <n v="1"/>
    <s v="Placed"/>
    <m/>
    <m/>
    <m/>
    <n v="177445"/>
    <n v="495075"/>
    <m/>
    <n v="420095"/>
    <n v="211140"/>
    <n v="266225"/>
    <n v="568130"/>
    <m/>
    <n v="894585"/>
    <n v="3032695"/>
    <n v="443670"/>
    <n v="0"/>
    <n v="582767"/>
    <n v="418255"/>
    <n v="542800"/>
    <n v="664740"/>
    <n v="95220"/>
    <n v="403765"/>
    <n v="295895"/>
    <n v="671485"/>
    <n v="766780"/>
    <n v="660790"/>
    <n v="5546167"/>
    <n v="280370"/>
    <n v="77280"/>
    <n v="923220"/>
    <n v="1280870"/>
    <n v="563320.83333333337"/>
    <m/>
    <n v="9859732"/>
    <x v="0"/>
    <n v="428684"/>
    <n v="-1393979.8000000003"/>
    <n v="-125977.13888888888"/>
    <x v="1"/>
    <n v="-5477.2669082125594"/>
    <n v="0.4"/>
    <n v="3943892.8000000003"/>
    <n v="0.4"/>
  </r>
  <r>
    <s v="Shagufta Anthony "/>
    <s v="Jahangir Jalil"/>
    <x v="6"/>
    <x v="23"/>
    <n v="15002705"/>
    <s v="Arterial Blood Gas Analyzer"/>
    <n v="3002000104"/>
    <m/>
    <s v="P078240140C"/>
    <m/>
    <m/>
    <s v="14.05.2025"/>
    <m/>
    <m/>
    <x v="0"/>
    <x v="2"/>
    <s v="Peshawar"/>
    <n v="3020001399"/>
    <x v="95"/>
    <m/>
    <m/>
    <m/>
    <m/>
    <m/>
    <m/>
    <n v="2270000"/>
    <n v="20"/>
    <n v="380500"/>
    <m/>
    <m/>
    <m/>
    <m/>
    <m/>
    <m/>
    <x v="0"/>
    <x v="0"/>
    <m/>
    <m/>
    <m/>
    <m/>
    <m/>
    <m/>
    <m/>
    <m/>
    <m/>
    <m/>
    <m/>
    <m/>
    <m/>
    <m/>
    <m/>
    <m/>
    <m/>
    <m/>
    <s v="Behind Track"/>
    <s v="will be on track by April"/>
    <n v="1"/>
    <s v="Placed"/>
    <m/>
    <m/>
    <m/>
    <m/>
    <m/>
    <m/>
    <m/>
    <m/>
    <m/>
    <m/>
    <m/>
    <m/>
    <n v="0"/>
    <n v="536000"/>
    <n v="0"/>
    <n v="0"/>
    <n v="0"/>
    <n v="0"/>
    <n v="1018000"/>
    <n v="0"/>
    <n v="0"/>
    <n v="0"/>
    <n v="0"/>
    <m/>
    <n v="1198000"/>
    <n v="2752000"/>
    <n v="0"/>
    <n v="-120000"/>
    <n v="120000"/>
    <n v="0"/>
    <n v="239600"/>
    <m/>
    <n v="2752000"/>
    <x v="12"/>
    <n v="250181.81818181818"/>
    <n v="1582000"/>
    <n v="-130318.18181818182"/>
    <x v="1"/>
    <n v="-11847.10743801653"/>
    <n v="0.25"/>
    <n v="688000"/>
    <n v="0.25"/>
  </r>
  <r>
    <s v="Shagufta Anthony "/>
    <s v="Jahangir Jalil"/>
    <x v="9"/>
    <x v="32"/>
    <m/>
    <m/>
    <m/>
    <s v="Transferred from demo"/>
    <n v="2024070199"/>
    <m/>
    <m/>
    <s v="04.06.2025"/>
    <m/>
    <s v="Issued to Fawad shah for exhibition purpose in Peshawar on dated 14.04.2025 against LS Demo # 8300058987 customer # 3020001583"/>
    <x v="2"/>
    <x v="2"/>
    <s v="Peshawar"/>
    <n v="3020001399"/>
    <x v="96"/>
    <m/>
    <s v="5/B-2, Phase 5, Hayatabad, KPK"/>
    <s v="091-5838333 &amp; 0336-2244360"/>
    <s v="raees.ahmed@rmi.edu.pk"/>
    <s v="1804447-6"/>
    <m/>
    <n v="1272000"/>
    <n v="9"/>
    <n v="350000"/>
    <m/>
    <m/>
    <m/>
    <m/>
    <m/>
    <m/>
    <x v="0"/>
    <x v="0"/>
    <m/>
    <m/>
    <m/>
    <m/>
    <m/>
    <m/>
    <m/>
    <m/>
    <m/>
    <m/>
    <m/>
    <m/>
    <m/>
    <m/>
    <m/>
    <m/>
    <m/>
    <m/>
    <s v="Behind Track Followup"/>
    <s v="order will receive in April - Supply issue"/>
    <n v="1"/>
    <s v="Placed"/>
    <m/>
    <m/>
    <m/>
    <m/>
    <m/>
    <m/>
    <m/>
    <m/>
    <m/>
    <m/>
    <m/>
    <m/>
    <n v="0"/>
    <m/>
    <m/>
    <m/>
    <m/>
    <m/>
    <m/>
    <m/>
    <m/>
    <m/>
    <m/>
    <m/>
    <m/>
    <n v="0"/>
    <n v="0"/>
    <n v="0"/>
    <n v="0"/>
    <n v="0"/>
    <n v="0"/>
    <m/>
    <n v="0"/>
    <x v="9"/>
    <e v="#DIV/0!"/>
    <n v="1272000"/>
    <n v="-431006.33333333337"/>
    <x v="1"/>
    <e v="#DIV/0!"/>
    <n v="0.4"/>
    <n v="0"/>
    <n v="0.4"/>
  </r>
  <r>
    <s v="Waqar wazir"/>
    <s v="Hammad Noor"/>
    <x v="0"/>
    <x v="0"/>
    <n v="15002462"/>
    <s v="Immunoassay"/>
    <n v="3002000072"/>
    <s v="Transfer to Bio Care Islamabad"/>
    <s v="iA00093422"/>
    <s v="19.09.2023"/>
    <s v="20.09.2023"/>
    <s v="20.09.2023"/>
    <s v="Not Available"/>
    <m/>
    <x v="1"/>
    <x v="2"/>
    <s v="Swat"/>
    <n v="3020001430"/>
    <x v="97"/>
    <s v="N/A"/>
    <s v=" Opposite Azeem Medical Centre, Fatima Jinnah Road"/>
    <s v="081-2823350, 0331-8055742"/>
    <s v=" sohailenterprisesqta@gmail.com"/>
    <s v="4471634-7"/>
    <s v=" 54400-4142931-3"/>
    <n v="2983545"/>
    <n v="12"/>
    <n v="751293"/>
    <m/>
    <m/>
    <m/>
    <m/>
    <m/>
    <m/>
    <x v="0"/>
    <x v="0"/>
    <m/>
    <m/>
    <m/>
    <m/>
    <m/>
    <m/>
    <m/>
    <m/>
    <m/>
    <m/>
    <s v="Recently installed "/>
    <m/>
    <m/>
    <m/>
    <m/>
    <s v="No sales in June and July"/>
    <m/>
    <m/>
    <s v="Closed"/>
    <m/>
    <n v="1"/>
    <m/>
    <n v="0"/>
    <n v="0"/>
    <n v="0"/>
    <n v="0"/>
    <n v="494250"/>
    <n v="0"/>
    <n v="0"/>
    <n v="1113140"/>
    <n v="397760"/>
    <n v="0"/>
    <n v="0"/>
    <n v="0"/>
    <n v="2005150"/>
    <n v="0"/>
    <n v="0"/>
    <n v="0"/>
    <n v="0"/>
    <n v="0"/>
    <n v="0"/>
    <n v="0"/>
    <n v="0"/>
    <n v="0"/>
    <n v="0"/>
    <n v="0"/>
    <m/>
    <n v="0"/>
    <m/>
    <m/>
    <m/>
    <n v="0"/>
    <n v="0"/>
    <m/>
    <n v="2005150"/>
    <x v="0"/>
    <n v="87180.434782608689"/>
    <n v="2181485"/>
    <n v="-664112.56521739135"/>
    <x v="16"/>
    <n v="-28874.459357277887"/>
    <n v="0.4"/>
    <n v="802060"/>
    <n v="0.4"/>
  </r>
  <r>
    <s v="Shagufta Anthony "/>
    <s v="Jahangir Jalil"/>
    <x v="6"/>
    <x v="23"/>
    <n v="15002705"/>
    <s v="Arterial Blood Gas Analyzer"/>
    <m/>
    <m/>
    <s v="P078240080C"/>
    <m/>
    <m/>
    <s v="1.27.2025"/>
    <s v="Available"/>
    <m/>
    <x v="1"/>
    <x v="2"/>
    <s v="Islamabad"/>
    <n v="3020001475"/>
    <x v="98"/>
    <m/>
    <s v="12-G, aih building G-8 marqaz near pso pump, Capital territory"/>
    <s v="0307-5629510"/>
    <s v="junaid@aih.net.pk"/>
    <s v="A049244-5"/>
    <m/>
    <n v="1790491"/>
    <n v="18"/>
    <n v="243750"/>
    <m/>
    <m/>
    <m/>
    <m/>
    <m/>
    <m/>
    <x v="0"/>
    <x v="0"/>
    <m/>
    <m/>
    <m/>
    <m/>
    <m/>
    <m/>
    <m/>
    <m/>
    <m/>
    <m/>
    <m/>
    <m/>
    <m/>
    <m/>
    <m/>
    <m/>
    <m/>
    <m/>
    <s v="Trf to WH KHI"/>
    <m/>
    <m/>
    <s v="Pulled Back"/>
    <m/>
    <m/>
    <m/>
    <m/>
    <m/>
    <m/>
    <m/>
    <m/>
    <m/>
    <m/>
    <m/>
    <m/>
    <n v="0"/>
    <n v="300000"/>
    <n v="300000"/>
    <n v="330000"/>
    <n v="300000"/>
    <n v="300000"/>
    <n v="0"/>
    <n v="0"/>
    <n v="0"/>
    <n v="0"/>
    <m/>
    <m/>
    <m/>
    <n v="1530000"/>
    <m/>
    <m/>
    <m/>
    <n v="0"/>
    <n v="0"/>
    <m/>
    <n v="1530000"/>
    <x v="3"/>
    <n v="170000"/>
    <n v="1407991"/>
    <n v="-73750"/>
    <x v="9"/>
    <n v="-8194.4444444444453"/>
    <n v="0.25"/>
    <n v="382500"/>
    <n v="0.25"/>
  </r>
  <r>
    <s v="Shagufta Anthony "/>
    <s v="Jahangir Jalil"/>
    <x v="2"/>
    <x v="13"/>
    <n v="15002760"/>
    <s v="Immunoassay"/>
    <m/>
    <s v="Transfer to GAMCA Venus"/>
    <m/>
    <m/>
    <m/>
    <s v="04.06.2025"/>
    <m/>
    <m/>
    <x v="1"/>
    <x v="2"/>
    <s v="Peshawar"/>
    <n v="3020001479"/>
    <x v="99"/>
    <m/>
    <s v="Office # 632, 6th Floor Pak Medical Centre,  Khyber Bazar, KPK"/>
    <s v="0333-9102734 &amp; 091-2562734"/>
    <s v="janmarketingservices@gmail.com"/>
    <m/>
    <s v="17301-1612771-3"/>
    <n v="14396400"/>
    <n v="31"/>
    <n v="1127700"/>
    <m/>
    <m/>
    <m/>
    <m/>
    <m/>
    <m/>
    <x v="0"/>
    <x v="0"/>
    <m/>
    <m/>
    <m/>
    <m/>
    <m/>
    <m/>
    <m/>
    <m/>
    <m/>
    <m/>
    <m/>
    <m/>
    <m/>
    <m/>
    <m/>
    <m/>
    <m/>
    <m/>
    <s v="Closed"/>
    <m/>
    <m/>
    <s v="Not Placed"/>
    <m/>
    <m/>
    <m/>
    <m/>
    <m/>
    <m/>
    <m/>
    <m/>
    <m/>
    <m/>
    <m/>
    <m/>
    <n v="0"/>
    <m/>
    <m/>
    <m/>
    <n v="0"/>
    <n v="0"/>
    <n v="0"/>
    <n v="0"/>
    <n v="0"/>
    <n v="438708"/>
    <m/>
    <m/>
    <n v="-255468"/>
    <n v="183240"/>
    <m/>
    <m/>
    <m/>
    <n v="0"/>
    <n v="-255468"/>
    <m/>
    <n v="183240"/>
    <x v="34"/>
    <n v="26177.142857142859"/>
    <n v="14323104"/>
    <n v="-295678.4370370371"/>
    <x v="1"/>
    <n v="-42239.77671957673"/>
    <n v="0.4"/>
    <n v="73296"/>
    <n v="0.4"/>
  </r>
  <r>
    <s v="Humayun Patel"/>
    <s v="Jahangir Jalil"/>
    <x v="7"/>
    <x v="33"/>
    <n v="15002669"/>
    <s v="Coagulation Analyzer"/>
    <n v="3002000085"/>
    <m/>
    <s v="E0848-11-140423"/>
    <m/>
    <m/>
    <m/>
    <m/>
    <m/>
    <x v="0"/>
    <x v="0"/>
    <s v="Nokundi"/>
    <n v="3020001511"/>
    <x v="100"/>
    <m/>
    <s v="Korangi crossing, Korangi"/>
    <s v="0332-0366593"/>
    <s v="unsa.sajjad@tih.org.pk"/>
    <m/>
    <m/>
    <n v="162901"/>
    <n v="16"/>
    <n v="38357"/>
    <m/>
    <m/>
    <m/>
    <m/>
    <m/>
    <m/>
    <x v="0"/>
    <x v="0"/>
    <m/>
    <m/>
    <m/>
    <m/>
    <m/>
    <m/>
    <m/>
    <m/>
    <m/>
    <m/>
    <e v="#N/A"/>
    <m/>
    <m/>
    <m/>
    <m/>
    <m/>
    <m/>
    <m/>
    <s v="on Track"/>
    <s v="on Track"/>
    <n v="1"/>
    <s v="Placed"/>
    <m/>
    <m/>
    <m/>
    <m/>
    <m/>
    <m/>
    <m/>
    <m/>
    <m/>
    <m/>
    <n v="77700"/>
    <n v="25400"/>
    <n v="103100"/>
    <m/>
    <m/>
    <n v="74800"/>
    <n v="25400"/>
    <m/>
    <n v="80600"/>
    <m/>
    <m/>
    <m/>
    <m/>
    <m/>
    <n v="92900"/>
    <n v="273700"/>
    <n v="442633.33333333331"/>
    <n v="-81200"/>
    <n v="95900"/>
    <n v="457333.33333333331"/>
    <n v="137558.33333333331"/>
    <s v="Tender based busi"/>
    <n v="834133.33333333326"/>
    <x v="12"/>
    <n v="75830.303030303025"/>
    <n v="-170752.33333333331"/>
    <n v="37473.303030303025"/>
    <x v="0"/>
    <n v="3406.6639118457297"/>
    <n v="0.4"/>
    <n v="333653.33333333331"/>
    <n v="0.4"/>
  </r>
  <r>
    <s v="Humayun Patel"/>
    <s v="Jahangir Jalil"/>
    <x v="7"/>
    <x v="16"/>
    <n v="15002674"/>
    <s v="Electrolyte Analyzer"/>
    <s v="AR # 1900389-414"/>
    <m/>
    <s v="8931-2-202401/8034-2-202308/8036-2-202308/8961-2-202402/8982-2-202402/8933-2-202402/9273-2-202405/9275-2-202405/8170-2-202308/8183-2-202309/8197-2-202309/8173-2-202308/8196-2-202309/8177-2-202309/8140-2-202308/8185-202309/8198-2-202309/9268-2-202405/9272-2-202405/9262-2-202405/9261-2-202405/9257-2-202405/9269-2-202405/9256-2-202405/9259-2-202405/8953-2-202401"/>
    <m/>
    <m/>
    <s v="12.05.2025"/>
    <m/>
    <s v="26 Machines"/>
    <x v="0"/>
    <x v="0"/>
    <s v="Karachi"/>
    <n v="3020001511"/>
    <x v="101"/>
    <m/>
    <s v="Korangi crossing, Korangi"/>
    <s v="0332-0366596"/>
    <s v="unsa.sajjad@tih.org.pk"/>
    <s v="3162706-4"/>
    <m/>
    <n v="17326991"/>
    <n v="29"/>
    <n v="1242200"/>
    <m/>
    <m/>
    <m/>
    <m/>
    <m/>
    <m/>
    <x v="0"/>
    <x v="0"/>
    <m/>
    <m/>
    <m/>
    <m/>
    <m/>
    <m/>
    <m/>
    <m/>
    <m/>
    <m/>
    <m/>
    <m/>
    <m/>
    <m/>
    <m/>
    <m/>
    <m/>
    <m/>
    <s v="20 machines and all will be pull back"/>
    <s v="pull by - Nasir"/>
    <n v="1"/>
    <s v="Humayun"/>
    <m/>
    <m/>
    <m/>
    <m/>
    <m/>
    <m/>
    <m/>
    <m/>
    <m/>
    <m/>
    <m/>
    <m/>
    <n v="0"/>
    <m/>
    <m/>
    <m/>
    <n v="47950"/>
    <n v="344900"/>
    <n v="389200"/>
    <n v="1633400"/>
    <n v="47950"/>
    <n v="1269750"/>
    <n v="65150"/>
    <n v="0"/>
    <n v="285700"/>
    <n v="4084000"/>
    <m/>
    <m/>
    <m/>
    <n v="0"/>
    <n v="116950"/>
    <m/>
    <n v="4084000"/>
    <x v="34"/>
    <n v="583428.57142857148"/>
    <n v="15693391"/>
    <n v="-21293.666666666672"/>
    <x v="17"/>
    <n v="-3041.9523809523816"/>
    <n v="0.4"/>
    <n v="1633600"/>
    <n v="0.4"/>
  </r>
  <r>
    <s v="Humayun Patel"/>
    <s v="Jahangir Jalil"/>
    <x v="7"/>
    <x v="34"/>
    <n v="15002674"/>
    <s v="Electrolyte Analyzer"/>
    <n v="3002000084"/>
    <m/>
    <s v="6909-2-202305"/>
    <m/>
    <m/>
    <m/>
    <m/>
    <m/>
    <x v="0"/>
    <x v="0"/>
    <s v="Nokundi"/>
    <n v="3020001511"/>
    <x v="100"/>
    <m/>
    <s v="Korangi crossing, Korangi"/>
    <s v="0332-0366595"/>
    <s v="unsa.sajjad@tih.org.pk"/>
    <m/>
    <m/>
    <n v="275285"/>
    <n v="10"/>
    <n v="64040"/>
    <m/>
    <m/>
    <m/>
    <m/>
    <m/>
    <m/>
    <x v="0"/>
    <x v="0"/>
    <m/>
    <m/>
    <m/>
    <m/>
    <m/>
    <m/>
    <m/>
    <m/>
    <m/>
    <m/>
    <e v="#N/A"/>
    <m/>
    <m/>
    <m/>
    <m/>
    <m/>
    <m/>
    <m/>
    <s v="on Track"/>
    <s v="on Track"/>
    <n v="1"/>
    <s v="Placed"/>
    <m/>
    <m/>
    <m/>
    <m/>
    <m/>
    <m/>
    <m/>
    <m/>
    <m/>
    <m/>
    <n v="38800"/>
    <n v="70000"/>
    <n v="108800"/>
    <n v="0"/>
    <n v="0"/>
    <n v="0"/>
    <n v="47950"/>
    <n v="344900"/>
    <n v="389200"/>
    <n v="1633400"/>
    <n v="47950"/>
    <n v="1269750"/>
    <n v="65150"/>
    <n v="0"/>
    <n v="285700"/>
    <n v="4084000"/>
    <n v="442633.33333333331"/>
    <n v="-81200"/>
    <n v="95900"/>
    <n v="457333.33333333331"/>
    <n v="134697.22222222222"/>
    <s v="Tender based busi"/>
    <n v="4650133.333333333"/>
    <x v="27"/>
    <n v="357702.56410256407"/>
    <n v="-1584768.3333333333"/>
    <n v="293662.56410256407"/>
    <x v="0"/>
    <n v="22589.428007889543"/>
    <n v="0.4"/>
    <n v="1860053.3333333333"/>
    <n v="0.4"/>
  </r>
  <r>
    <s v="Humayun Patel"/>
    <s v="Jahangir Jalil"/>
    <x v="7"/>
    <x v="35"/>
    <n v="15002670"/>
    <s v="Urine Analyzer"/>
    <n v="3002000086"/>
    <m/>
    <s v="10477-1-202306"/>
    <m/>
    <m/>
    <m/>
    <m/>
    <m/>
    <x v="0"/>
    <x v="0"/>
    <s v="Nokundi"/>
    <n v="3020001511"/>
    <x v="100"/>
    <m/>
    <s v="Korangi crossing, Korangi"/>
    <s v="0332-0366594"/>
    <s v="unsa.sajjad@tih.org.pk"/>
    <m/>
    <m/>
    <n v="188518"/>
    <n v="16"/>
    <n v="25920"/>
    <m/>
    <m/>
    <m/>
    <m/>
    <m/>
    <m/>
    <x v="0"/>
    <x v="0"/>
    <m/>
    <m/>
    <m/>
    <m/>
    <m/>
    <m/>
    <m/>
    <m/>
    <m/>
    <m/>
    <e v="#N/A"/>
    <m/>
    <m/>
    <m/>
    <m/>
    <m/>
    <m/>
    <m/>
    <s v="on Track"/>
    <s v="on Track"/>
    <n v="1"/>
    <s v="Placed"/>
    <m/>
    <m/>
    <m/>
    <m/>
    <m/>
    <m/>
    <m/>
    <m/>
    <m/>
    <m/>
    <m/>
    <n v="12800"/>
    <n v="12800"/>
    <n v="0"/>
    <n v="0"/>
    <n v="51800"/>
    <n v="0"/>
    <n v="0"/>
    <n v="39600"/>
    <n v="0"/>
    <n v="0"/>
    <n v="0"/>
    <n v="0"/>
    <n v="0"/>
    <n v="25600"/>
    <n v="117000"/>
    <n v="442633.33333333331"/>
    <n v="-81200"/>
    <n v="95900"/>
    <n v="457333.33333333331"/>
    <n v="80488.888888888891"/>
    <s v="Tender based busi"/>
    <n v="587133.33333333326"/>
    <x v="12"/>
    <n v="53375.757575757569"/>
    <n v="-46335.333333333314"/>
    <n v="27455.757575757569"/>
    <x v="1"/>
    <n v="2495.9779614325062"/>
    <n v="0.4"/>
    <n v="234853.33333333331"/>
    <n v="0.4"/>
  </r>
  <r>
    <s v="Hammad Hafeez"/>
    <s v="Hammad Noor"/>
    <x v="1"/>
    <x v="36"/>
    <n v="15000003"/>
    <s v="Clinical Chemistry"/>
    <n v="3002000083"/>
    <m/>
    <s v="23-46854"/>
    <m/>
    <m/>
    <m/>
    <m/>
    <m/>
    <x v="0"/>
    <x v="0"/>
    <s v="Nokundi"/>
    <n v="3020001511"/>
    <x v="100"/>
    <m/>
    <s v="Korangi crossing, Korangi"/>
    <s v="0332-0366596"/>
    <s v="unsa.sajjad@tih.org.pk"/>
    <m/>
    <m/>
    <n v="420800"/>
    <n v="3"/>
    <n v="327855"/>
    <m/>
    <m/>
    <m/>
    <m/>
    <m/>
    <m/>
    <x v="0"/>
    <x v="0"/>
    <m/>
    <m/>
    <m/>
    <m/>
    <m/>
    <m/>
    <m/>
    <m/>
    <m/>
    <m/>
    <e v="#N/A"/>
    <m/>
    <m/>
    <m/>
    <m/>
    <m/>
    <m/>
    <m/>
    <s v="on Track"/>
    <s v="on Track"/>
    <n v="1"/>
    <s v="Placed"/>
    <m/>
    <m/>
    <m/>
    <m/>
    <m/>
    <m/>
    <m/>
    <m/>
    <m/>
    <m/>
    <n v="463978"/>
    <n v="42978"/>
    <n v="506956"/>
    <n v="0"/>
    <n v="0"/>
    <n v="1407054.5"/>
    <n v="578759"/>
    <n v="0"/>
    <n v="313687"/>
    <n v="199298.5"/>
    <n v="0"/>
    <n v="197023"/>
    <n v="232304"/>
    <m/>
    <n v="1779910"/>
    <n v="4708036"/>
    <n v="184333"/>
    <n v="301359"/>
    <n v="350305.66666666669"/>
    <n v="835997.66666666674"/>
    <n v="569642.33333333326"/>
    <m/>
    <n v="6050989.666666667"/>
    <x v="12"/>
    <n v="550089.96969696973"/>
    <n v="-2302145.35"/>
    <n v="222234.96969696973"/>
    <x v="0"/>
    <n v="20203.179063360883"/>
    <n v="0.45"/>
    <n v="2722945.35"/>
    <n v="0.45"/>
  </r>
  <r>
    <s v="Hammad Hafeez"/>
    <s v="Hammad Noor"/>
    <x v="3"/>
    <x v="5"/>
    <n v="15001967"/>
    <s v="Hematology "/>
    <n v="3002000082"/>
    <m/>
    <n v="122534"/>
    <m/>
    <m/>
    <m/>
    <m/>
    <m/>
    <x v="0"/>
    <x v="0"/>
    <s v="Nokundi"/>
    <n v="3020001511"/>
    <x v="100"/>
    <m/>
    <s v="Korangi crossing, Korangi"/>
    <s v="0332-0366592"/>
    <s v="unsa.sajjad@tih.org.pk"/>
    <s v="3162706-4"/>
    <m/>
    <n v="1071664"/>
    <n v="26"/>
    <n v="95790"/>
    <m/>
    <m/>
    <m/>
    <m/>
    <m/>
    <m/>
    <x v="0"/>
    <x v="0"/>
    <m/>
    <m/>
    <m/>
    <m/>
    <m/>
    <m/>
    <m/>
    <m/>
    <m/>
    <m/>
    <e v="#N/A"/>
    <m/>
    <m/>
    <m/>
    <m/>
    <m/>
    <m/>
    <m/>
    <s v="Behind track"/>
    <s v="behind track April Sales"/>
    <n v="1"/>
    <s v="Placed"/>
    <m/>
    <m/>
    <m/>
    <m/>
    <m/>
    <m/>
    <m/>
    <m/>
    <m/>
    <m/>
    <n v="126000"/>
    <n v="30000"/>
    <n v="156000"/>
    <n v="0"/>
    <n v="0"/>
    <n v="126000"/>
    <n v="0"/>
    <n v="0"/>
    <n v="0"/>
    <n v="0"/>
    <n v="0"/>
    <n v="30000"/>
    <m/>
    <m/>
    <n v="363000"/>
    <n v="519000"/>
    <n v="0"/>
    <n v="0"/>
    <m/>
    <n v="0"/>
    <n v="121000"/>
    <m/>
    <n v="675000"/>
    <x v="20"/>
    <n v="56250"/>
    <n v="801664"/>
    <n v="-39540"/>
    <x v="1"/>
    <n v="-3295"/>
    <n v="0.4"/>
    <n v="270000"/>
    <n v="0.4"/>
  </r>
  <r>
    <s v="Hammad Hafeez"/>
    <s v="Hammad Noor"/>
    <x v="1"/>
    <x v="36"/>
    <n v="15000003"/>
    <s v="Clinical Chemistry"/>
    <s v="AR # 19000491"/>
    <m/>
    <s v="25-47705"/>
    <m/>
    <m/>
    <s v="27.08.2025"/>
    <m/>
    <m/>
    <x v="2"/>
    <x v="0"/>
    <s v="Quetta"/>
    <n v="3020001511"/>
    <x v="102"/>
    <m/>
    <s v="Korangi crossing, Korangi"/>
    <s v="0332-0366592"/>
    <s v="unsa.sajjad@tih.org.pk"/>
    <s v="3162706-4"/>
    <m/>
    <n v="507833"/>
    <n v="3"/>
    <n v="327855"/>
    <m/>
    <m/>
    <m/>
    <m/>
    <m/>
    <m/>
    <x v="0"/>
    <x v="0"/>
    <m/>
    <m/>
    <m/>
    <m/>
    <m/>
    <m/>
    <m/>
    <m/>
    <m/>
    <m/>
    <m/>
    <m/>
    <m/>
    <m/>
    <m/>
    <m/>
    <m/>
    <m/>
    <s v="New machines"/>
    <s v="New machines"/>
    <n v="1"/>
    <s v="Placed"/>
    <m/>
    <m/>
    <m/>
    <m/>
    <m/>
    <m/>
    <m/>
    <m/>
    <m/>
    <m/>
    <m/>
    <m/>
    <n v="0"/>
    <m/>
    <m/>
    <m/>
    <m/>
    <m/>
    <m/>
    <m/>
    <m/>
    <m/>
    <m/>
    <m/>
    <m/>
    <n v="0"/>
    <m/>
    <n v="301359"/>
    <n v="350305.66666666669"/>
    <n v="651664.66666666674"/>
    <n v="325832.33333333337"/>
    <m/>
    <n v="651664.66666666674"/>
    <x v="8"/>
    <n v="325832.33333333337"/>
    <n v="507833"/>
    <n v="-2022.6666666666279"/>
    <x v="2"/>
    <n v="-1011.3333333333139"/>
    <m/>
    <n v="0"/>
    <n v="0"/>
  </r>
  <r>
    <s v="Daniyal Khurshid"/>
    <s v="Jahangir Jalil"/>
    <x v="7"/>
    <x v="37"/>
    <n v="15002674"/>
    <s v="Electrolyte Analyzer "/>
    <m/>
    <m/>
    <m/>
    <m/>
    <m/>
    <s v="11.20.2025"/>
    <m/>
    <m/>
    <x v="2"/>
    <x v="0"/>
    <s v="Sui Balochistan"/>
    <n v="3020001511"/>
    <x v="103"/>
    <m/>
    <s v="Korangi crossing, Korangi"/>
    <s v="0332-0366592"/>
    <s v="unsa.sajjad@tih.org.pk"/>
    <s v="3162706-4"/>
    <m/>
    <n v="597824"/>
    <n v="37"/>
    <n v="28928"/>
    <m/>
    <m/>
    <m/>
    <m/>
    <m/>
    <m/>
    <x v="0"/>
    <x v="0"/>
    <m/>
    <m/>
    <m/>
    <m/>
    <m/>
    <m/>
    <m/>
    <m/>
    <m/>
    <m/>
    <m/>
    <m/>
    <m/>
    <m/>
    <m/>
    <m/>
    <m/>
    <m/>
    <s v="New installation"/>
    <s v="Sales started in March - Rafay"/>
    <n v="1"/>
    <s v="Placed"/>
    <m/>
    <m/>
    <m/>
    <m/>
    <m/>
    <m/>
    <m/>
    <m/>
    <m/>
    <m/>
    <m/>
    <m/>
    <n v="0"/>
    <m/>
    <m/>
    <m/>
    <m/>
    <m/>
    <m/>
    <m/>
    <m/>
    <m/>
    <m/>
    <m/>
    <m/>
    <n v="0"/>
    <m/>
    <m/>
    <m/>
    <n v="0"/>
    <n v="0"/>
    <m/>
    <n v="0"/>
    <x v="9"/>
    <e v="#DIV/0!"/>
    <m/>
    <e v="#DIV/0!"/>
    <x v="2"/>
    <e v="#DIV/0!"/>
    <m/>
    <n v="0"/>
    <n v="0"/>
  </r>
  <r>
    <s v="Humayun Patel"/>
    <s v="Jahangir Jalil"/>
    <x v="7"/>
    <x v="21"/>
    <n v="15002671"/>
    <s v="Urine Analyzer"/>
    <n v="3002000038"/>
    <m/>
    <s v="898-1-202110"/>
    <m/>
    <s v="26.07.2022"/>
    <s v="23.10.2023"/>
    <m/>
    <m/>
    <x v="1"/>
    <x v="0"/>
    <s v="Karachi"/>
    <n v="3020001552"/>
    <x v="104"/>
    <m/>
    <s v="Plot # N-118, 1st Floor, Block-2, P.E.C.H.S Karachi"/>
    <s v="021-34331144, 0335-3322085"/>
    <s v="info@mhk.com.pk"/>
    <s v="4267791-2"/>
    <s v="N/A"/>
    <n v="200000"/>
    <n v="27"/>
    <n v="96304"/>
    <m/>
    <m/>
    <m/>
    <m/>
    <m/>
    <m/>
    <x v="0"/>
    <x v="0"/>
    <m/>
    <m/>
    <m/>
    <m/>
    <m/>
    <m/>
    <m/>
    <m/>
    <m/>
    <m/>
    <e v="#N/A"/>
    <m/>
    <m/>
    <m/>
    <m/>
    <s v="no Sales after feb"/>
    <m/>
    <m/>
    <m/>
    <m/>
    <m/>
    <m/>
    <n v="0"/>
    <n v="839375"/>
    <n v="0"/>
    <n v="0"/>
    <n v="0"/>
    <n v="0"/>
    <n v="0"/>
    <n v="0"/>
    <n v="0"/>
    <n v="0"/>
    <n v="0"/>
    <n v="0"/>
    <n v="839375"/>
    <n v="0"/>
    <n v="0"/>
    <n v="0"/>
    <n v="0"/>
    <n v="0"/>
    <n v="0"/>
    <n v="0"/>
    <n v="0"/>
    <n v="0"/>
    <m/>
    <m/>
    <m/>
    <n v="0"/>
    <n v="0"/>
    <n v="0"/>
    <m/>
    <n v="0"/>
    <n v="0"/>
    <s v="It’s a tender based business so when theres new tender sales will increase - confim status from hammad hafeez"/>
    <n v="839375"/>
    <x v="35"/>
    <n v="34973.958333333336"/>
    <n v="-135750"/>
    <n v="-61330.041666666664"/>
    <x v="9"/>
    <n v="-2555.4184027777778"/>
    <n v="0.4"/>
    <n v="335750"/>
    <n v="0.4"/>
  </r>
  <r>
    <s v="Humayun Patel"/>
    <s v="Jahangir Jalil"/>
    <x v="7"/>
    <x v="21"/>
    <n v="15002671"/>
    <s v="Urine Analyzer"/>
    <s v="12- 7-24 demo 8300051872"/>
    <m/>
    <s v="897-1-202110"/>
    <m/>
    <s v="26.07.2022"/>
    <s v="23.10.2023"/>
    <m/>
    <m/>
    <x v="1"/>
    <x v="0"/>
    <s v="Karachi"/>
    <n v="3020001552"/>
    <x v="104"/>
    <m/>
    <s v="Plot # N-118, 1st Floor, Block-2, P.E.C.H.S Karachi"/>
    <s v="021-34331144, 0335-3322085"/>
    <s v="info@mhk.com.pk"/>
    <s v="4267791-2"/>
    <s v="N/A"/>
    <n v="200000"/>
    <n v="27"/>
    <n v="96304"/>
    <m/>
    <m/>
    <m/>
    <m/>
    <m/>
    <m/>
    <x v="0"/>
    <x v="0"/>
    <m/>
    <m/>
    <m/>
    <m/>
    <m/>
    <m/>
    <m/>
    <m/>
    <m/>
    <m/>
    <e v="#N/A"/>
    <m/>
    <m/>
    <m/>
    <m/>
    <s v="no Sales after feb"/>
    <m/>
    <m/>
    <m/>
    <m/>
    <m/>
    <m/>
    <n v="0"/>
    <n v="839375"/>
    <n v="0"/>
    <n v="0"/>
    <n v="0"/>
    <n v="0"/>
    <n v="0"/>
    <n v="0"/>
    <n v="0"/>
    <n v="0"/>
    <n v="0"/>
    <n v="0"/>
    <n v="839375"/>
    <n v="0"/>
    <n v="0"/>
    <n v="0"/>
    <n v="0"/>
    <n v="0"/>
    <n v="0"/>
    <n v="0"/>
    <n v="0"/>
    <n v="0"/>
    <m/>
    <m/>
    <m/>
    <n v="0"/>
    <n v="0"/>
    <n v="0"/>
    <m/>
    <n v="0"/>
    <n v="0"/>
    <s v="Its not at jpmc"/>
    <n v="839375"/>
    <x v="0"/>
    <n v="36494.565217391304"/>
    <n v="-135750"/>
    <n v="-59809.434782608696"/>
    <x v="9"/>
    <n v="-2600.4102079395084"/>
    <n v="0.4"/>
    <n v="335750"/>
    <n v="0.4"/>
  </r>
  <r>
    <s v="Humayun Patel"/>
    <s v="Jahangir Jalil"/>
    <x v="7"/>
    <x v="15"/>
    <n v="15002673"/>
    <s v="Urine Analyzer"/>
    <n v="3002000042"/>
    <s v="202-X2-120520"/>
    <s v="106-X2-260419"/>
    <m/>
    <s v="26.07.2022"/>
    <s v="23.10.2023"/>
    <m/>
    <m/>
    <x v="1"/>
    <x v="0"/>
    <s v="Karachi"/>
    <n v="3020001552"/>
    <x v="104"/>
    <m/>
    <s v="Plot # N-118, 1st Floor, Block-2, P.E.C.H.S Karachi"/>
    <m/>
    <m/>
    <s v="4267791-2"/>
    <s v="N/A"/>
    <n v="1600000"/>
    <n v="27"/>
    <n v="109972"/>
    <m/>
    <m/>
    <m/>
    <m/>
    <m/>
    <m/>
    <x v="0"/>
    <x v="0"/>
    <m/>
    <m/>
    <m/>
    <m/>
    <m/>
    <m/>
    <m/>
    <m/>
    <m/>
    <m/>
    <e v="#N/A"/>
    <m/>
    <m/>
    <m/>
    <m/>
    <m/>
    <m/>
    <m/>
    <m/>
    <m/>
    <m/>
    <m/>
    <m/>
    <m/>
    <m/>
    <m/>
    <m/>
    <m/>
    <m/>
    <m/>
    <m/>
    <m/>
    <m/>
    <m/>
    <n v="0"/>
    <m/>
    <m/>
    <n v="0"/>
    <m/>
    <n v="0"/>
    <m/>
    <n v="0"/>
    <n v="0"/>
    <n v="0"/>
    <m/>
    <m/>
    <m/>
    <n v="0"/>
    <n v="0"/>
    <n v="0"/>
    <m/>
    <n v="0"/>
    <n v="0"/>
    <s v="Tender based busi"/>
    <n v="0"/>
    <x v="9"/>
    <e v="#DIV/0!"/>
    <n v="1600000"/>
    <m/>
    <x v="2"/>
    <e v="#DIV/0!"/>
    <n v="0.4"/>
    <n v="0"/>
    <m/>
  </r>
  <r>
    <s v="Humayun Patel"/>
    <s v="Jahangir Jalil"/>
    <x v="7"/>
    <x v="15"/>
    <n v="15002673"/>
    <s v="Urine Analyzer"/>
    <n v="3002000049"/>
    <s v="202-X2-120520"/>
    <s v="202-X2-120520"/>
    <m/>
    <m/>
    <m/>
    <m/>
    <m/>
    <x v="1"/>
    <x v="0"/>
    <s v="Karachi"/>
    <n v="3020001552"/>
    <x v="104"/>
    <m/>
    <s v="Plot # N-118, 1st Floor, Block-2, P.E.C.H.S Karachi"/>
    <m/>
    <m/>
    <s v="4267791-2"/>
    <s v="N/A"/>
    <n v="3378744"/>
    <n v="37"/>
    <n v="365779"/>
    <m/>
    <m/>
    <m/>
    <m/>
    <m/>
    <m/>
    <x v="0"/>
    <x v="0"/>
    <m/>
    <m/>
    <m/>
    <m/>
    <m/>
    <m/>
    <m/>
    <m/>
    <m/>
    <m/>
    <e v="#N/A"/>
    <m/>
    <m/>
    <m/>
    <m/>
    <m/>
    <m/>
    <m/>
    <m/>
    <m/>
    <m/>
    <m/>
    <m/>
    <m/>
    <m/>
    <m/>
    <m/>
    <m/>
    <m/>
    <m/>
    <m/>
    <m/>
    <m/>
    <m/>
    <n v="0"/>
    <m/>
    <m/>
    <n v="0"/>
    <m/>
    <n v="0"/>
    <m/>
    <n v="0"/>
    <n v="0"/>
    <n v="0"/>
    <m/>
    <m/>
    <m/>
    <n v="0"/>
    <n v="0"/>
    <n v="0"/>
    <m/>
    <n v="0"/>
    <n v="0"/>
    <s v="Tender based busi"/>
    <n v="0"/>
    <x v="9"/>
    <e v="#DIV/0!"/>
    <n v="3378744"/>
    <m/>
    <x v="2"/>
    <e v="#DIV/0!"/>
    <n v="0.4"/>
    <n v="0"/>
    <m/>
  </r>
  <r>
    <s v="Humayun Patel"/>
    <s v="Jahangir Jalil"/>
    <x v="4"/>
    <x v="26"/>
    <n v="15003000"/>
    <s v="Coagulation Analyzer"/>
    <n v="3002000058"/>
    <m/>
    <n v="8657"/>
    <m/>
    <s v="30.11.2023"/>
    <s v="07.12.2023"/>
    <s v="Available"/>
    <m/>
    <x v="1"/>
    <x v="0"/>
    <s v="Karachi"/>
    <n v="3020001552"/>
    <x v="105"/>
    <m/>
    <s v="Plot # N-118, 1st Floor, Block-2, P.E.C.H.S Karachi"/>
    <s v="021-34331144, 0335-3322085"/>
    <s v="info@mhk.com.pk"/>
    <s v="4267791-2"/>
    <s v="N/A"/>
    <n v="5274883"/>
    <n v="36"/>
    <n v="1615386"/>
    <m/>
    <m/>
    <m/>
    <m/>
    <m/>
    <m/>
    <x v="0"/>
    <x v="0"/>
    <m/>
    <m/>
    <m/>
    <m/>
    <m/>
    <m/>
    <m/>
    <m/>
    <m/>
    <m/>
    <e v="#N/A"/>
    <m/>
    <m/>
    <m/>
    <m/>
    <s v="No Sales after Feb-24"/>
    <m/>
    <m/>
    <s v="Closed need to check with WH"/>
    <m/>
    <m/>
    <m/>
    <m/>
    <n v="3585000"/>
    <n v="0"/>
    <n v="0"/>
    <n v="0"/>
    <n v="0"/>
    <n v="0"/>
    <n v="0"/>
    <n v="0"/>
    <n v="0"/>
    <n v="0"/>
    <n v="0"/>
    <n v="3585000"/>
    <n v="0"/>
    <n v="0"/>
    <n v="0"/>
    <n v="0"/>
    <n v="0"/>
    <n v="0"/>
    <n v="0"/>
    <n v="0"/>
    <n v="0"/>
    <n v="0"/>
    <m/>
    <m/>
    <n v="0"/>
    <m/>
    <m/>
    <m/>
    <n v="0"/>
    <n v="0"/>
    <s v="Tender will be issued this month and paymen expected to be in the mid of dec"/>
    <n v="3585000"/>
    <x v="26"/>
    <n v="210882.35294117648"/>
    <n v="3840883"/>
    <n v="-1404503.6470588236"/>
    <x v="1"/>
    <n v="-82617.861591695502"/>
    <n v="0.4"/>
    <n v="1434000"/>
    <n v="0.4"/>
  </r>
  <r>
    <s v="Imran Rana"/>
    <s v="Hammad Noor"/>
    <x v="0"/>
    <x v="25"/>
    <n v="15002462"/>
    <s v="Immunoassay"/>
    <s v="E-mail forwarded to Mr. Asim &amp; Mr. Abdul Khalid for CAPEX appropriation requested because demo performed from 3200 Plant Lahore (mail attached)"/>
    <s v="N/A"/>
    <s v="IA00096724 "/>
    <s v="21.09.2023"/>
    <s v="14.06.2023"/>
    <s v="06.07.2023"/>
    <s v="Available"/>
    <m/>
    <x v="1"/>
    <x v="1"/>
    <s v="Sialkot"/>
    <n v="3020001659"/>
    <x v="106"/>
    <s v="N/A"/>
    <s v="2-Km Daska Raod, "/>
    <s v="0324-8787299, 052-3574812"/>
    <s v=" info.iih@smcs.edu.pk"/>
    <s v="8892361-1"/>
    <m/>
    <n v="4497465"/>
    <n v="34"/>
    <n v="592145"/>
    <m/>
    <m/>
    <m/>
    <m/>
    <m/>
    <m/>
    <x v="2"/>
    <x v="2"/>
    <m/>
    <m/>
    <s v=" "/>
    <s v=" "/>
    <m/>
    <m/>
    <m/>
    <m/>
    <m/>
    <m/>
    <s v="Machine is not installed at customer site and it will be pulled back from customer to shift the machine at Test zone Lab till 10th-15th April."/>
    <m/>
    <m/>
    <m/>
    <m/>
    <s v="Machine is on demo here"/>
    <m/>
    <m/>
    <s v="Closed"/>
    <m/>
    <m/>
    <m/>
    <m/>
    <m/>
    <m/>
    <m/>
    <m/>
    <m/>
    <m/>
    <m/>
    <m/>
    <m/>
    <m/>
    <m/>
    <n v="0"/>
    <m/>
    <m/>
    <m/>
    <m/>
    <m/>
    <m/>
    <m/>
    <m/>
    <m/>
    <m/>
    <n v="0"/>
    <m/>
    <n v="0"/>
    <m/>
    <m/>
    <m/>
    <n v="0"/>
    <n v="0"/>
    <s v="The machine is pull back from imran idress and placed at test zone."/>
    <n v="0"/>
    <x v="32"/>
    <e v="#VALUE!"/>
    <n v="4497465"/>
    <e v="#VALUE!"/>
    <x v="18"/>
    <e v="#VALUE!"/>
    <n v="0.4"/>
    <n v="0"/>
    <n v="0.4"/>
  </r>
  <r>
    <s v="Hammad Hafeez"/>
    <s v="Hammad Noor"/>
    <x v="0"/>
    <x v="12"/>
    <n v="15002553"/>
    <s v="Immunoassay"/>
    <m/>
    <m/>
    <s v="ID00175747"/>
    <m/>
    <m/>
    <s v="20.12.2024"/>
    <m/>
    <m/>
    <x v="0"/>
    <x v="0"/>
    <s v="Quetta"/>
    <n v="3020001748"/>
    <x v="107"/>
    <m/>
    <m/>
    <s v="0336-3557475"/>
    <s v="ahmed_ullah26@yahoo.com"/>
    <s v="5132026-1"/>
    <s v="54400-1404155-1"/>
    <n v="2587355"/>
    <n v="35"/>
    <n v="223571"/>
    <m/>
    <m/>
    <m/>
    <m/>
    <m/>
    <m/>
    <x v="0"/>
    <x v="0"/>
    <m/>
    <m/>
    <m/>
    <m/>
    <m/>
    <m/>
    <m/>
    <m/>
    <m/>
    <m/>
    <s v="Revise case submitted"/>
    <m/>
    <m/>
    <m/>
    <m/>
    <m/>
    <m/>
    <m/>
    <s v="on track"/>
    <s v="orders on hold - will be on track"/>
    <n v="1"/>
    <s v="Placed"/>
    <m/>
    <m/>
    <m/>
    <m/>
    <m/>
    <m/>
    <m/>
    <m/>
    <m/>
    <m/>
    <m/>
    <m/>
    <n v="0"/>
    <n v="123186"/>
    <n v="1367339"/>
    <m/>
    <n v="0"/>
    <n v="859806"/>
    <m/>
    <n v="373472"/>
    <n v="514242"/>
    <n v="3201023"/>
    <n v="3372670"/>
    <n v="539515"/>
    <n v="4130990"/>
    <n v="14482243"/>
    <n v="205240"/>
    <n v="424978"/>
    <n v="79312.5"/>
    <n v="709530.5"/>
    <n v="1458784.25"/>
    <m/>
    <n v="15191773.5"/>
    <x v="6"/>
    <n v="1085126.6785714286"/>
    <n v="-3489354.4000000004"/>
    <n v="861555.67857142864"/>
    <x v="1"/>
    <n v="61539.691326530614"/>
    <n v="0.4"/>
    <n v="6076709.4000000004"/>
    <n v="0.4"/>
  </r>
  <r>
    <s v="Humayun Patel"/>
    <s v="Jahangir Jalil"/>
    <x v="2"/>
    <x v="18"/>
    <n v="15002760"/>
    <s v="Immunoassay"/>
    <s v="AR # 300403"/>
    <m/>
    <n v="30006366"/>
    <s v="19.02.2025"/>
    <m/>
    <s v="12.03.2024"/>
    <m/>
    <m/>
    <x v="0"/>
    <x v="0"/>
    <s v="Quetta"/>
    <n v="3020001748"/>
    <x v="108"/>
    <m/>
    <m/>
    <s v="0336-3557475"/>
    <s v="ahmed_ullah26@yahoo.com"/>
    <s v="5132026-1"/>
    <s v="54400-1404155-1"/>
    <n v="18824399"/>
    <n v="34"/>
    <n v="1550725"/>
    <m/>
    <m/>
    <m/>
    <m/>
    <m/>
    <m/>
    <x v="0"/>
    <x v="0"/>
    <m/>
    <m/>
    <m/>
    <m/>
    <m/>
    <m/>
    <m/>
    <m/>
    <m/>
    <m/>
    <m/>
    <m/>
    <m/>
    <m/>
    <m/>
    <m/>
    <m/>
    <m/>
    <s v="Behind Track"/>
    <s v="sales will be invoiced in April"/>
    <n v="1"/>
    <s v="Placed"/>
    <m/>
    <m/>
    <m/>
    <m/>
    <m/>
    <m/>
    <m/>
    <m/>
    <m/>
    <m/>
    <m/>
    <m/>
    <n v="0"/>
    <m/>
    <m/>
    <n v="1089608"/>
    <n v="578220"/>
    <n v="1859355.5561303066"/>
    <n v="0"/>
    <n v="350113"/>
    <n v="210000"/>
    <n v="425000"/>
    <m/>
    <n v="167883.5"/>
    <m/>
    <n v="4680180.0561303068"/>
    <n v="24300"/>
    <n v="328038.5"/>
    <n v="126481"/>
    <n v="478819.5"/>
    <n v="161675.75"/>
    <m/>
    <n v="5158999.5561303068"/>
    <x v="33"/>
    <n v="859833.25935505109"/>
    <n v="16760799.177547878"/>
    <n v="-690891.74064494891"/>
    <x v="1"/>
    <n v="-115148.62344082481"/>
    <n v="0.4"/>
    <n v="2063599.8224521228"/>
    <n v="0.35"/>
  </r>
  <r>
    <s v="Humayun Patel"/>
    <s v="Jahangir Jalil"/>
    <x v="2"/>
    <x v="18"/>
    <n v="15002760"/>
    <s v="Immunoassay"/>
    <n v="3002000089"/>
    <m/>
    <n v="30006362"/>
    <s v="29.08.2024"/>
    <m/>
    <s v="12.09.2024"/>
    <m/>
    <m/>
    <x v="0"/>
    <x v="0"/>
    <s v="Quetta"/>
    <n v="3020001748"/>
    <x v="109"/>
    <m/>
    <m/>
    <s v="0336-3557475"/>
    <s v="ahmed_ullah26@yahoo.com"/>
    <s v="5132026-1"/>
    <s v="54400-1404155-1"/>
    <n v="8002112"/>
    <n v="48"/>
    <n v="497587"/>
    <m/>
    <m/>
    <m/>
    <m/>
    <m/>
    <m/>
    <x v="0"/>
    <x v="0"/>
    <m/>
    <m/>
    <m/>
    <m/>
    <m/>
    <m/>
    <m/>
    <m/>
    <m/>
    <m/>
    <m/>
    <m/>
    <m/>
    <m/>
    <m/>
    <m/>
    <m/>
    <m/>
    <s v="Behind Track"/>
    <s v="sales will be invoiced in April"/>
    <n v="1"/>
    <s v="Placed"/>
    <m/>
    <m/>
    <m/>
    <m/>
    <m/>
    <m/>
    <m/>
    <m/>
    <m/>
    <m/>
    <m/>
    <m/>
    <n v="0"/>
    <m/>
    <n v="170450"/>
    <n v="386349"/>
    <n v="80000"/>
    <n v="585500"/>
    <n v="72000"/>
    <n v="188000"/>
    <n v="120000"/>
    <n v="398000"/>
    <m/>
    <n v="167883.5"/>
    <m/>
    <n v="2168182.5"/>
    <n v="24300"/>
    <n v="328038.5"/>
    <n v="126481"/>
    <n v="478819.5"/>
    <n v="161675.75"/>
    <m/>
    <n v="2647002"/>
    <x v="10"/>
    <n v="330875.25"/>
    <n v="6943311.2000000002"/>
    <n v="-166711.75"/>
    <x v="1"/>
    <n v="-20838.96875"/>
    <n v="0.4"/>
    <n v="1058800.8"/>
    <n v="0.35"/>
  </r>
  <r>
    <s v="Hammad Hafeez"/>
    <s v="Hammad Noor"/>
    <x v="0"/>
    <x v="12"/>
    <n v="15002553"/>
    <s v="Immunoassay"/>
    <s v="AR # 300362"/>
    <m/>
    <s v="ID00176348"/>
    <m/>
    <m/>
    <s v="20.12.2024"/>
    <m/>
    <m/>
    <x v="1"/>
    <x v="0"/>
    <s v="Quetta"/>
    <n v="3020001748"/>
    <x v="110"/>
    <m/>
    <m/>
    <s v="0336-3557475"/>
    <s v="ahmed_ullah26@yahoo.com"/>
    <s v="5132026-1"/>
    <s v="54400-1404155-1"/>
    <n v="2587355"/>
    <n v="35"/>
    <n v="223571"/>
    <m/>
    <m/>
    <m/>
    <m/>
    <m/>
    <m/>
    <x v="0"/>
    <x v="0"/>
    <m/>
    <m/>
    <m/>
    <m/>
    <m/>
    <m/>
    <m/>
    <m/>
    <m/>
    <m/>
    <s v="Revise case submitted"/>
    <m/>
    <m/>
    <m/>
    <m/>
    <m/>
    <m/>
    <m/>
    <m/>
    <m/>
    <n v="1"/>
    <m/>
    <m/>
    <m/>
    <m/>
    <m/>
    <m/>
    <m/>
    <m/>
    <m/>
    <m/>
    <m/>
    <m/>
    <m/>
    <n v="0"/>
    <n v="30796.5"/>
    <n v="341834.75"/>
    <n v="0"/>
    <n v="0"/>
    <n v="225000"/>
    <n v="870000"/>
    <n v="95000"/>
    <n v="130000"/>
    <n v="166475"/>
    <n v="843167.5"/>
    <n v="134878.75"/>
    <m/>
    <n v="2837152.5"/>
    <m/>
    <m/>
    <m/>
    <n v="0"/>
    <n v="489023.125"/>
    <m/>
    <n v="2837152.5"/>
    <x v="12"/>
    <n v="257922.95454545456"/>
    <n v="1452494"/>
    <n v="34351.954545454559"/>
    <x v="1"/>
    <n v="3122.9049586776873"/>
    <n v="0.4"/>
    <n v="1134861"/>
    <n v="0.4"/>
  </r>
  <r>
    <s v="Hammad Hafeez"/>
    <s v="Hammad Noor"/>
    <x v="0"/>
    <x v="12"/>
    <n v="15002553"/>
    <s v="Immunoassay"/>
    <n v="3002000109"/>
    <m/>
    <s v="ID00093734"/>
    <m/>
    <m/>
    <s v="25.04.2025"/>
    <m/>
    <m/>
    <x v="1"/>
    <x v="0"/>
    <s v="Quetta"/>
    <n v="3020001748"/>
    <x v="111"/>
    <m/>
    <m/>
    <s v="0336-3557475"/>
    <s v="ahmed_ullah26@yahoo.com"/>
    <s v="5132026-1"/>
    <s v="54400-1404155-1"/>
    <n v="2587355"/>
    <n v="31"/>
    <n v="302952"/>
    <m/>
    <m/>
    <m/>
    <m/>
    <m/>
    <m/>
    <x v="0"/>
    <x v="0"/>
    <m/>
    <m/>
    <m/>
    <m/>
    <m/>
    <m/>
    <m/>
    <m/>
    <m/>
    <m/>
    <s v="Revise case submitted"/>
    <m/>
    <m/>
    <m/>
    <m/>
    <m/>
    <m/>
    <m/>
    <m/>
    <m/>
    <n v="1"/>
    <m/>
    <m/>
    <m/>
    <m/>
    <m/>
    <m/>
    <m/>
    <m/>
    <m/>
    <m/>
    <m/>
    <m/>
    <m/>
    <n v="0"/>
    <n v="30796.5"/>
    <n v="341834.75"/>
    <n v="0"/>
    <n v="0"/>
    <n v="198000"/>
    <n v="246000"/>
    <n v="136000"/>
    <n v="142000"/>
    <n v="201000"/>
    <n v="843167.5"/>
    <n v="134878.75"/>
    <m/>
    <n v="2273677.5"/>
    <m/>
    <m/>
    <m/>
    <n v="0"/>
    <n v="489023.125"/>
    <s v="Demo Machine will transfer to Capex"/>
    <n v="2273677.5"/>
    <x v="12"/>
    <n v="206697.95454545456"/>
    <n v="1677884"/>
    <n v="-96254.045454545441"/>
    <x v="1"/>
    <n v="-8750.3677685950406"/>
    <n v="0.4"/>
    <n v="909471"/>
    <n v="0.4"/>
  </r>
  <r>
    <s v="Hammad Hafeez"/>
    <s v="Hammad Noor"/>
    <x v="0"/>
    <x v="12"/>
    <n v="15002553"/>
    <s v="Immunoassay"/>
    <n v="3002000108"/>
    <m/>
    <s v="ID00082632"/>
    <m/>
    <m/>
    <s v="25.04.2025"/>
    <m/>
    <m/>
    <x v="1"/>
    <x v="0"/>
    <s v="Quetta"/>
    <n v="3020001748"/>
    <x v="112"/>
    <m/>
    <m/>
    <s v="0336-3557475"/>
    <s v="ahmed_ullah26@yahoo.com"/>
    <s v="5132026-1"/>
    <s v="54400-1404155-1"/>
    <n v="2587355"/>
    <n v="30"/>
    <n v="291732"/>
    <m/>
    <m/>
    <m/>
    <m/>
    <m/>
    <m/>
    <x v="0"/>
    <x v="0"/>
    <m/>
    <m/>
    <m/>
    <m/>
    <m/>
    <m/>
    <m/>
    <m/>
    <m/>
    <m/>
    <s v="Revise case submitted"/>
    <m/>
    <m/>
    <m/>
    <m/>
    <m/>
    <m/>
    <m/>
    <m/>
    <m/>
    <n v="1"/>
    <m/>
    <m/>
    <m/>
    <m/>
    <m/>
    <m/>
    <m/>
    <m/>
    <m/>
    <m/>
    <m/>
    <m/>
    <m/>
    <n v="0"/>
    <n v="30796.5"/>
    <n v="341834.75"/>
    <n v="0"/>
    <n v="0"/>
    <n v="229806"/>
    <n v="299331"/>
    <n v="0"/>
    <n v="92242"/>
    <n v="214000"/>
    <n v="843167.5"/>
    <n v="134878.75"/>
    <m/>
    <n v="2186056.5"/>
    <m/>
    <m/>
    <m/>
    <n v="0"/>
    <n v="489023.125"/>
    <s v="Demo Machine will transfer to Capex"/>
    <n v="2186056.5"/>
    <x v="12"/>
    <n v="198732.40909090909"/>
    <n v="1712932.4"/>
    <n v="-92999.590909090912"/>
    <x v="1"/>
    <n v="-8454.508264462811"/>
    <n v="0.4"/>
    <n v="874422.60000000009"/>
    <n v="0.4"/>
  </r>
  <r>
    <s v="Humayun Patel"/>
    <s v="Jahangir Jalil"/>
    <x v="2"/>
    <x v="38"/>
    <n v="15002758"/>
    <s v="Immunoassay"/>
    <n v="3002000025"/>
    <s v="N/A"/>
    <n v="36000907"/>
    <s v="04.01.2023"/>
    <s v="06.12.2022"/>
    <s v="06.12.2022"/>
    <s v="Available"/>
    <m/>
    <x v="7"/>
    <x v="0"/>
    <s v="Quetta"/>
    <n v="3020001748"/>
    <x v="113"/>
    <s v="Dr. Fayaz butt"/>
    <s v="Jinnah Road Quetta"/>
    <s v="0812-822360"/>
    <s v="Not Available"/>
    <s v="5132026-1"/>
    <s v="54400-1404155-1"/>
    <n v="10856400"/>
    <n v="29"/>
    <n v="1266339"/>
    <m/>
    <m/>
    <s v="Reagents Not available"/>
    <s v="Partial items received, already processed the orders"/>
    <s v="machine out of order"/>
    <s v="working with OCD technical team to resolve the issue as early as possible callibration and allignment tools are needed which is under process by procurement "/>
    <x v="19"/>
    <x v="21"/>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m/>
    <m/>
    <m/>
    <m/>
    <n v="301920"/>
    <n v="604500"/>
    <n v="602950"/>
    <n v="0"/>
    <n v="432564"/>
    <n v="1646505"/>
    <n v="625224"/>
    <n v="334868"/>
    <n v="160290"/>
    <n v="103427"/>
    <n v="617018.57999999996"/>
    <n v="744021"/>
    <n v="6173287.5800000001"/>
    <n v="405650"/>
    <m/>
    <m/>
    <m/>
    <m/>
    <m/>
    <m/>
    <m/>
    <m/>
    <m/>
    <m/>
    <m/>
    <n v="405650"/>
    <m/>
    <m/>
    <m/>
    <n v="0"/>
    <n v="0"/>
    <m/>
    <n v="6578937.5800000001"/>
    <x v="18"/>
    <n v="263157.50319999998"/>
    <n v="8224824.9680000003"/>
    <n v="-1003181.4968000001"/>
    <x v="7"/>
    <n v="-40127.259872000002"/>
    <n v="0.4"/>
    <n v="2631575.0320000001"/>
    <n v="0.35"/>
  </r>
  <r>
    <s v="Humayun Patel"/>
    <s v="Jahangir Jalil"/>
    <x v="2"/>
    <x v="2"/>
    <n v="15002760"/>
    <s v="Immunoassay"/>
    <n v="3002000021"/>
    <s v="N/A"/>
    <n v="30006248"/>
    <s v="01.10.2022"/>
    <s v="23.09.2022"/>
    <s v="26.09.2022"/>
    <s v="Available"/>
    <m/>
    <x v="7"/>
    <x v="0"/>
    <s v="Quetta"/>
    <n v="3020001748"/>
    <x v="114"/>
    <s v="Installed through Trader Jamal Brothers"/>
    <s v="Saleem Medical Complex, Quetta, Pakistan-87300"/>
    <s v="0336-3557475"/>
    <s v="ahmed_ullah26@yahoo.com"/>
    <s v="5132026-1"/>
    <s v="54400-1404155-1"/>
    <n v="9297200"/>
    <n v="30"/>
    <n v="1002975"/>
    <m/>
    <s v="Order received and processed"/>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08000"/>
    <n v="452532"/>
    <n v="411355"/>
    <n v="0"/>
    <n v="405250"/>
    <n v="1372088"/>
    <n v="729428"/>
    <n v="298852"/>
    <n v="280510"/>
    <n v="120665"/>
    <n v="594166.04"/>
    <n v="637733"/>
    <n v="5510579.04"/>
    <n v="376675"/>
    <m/>
    <m/>
    <m/>
    <m/>
    <m/>
    <m/>
    <m/>
    <m/>
    <m/>
    <m/>
    <m/>
    <n v="376675"/>
    <m/>
    <m/>
    <m/>
    <n v="0"/>
    <n v="0"/>
    <m/>
    <n v="5887254.04"/>
    <x v="18"/>
    <n v="235490.16159999999"/>
    <n v="6942298.3839999996"/>
    <n v="-767484.83840000001"/>
    <x v="19"/>
    <n v="-30699.393536"/>
    <n v="0.4"/>
    <n v="2354901.6159999999"/>
    <n v="0.35"/>
  </r>
  <r>
    <s v="Humayun Patel"/>
    <s v="Jahangir Jalil"/>
    <x v="2"/>
    <x v="2"/>
    <n v="15002760"/>
    <s v="Immunoassay"/>
    <n v="3002000020"/>
    <s v="N/A"/>
    <n v="30006249"/>
    <s v="01.10.2022"/>
    <s v="26.09.2022"/>
    <s v="26.09.2022"/>
    <s v="Available"/>
    <m/>
    <x v="7"/>
    <x v="0"/>
    <s v="Quetta"/>
    <n v="3020001748"/>
    <x v="115"/>
    <s v="Installed through Trader Jamal Brothers"/>
    <s v="Art School Rd, Quetta, Balochistan 83200"/>
    <s v="0336-3557475"/>
    <s v="ahmed_ullah26@yahoo.com"/>
    <s v="5132026-1"/>
    <s v="54400-1404155-1"/>
    <n v="9297200"/>
    <n v="30"/>
    <n v="1380048"/>
    <m/>
    <s v="Order received and processed"/>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21000"/>
    <n v="425300"/>
    <n v="425361"/>
    <n v="0"/>
    <n v="412580"/>
    <n v="1317204"/>
    <n v="573122"/>
    <n v="286810"/>
    <n v="240438"/>
    <n v="94809"/>
    <n v="525723.42000000004"/>
    <n v="584588"/>
    <n v="5106935.42"/>
    <n v="318725"/>
    <m/>
    <m/>
    <m/>
    <m/>
    <m/>
    <m/>
    <m/>
    <m/>
    <m/>
    <m/>
    <m/>
    <n v="318725"/>
    <m/>
    <m/>
    <m/>
    <n v="0"/>
    <n v="0"/>
    <m/>
    <n v="5425660.4199999999"/>
    <x v="18"/>
    <n v="217026.41680000001"/>
    <n v="7126935.8320000004"/>
    <n v="-1163021.5832"/>
    <x v="19"/>
    <n v="-46520.863327999999"/>
    <n v="0.4"/>
    <n v="2170264.1680000001"/>
    <n v="0.35"/>
  </r>
  <r>
    <s v="Humayun Patel"/>
    <s v="Jahangir Jalil"/>
    <x v="2"/>
    <x v="2"/>
    <n v="15002760"/>
    <s v="Immunoassay"/>
    <n v="3002000022"/>
    <s v="N/A"/>
    <n v="30006240"/>
    <s v="29.10.2022"/>
    <s v="19.10.2022"/>
    <s v="19.10.2022"/>
    <s v="Available"/>
    <m/>
    <x v="7"/>
    <x v="0"/>
    <s v="Quetta"/>
    <n v="3020001748"/>
    <x v="116"/>
    <s v="Dr. Hanif Mangel"/>
    <s v="52Q5+VJ4, Patel Road, Patel Bagh Quetta, Balochistan"/>
    <s v="0336-3557475"/>
    <s v="ahmed_ullah26@yahoo.com"/>
    <s v="5132026-1"/>
    <s v="54400-1404155-1"/>
    <n v="9297200"/>
    <n v="29"/>
    <n v="1059783"/>
    <m/>
    <m/>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m/>
    <m/>
    <m/>
    <m/>
    <n v="208820"/>
    <n v="384000"/>
    <n v="458717"/>
    <n v="0"/>
    <n v="380600"/>
    <n v="1152556"/>
    <n v="677326"/>
    <n v="323429"/>
    <n v="120257"/>
    <n v="112046"/>
    <n v="548460.96"/>
    <n v="690877"/>
    <n v="5057088.96"/>
    <n v="347700"/>
    <m/>
    <m/>
    <m/>
    <m/>
    <m/>
    <m/>
    <m/>
    <m/>
    <m/>
    <m/>
    <m/>
    <n v="347700"/>
    <m/>
    <m/>
    <m/>
    <n v="0"/>
    <n v="0"/>
    <m/>
    <n v="5404788.96"/>
    <x v="18"/>
    <n v="216191.55840000001"/>
    <n v="7135284.4159999993"/>
    <n v="-843591.44160000002"/>
    <x v="19"/>
    <n v="-33743.657663999998"/>
    <n v="0.4"/>
    <n v="2161915.5840000003"/>
    <n v="0.35"/>
  </r>
  <r>
    <s v="Humayun Patel"/>
    <s v="Jahangir Jalil"/>
    <x v="2"/>
    <x v="38"/>
    <n v="15002760"/>
    <s v="Immunoassay"/>
    <n v="3002000090"/>
    <s v="N/A"/>
    <n v="30006326"/>
    <s v="04.01.2023"/>
    <s v="06.12.2022"/>
    <s v="25.04.2025"/>
    <s v="Available"/>
    <m/>
    <x v="8"/>
    <x v="0"/>
    <s v="Quetta"/>
    <n v="3020001748"/>
    <x v="113"/>
    <s v="Dr. Fayaz butt"/>
    <s v="Jinnah Road Quetta"/>
    <s v="0812-822360"/>
    <s v="Not Available"/>
    <s v="5132026-1"/>
    <s v="54400-1404155-1"/>
    <n v="8595000"/>
    <n v="45"/>
    <n v="529967"/>
    <m/>
    <m/>
    <s v="Reagents Not available"/>
    <s v="Partial items received, already processed the orders"/>
    <s v="machine out of order"/>
    <s v="working with OCD technical team to resolve the issue as early as possible callibration and allignment tools are needed which is under process by procurement "/>
    <x v="19"/>
    <x v="21"/>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m/>
    <s v="revised business cases in under discussed with Finance and Managment"/>
    <m/>
    <m/>
    <m/>
    <m/>
    <m/>
    <s v="Behind Track"/>
    <s v="Visit in April and then update the status"/>
    <n v="1"/>
    <s v="Not funtional - At customer site"/>
    <n v="301920"/>
    <n v="604500"/>
    <n v="602950"/>
    <n v="0"/>
    <n v="432564"/>
    <n v="1646505"/>
    <n v="625224"/>
    <n v="334868"/>
    <n v="160290"/>
    <n v="103427"/>
    <n v="617018.57999999996"/>
    <n v="744021"/>
    <n v="6173287.5800000001"/>
    <n v="405650"/>
    <n v="317365"/>
    <n v="416000"/>
    <n v="96500"/>
    <n v="676000"/>
    <n v="120000"/>
    <n v="190000"/>
    <n v="176000"/>
    <n v="340000"/>
    <m/>
    <m/>
    <m/>
    <n v="2737515"/>
    <m/>
    <m/>
    <m/>
    <n v="0"/>
    <n v="0"/>
    <m/>
    <n v="8910802.5800000001"/>
    <x v="15"/>
    <n v="287445.24451612902"/>
    <n v="5030678.9680000003"/>
    <n v="-242521.75548387098"/>
    <x v="19"/>
    <n v="-7823.2824349635803"/>
    <n v="0.4"/>
    <n v="3564321.0320000001"/>
    <n v="0.35"/>
  </r>
  <r>
    <s v="Humayun Patel"/>
    <s v="Jahangir Jalil"/>
    <x v="2"/>
    <x v="2"/>
    <n v="15002760"/>
    <s v="Immunoassay"/>
    <n v="3002000021"/>
    <s v="N/A"/>
    <n v="30006248"/>
    <s v="01.10.2022"/>
    <s v="23.09.2022"/>
    <s v="25.04.2025"/>
    <s v="Available"/>
    <m/>
    <x v="8"/>
    <x v="0"/>
    <s v="Quetta"/>
    <n v="3020001748"/>
    <x v="114"/>
    <s v="Installed through Trader Jamal Brothers"/>
    <s v="Saleem Medical Complex, Quetta, Pakistan-87300"/>
    <s v="0336-3557475"/>
    <s v="ahmed_ullah26@yahoo.com"/>
    <s v="5132026-1"/>
    <s v="54400-1404155-1"/>
    <n v="9412200"/>
    <n v="55"/>
    <n v="504629"/>
    <m/>
    <s v="Order received and processed"/>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08000"/>
    <n v="452532"/>
    <n v="411355"/>
    <n v="0"/>
    <n v="405250"/>
    <n v="1372088"/>
    <n v="729428"/>
    <n v="298852"/>
    <n v="280510"/>
    <n v="120665"/>
    <n v="594166.04"/>
    <n v="637733"/>
    <n v="5510579.04"/>
    <n v="376675"/>
    <n v="387000"/>
    <n v="437000"/>
    <n v="93000"/>
    <n v="720000"/>
    <n v="127084"/>
    <n v="245000"/>
    <n v="249000"/>
    <n v="375730"/>
    <m/>
    <m/>
    <m/>
    <n v="3010489"/>
    <m/>
    <m/>
    <m/>
    <n v="0"/>
    <n v="0"/>
    <m/>
    <n v="8521068.0399999991"/>
    <x v="15"/>
    <n v="274873.16258064512"/>
    <n v="6003772.784"/>
    <n v="-229755.83741935488"/>
    <x v="9"/>
    <n v="-7411.4786264308023"/>
    <n v="0.4"/>
    <n v="3408427.216"/>
    <n v="0.35"/>
  </r>
  <r>
    <s v="Humayun Patel"/>
    <s v="Jahangir Jalil"/>
    <x v="2"/>
    <x v="2"/>
    <n v="15002760"/>
    <s v="Immunoassay"/>
    <n v="3002000020"/>
    <s v="N/A"/>
    <n v="30006249"/>
    <s v="01.10.2022"/>
    <s v="26.09.2022"/>
    <s v="25.04.2025"/>
    <s v="Available"/>
    <m/>
    <x v="8"/>
    <x v="0"/>
    <s v="Quetta"/>
    <n v="3020001748"/>
    <x v="115"/>
    <s v="Installed through Trader Jamal Brothers"/>
    <s v="Art School Rd, Quetta, Balochistan 83200"/>
    <s v="0336-3557475"/>
    <s v="ahmed_ullah26@yahoo.com"/>
    <s v="5132026-1"/>
    <s v="54400-1404155-1"/>
    <n v="9412200"/>
    <n v="58"/>
    <n v="507479"/>
    <m/>
    <s v="Order received and processed"/>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21000"/>
    <n v="425300"/>
    <n v="425361"/>
    <n v="0"/>
    <n v="412580"/>
    <n v="1317204"/>
    <n v="573122"/>
    <n v="286810"/>
    <n v="240438"/>
    <n v="94809"/>
    <n v="525723.42000000004"/>
    <n v="584588"/>
    <n v="5106935.42"/>
    <n v="318725"/>
    <n v="369174"/>
    <n v="522000"/>
    <n v="106000"/>
    <n v="1040000"/>
    <n v="150000"/>
    <n v="250000"/>
    <n v="222500"/>
    <n v="387500"/>
    <m/>
    <m/>
    <m/>
    <n v="3365899"/>
    <m/>
    <m/>
    <m/>
    <n v="0"/>
    <n v="0"/>
    <m/>
    <n v="8472834.4199999999"/>
    <x v="15"/>
    <n v="273317.23935483873"/>
    <n v="6023066.2319999998"/>
    <n v="-234161.76064516127"/>
    <x v="1"/>
    <n v="-7553.6051821019764"/>
    <n v="0.4"/>
    <n v="3389133.7680000002"/>
    <n v="0.35"/>
  </r>
  <r>
    <s v="Humayun Patel"/>
    <s v="Jahangir Jalil"/>
    <x v="2"/>
    <x v="2"/>
    <n v="15002760"/>
    <s v="Immunoassay"/>
    <n v="3002000022"/>
    <s v="N/A"/>
    <n v="30006240"/>
    <s v="29.10.2022"/>
    <s v="19.10.2022"/>
    <s v="25.04.2025"/>
    <s v="Available"/>
    <m/>
    <x v="8"/>
    <x v="0"/>
    <s v="Quetta"/>
    <n v="3020001748"/>
    <x v="116"/>
    <s v="Dr. Hanif Mangel"/>
    <s v="52Q5+VJ4, Patel Road, Patel Bagh Quetta, Balochistan"/>
    <s v="0336-3557475"/>
    <s v="ahmed_ullah26@yahoo.com"/>
    <s v="5132026-1"/>
    <s v="54400-1404155-1"/>
    <n v="8595000"/>
    <n v="55"/>
    <n v="424250"/>
    <m/>
    <m/>
    <s v="Reagents Not available"/>
    <s v="Partial items received, already processed the orders"/>
    <s v="working with customer to put workload on our equipment "/>
    <m/>
    <x v="20"/>
    <x v="22"/>
    <s v="We've received order of 818,000 in August 2023 "/>
    <s v="Need to revise the business case as per Average Reagent Sales"/>
    <s v="Revised business case has been sent to Mr, Irfan for further approvals"/>
    <s v="Order for Sep &amp; Oct 2023 has been received"/>
    <m/>
    <m/>
    <m/>
    <m/>
    <m/>
    <s v="From March onwards will receive proper orders and workload will also increase"/>
    <s v="Revise case submitted, On actual volume"/>
    <m/>
    <s v="business cases is under discussion - Quetta"/>
    <m/>
    <m/>
    <m/>
    <m/>
    <m/>
    <s v="Behind Track"/>
    <s v="Visit in April and then update the status"/>
    <n v="1"/>
    <s v="Not funtional - At customer site"/>
    <n v="208820"/>
    <n v="384000"/>
    <n v="458717"/>
    <n v="0"/>
    <n v="380600"/>
    <n v="1152556"/>
    <n v="677326"/>
    <n v="323429"/>
    <n v="120257"/>
    <n v="112046"/>
    <n v="548460.96"/>
    <n v="690877"/>
    <n v="5057088.96"/>
    <n v="347700"/>
    <n v="698335"/>
    <n v="479000"/>
    <n v="107017"/>
    <n v="791114"/>
    <n v="115000"/>
    <n v="287000"/>
    <n v="81039"/>
    <n v="154000"/>
    <m/>
    <m/>
    <m/>
    <n v="3060205"/>
    <m/>
    <m/>
    <m/>
    <n v="0"/>
    <n v="0"/>
    <m/>
    <n v="8117293.96"/>
    <x v="15"/>
    <n v="261848.19225806452"/>
    <n v="5348082.4159999993"/>
    <n v="-162401.80774193548"/>
    <x v="0"/>
    <n v="-5238.7679916753377"/>
    <n v="0.4"/>
    <n v="3246917.5840000003"/>
    <n v="0.35"/>
  </r>
  <r>
    <s v="Imran Rana"/>
    <s v="Hammad Noor"/>
    <x v="0"/>
    <x v="0"/>
    <n v="15002462"/>
    <s v="Immunoassay"/>
    <n v="3002000098"/>
    <m/>
    <s v="IA00093422"/>
    <m/>
    <m/>
    <s v="14.05.2025"/>
    <m/>
    <m/>
    <x v="0"/>
    <x v="1"/>
    <s v="D.G Khan"/>
    <n v="3020001809"/>
    <x v="117"/>
    <m/>
    <m/>
    <m/>
    <m/>
    <m/>
    <m/>
    <n v="3100000"/>
    <n v="33"/>
    <n v="29400"/>
    <m/>
    <m/>
    <m/>
    <m/>
    <m/>
    <m/>
    <x v="0"/>
    <x v="0"/>
    <m/>
    <m/>
    <m/>
    <m/>
    <m/>
    <m/>
    <m/>
    <m/>
    <m/>
    <m/>
    <m/>
    <m/>
    <m/>
    <m/>
    <m/>
    <m/>
    <m/>
    <m/>
    <s v="Machine to be checked"/>
    <s v="Tender or Pull back by May 15"/>
    <n v="1"/>
    <s v="Placed"/>
    <m/>
    <m/>
    <m/>
    <m/>
    <m/>
    <m/>
    <m/>
    <m/>
    <m/>
    <n v="2491525.5"/>
    <m/>
    <m/>
    <n v="2491525.5"/>
    <m/>
    <m/>
    <m/>
    <m/>
    <m/>
    <m/>
    <m/>
    <m/>
    <n v="0"/>
    <n v="0"/>
    <n v="0"/>
    <m/>
    <n v="0"/>
    <n v="0"/>
    <n v="0"/>
    <n v="0"/>
    <n v="0"/>
    <n v="0"/>
    <m/>
    <n v="2491525.5"/>
    <x v="27"/>
    <n v="191655.80769230769"/>
    <n v="2103389.7999999998"/>
    <n v="162255.80769230769"/>
    <x v="2"/>
    <n v="12481.215976331361"/>
    <n v="0.4"/>
    <n v="996610.20000000007"/>
    <n v="0.4"/>
  </r>
  <r>
    <s v="Abdul Moeed"/>
    <s v="Jahangir Jalil"/>
    <x v="2"/>
    <x v="18"/>
    <n v="15002760"/>
    <s v="Immunoassay"/>
    <m/>
    <m/>
    <m/>
    <m/>
    <m/>
    <s v="23.06.2025"/>
    <m/>
    <m/>
    <x v="1"/>
    <x v="2"/>
    <s v="Islamabad"/>
    <n v="3020001811"/>
    <x v="118"/>
    <m/>
    <s v="1-674, Street No 7, Murree Road Committee Chowk"/>
    <s v="051-5132096/0333-5483970"/>
    <s v="mjunaidpirzada@gmail.com"/>
    <m/>
    <s v="37405-8532137-1"/>
    <n v="13726374"/>
    <n v="35"/>
    <n v="979837"/>
    <m/>
    <m/>
    <m/>
    <m/>
    <m/>
    <m/>
    <x v="0"/>
    <x v="0"/>
    <m/>
    <m/>
    <m/>
    <m/>
    <m/>
    <m/>
    <m/>
    <m/>
    <m/>
    <m/>
    <m/>
    <m/>
    <m/>
    <m/>
    <m/>
    <m/>
    <m/>
    <m/>
    <s v="Closed"/>
    <m/>
    <m/>
    <m/>
    <m/>
    <m/>
    <m/>
    <m/>
    <n v="1710000"/>
    <m/>
    <m/>
    <m/>
    <m/>
    <m/>
    <m/>
    <m/>
    <n v="1710000"/>
    <m/>
    <m/>
    <m/>
    <m/>
    <m/>
    <m/>
    <n v="316962"/>
    <n v="0"/>
    <n v="0"/>
    <m/>
    <m/>
    <m/>
    <n v="316962"/>
    <m/>
    <m/>
    <m/>
    <n v="0"/>
    <n v="0"/>
    <m/>
    <n v="2026962"/>
    <x v="13"/>
    <n v="506740.5"/>
    <n v="12915589.199999999"/>
    <n v="-882971"/>
    <x v="1"/>
    <n v="-220742.75"/>
    <n v="0.4"/>
    <n v="810784.8"/>
    <n v="0.4"/>
  </r>
  <r>
    <s v="Shagufta Anthony "/>
    <s v="Jahangir Jalil"/>
    <x v="2"/>
    <x v="13"/>
    <n v="15002760"/>
    <s v="Immunoassay"/>
    <s v="AR # 300405"/>
    <s v="Received from GAMCA Peshawar"/>
    <n v="30006409"/>
    <m/>
    <m/>
    <s v="04.07.2025"/>
    <m/>
    <m/>
    <x v="0"/>
    <x v="2"/>
    <s v="Peshawar"/>
    <n v="3020001102"/>
    <x v="119"/>
    <m/>
    <m/>
    <m/>
    <m/>
    <m/>
    <m/>
    <n v="14446400"/>
    <n v="28"/>
    <n v="855600"/>
    <m/>
    <m/>
    <m/>
    <m/>
    <m/>
    <m/>
    <x v="0"/>
    <x v="0"/>
    <m/>
    <m/>
    <m/>
    <m/>
    <m/>
    <m/>
    <m/>
    <m/>
    <m/>
    <m/>
    <m/>
    <m/>
    <m/>
    <m/>
    <m/>
    <m/>
    <m/>
    <m/>
    <s v="Behind Track"/>
    <s v="due to stock shortages sales was behind track"/>
    <n v="1"/>
    <s v="Placed"/>
    <m/>
    <m/>
    <m/>
    <m/>
    <m/>
    <m/>
    <m/>
    <m/>
    <m/>
    <m/>
    <m/>
    <m/>
    <n v="0"/>
    <m/>
    <m/>
    <m/>
    <m/>
    <m/>
    <m/>
    <n v="469000"/>
    <m/>
    <n v="0"/>
    <m/>
    <m/>
    <m/>
    <n v="469000"/>
    <n v="647500"/>
    <m/>
    <m/>
    <n v="647500"/>
    <n v="647500"/>
    <m/>
    <n v="1116500"/>
    <x v="3"/>
    <n v="124055.55555555556"/>
    <n v="14446400"/>
    <n v="-731544.4444444445"/>
    <x v="2"/>
    <n v="-81282.716049382725"/>
    <m/>
    <n v="0"/>
    <n v="0"/>
  </r>
  <r>
    <s v="Humayun Patel"/>
    <s v="Jahangir Jalil"/>
    <x v="7"/>
    <x v="16"/>
    <n v="15002674"/>
    <s v="Electrolyte Analyzer"/>
    <s v="AR # 1900381"/>
    <s v="Shifted from demo 8300061998 18.08.2025"/>
    <s v="9254-2-202402"/>
    <m/>
    <m/>
    <s v="14.07.2025"/>
    <m/>
    <m/>
    <x v="0"/>
    <x v="0"/>
    <s v="Quetta"/>
    <n v="3020001748"/>
    <x v="120"/>
    <m/>
    <m/>
    <m/>
    <m/>
    <m/>
    <m/>
    <n v="532660"/>
    <n v="24"/>
    <n v="68306"/>
    <m/>
    <m/>
    <m/>
    <m/>
    <m/>
    <m/>
    <x v="0"/>
    <x v="0"/>
    <m/>
    <m/>
    <m/>
    <m/>
    <m/>
    <m/>
    <m/>
    <m/>
    <m/>
    <m/>
    <m/>
    <m/>
    <m/>
    <m/>
    <m/>
    <m/>
    <m/>
    <m/>
    <s v="2 Mchines through jamal brothers purchsed"/>
    <s v="Behind Track"/>
    <n v="1"/>
    <s v="Active"/>
    <n v="50000"/>
    <n v="580000"/>
    <n v="550000"/>
    <m/>
    <m/>
    <n v="182500"/>
    <n v="50000"/>
    <n v="1093220.45"/>
    <m/>
    <n v="-582966.1"/>
    <m/>
    <n v="207100"/>
    <n v="2129854.35"/>
    <n v="201400"/>
    <n v="319200"/>
    <m/>
    <n v="532000"/>
    <n v="901000"/>
    <n v="0"/>
    <m/>
    <m/>
    <n v="873200"/>
    <n v="1087200"/>
    <n v="350000"/>
    <m/>
    <n v="4264000"/>
    <n v="0"/>
    <n v="217600"/>
    <n v="106400"/>
    <n v="324000"/>
    <n v="352240"/>
    <m/>
    <n v="6717854.3499999996"/>
    <x v="9"/>
    <e v="#DIV/0!"/>
    <m/>
    <e v="#DIV/0!"/>
    <x v="2"/>
    <e v="#DIV/0!"/>
    <m/>
    <n v="0"/>
    <n v="0"/>
  </r>
  <r>
    <s v="Hammad Hafeez"/>
    <s v="Hammad Noor"/>
    <x v="0"/>
    <x v="12"/>
    <n v="15002553"/>
    <s v="Immunoassay"/>
    <m/>
    <m/>
    <s v="ID00093734"/>
    <m/>
    <m/>
    <s v="25.11.2025"/>
    <m/>
    <m/>
    <x v="0"/>
    <x v="0"/>
    <s v="Quetta"/>
    <n v="3020001748"/>
    <x v="121"/>
    <m/>
    <m/>
    <m/>
    <m/>
    <m/>
    <m/>
    <n v="4910685"/>
    <n v="30"/>
    <n v="674745"/>
    <m/>
    <m/>
    <m/>
    <m/>
    <m/>
    <m/>
    <x v="0"/>
    <x v="0"/>
    <m/>
    <m/>
    <m/>
    <m/>
    <m/>
    <m/>
    <m/>
    <m/>
    <m/>
    <m/>
    <m/>
    <m/>
    <m/>
    <m/>
    <m/>
    <m/>
    <m/>
    <m/>
    <s v="on track"/>
    <s v="orders on hold - will be on track"/>
    <n v="1"/>
    <s v="Placed"/>
    <m/>
    <m/>
    <m/>
    <m/>
    <m/>
    <m/>
    <m/>
    <m/>
    <m/>
    <m/>
    <m/>
    <m/>
    <n v="0"/>
    <m/>
    <m/>
    <m/>
    <m/>
    <m/>
    <m/>
    <m/>
    <m/>
    <m/>
    <m/>
    <m/>
    <n v="1032747.5"/>
    <n v="1032747.5"/>
    <n v="205240"/>
    <n v="424978"/>
    <n v="79312.5"/>
    <n v="709530.5"/>
    <n v="435569.5"/>
    <m/>
    <n v="1742278"/>
    <x v="28"/>
    <n v="1742278"/>
    <m/>
    <n v="1067533"/>
    <x v="2"/>
    <n v="1067533"/>
    <m/>
    <n v="0"/>
    <n v="0"/>
  </r>
  <r>
    <s v="Hammad Hafeez"/>
    <s v="Hammad Noor"/>
    <x v="0"/>
    <x v="0"/>
    <n v="15002462"/>
    <s v="Immunoassay"/>
    <m/>
    <m/>
    <m/>
    <m/>
    <m/>
    <s v="25.11.2025"/>
    <m/>
    <m/>
    <x v="0"/>
    <x v="0"/>
    <s v="Quetta"/>
    <n v="3020001748"/>
    <x v="122"/>
    <m/>
    <m/>
    <m/>
    <m/>
    <m/>
    <m/>
    <n v="4910685"/>
    <n v="35"/>
    <n v="472477"/>
    <m/>
    <m/>
    <m/>
    <m/>
    <m/>
    <m/>
    <x v="0"/>
    <x v="0"/>
    <m/>
    <m/>
    <m/>
    <m/>
    <m/>
    <m/>
    <m/>
    <m/>
    <m/>
    <m/>
    <m/>
    <m/>
    <m/>
    <m/>
    <m/>
    <m/>
    <m/>
    <m/>
    <s v="on track"/>
    <s v="orders on hold - will be on track"/>
    <n v="1"/>
    <s v="Placed"/>
    <m/>
    <m/>
    <m/>
    <m/>
    <m/>
    <m/>
    <m/>
    <m/>
    <m/>
    <m/>
    <m/>
    <m/>
    <n v="0"/>
    <m/>
    <m/>
    <m/>
    <m/>
    <m/>
    <m/>
    <m/>
    <m/>
    <m/>
    <m/>
    <m/>
    <n v="1032747.5"/>
    <n v="1032747.5"/>
    <n v="205240"/>
    <n v="424978"/>
    <n v="79312.5"/>
    <n v="709530.5"/>
    <n v="435569.5"/>
    <m/>
    <n v="1742278"/>
    <x v="28"/>
    <n v="1742278"/>
    <m/>
    <n v="1269801"/>
    <x v="2"/>
    <n v="1269801"/>
    <m/>
    <n v="0"/>
    <n v="0"/>
  </r>
  <r>
    <s v="Abdul Moeed"/>
    <s v="Jahangir Jalil"/>
    <x v="4"/>
    <x v="26"/>
    <n v="15003000"/>
    <s v="Coagulation Analyzer"/>
    <m/>
    <m/>
    <m/>
    <m/>
    <m/>
    <s v="27.06.2025"/>
    <m/>
    <m/>
    <x v="1"/>
    <x v="1"/>
    <s v="Lahore"/>
    <m/>
    <x v="123"/>
    <m/>
    <m/>
    <m/>
    <m/>
    <m/>
    <m/>
    <n v="7823998"/>
    <n v="34"/>
    <n v="500398"/>
    <m/>
    <m/>
    <m/>
    <m/>
    <m/>
    <m/>
    <x v="0"/>
    <x v="0"/>
    <m/>
    <m/>
    <m/>
    <m/>
    <m/>
    <m/>
    <m/>
    <m/>
    <m/>
    <m/>
    <m/>
    <m/>
    <m/>
    <m/>
    <m/>
    <m/>
    <m/>
    <m/>
    <m/>
    <m/>
    <m/>
    <s v="Not Placed"/>
    <m/>
    <m/>
    <m/>
    <m/>
    <m/>
    <m/>
    <m/>
    <m/>
    <m/>
    <m/>
    <m/>
    <m/>
    <n v="0"/>
    <m/>
    <m/>
    <m/>
    <m/>
    <m/>
    <m/>
    <m/>
    <m/>
    <m/>
    <m/>
    <m/>
    <m/>
    <n v="0"/>
    <m/>
    <m/>
    <m/>
    <n v="0"/>
    <n v="0"/>
    <m/>
    <n v="0"/>
    <x v="9"/>
    <e v="#DIV/0!"/>
    <m/>
    <e v="#DIV/0!"/>
    <x v="2"/>
    <e v="#DIV/0!"/>
    <m/>
    <n v="0"/>
    <n v="0"/>
  </r>
  <r>
    <s v="Shagufta Anthony "/>
    <s v="Jahangir Jalil"/>
    <x v="2"/>
    <x v="13"/>
    <n v="15002760"/>
    <s v="Immunoassay"/>
    <n v="3002000121"/>
    <m/>
    <n v="30006374"/>
    <m/>
    <m/>
    <s v="04.07.2025"/>
    <m/>
    <m/>
    <x v="0"/>
    <x v="2"/>
    <s v="Peshawar"/>
    <n v="3020001086"/>
    <x v="124"/>
    <m/>
    <m/>
    <m/>
    <m/>
    <m/>
    <m/>
    <n v="14446400"/>
    <n v="28"/>
    <n v="855600"/>
    <m/>
    <m/>
    <m/>
    <m/>
    <m/>
    <m/>
    <x v="0"/>
    <x v="0"/>
    <m/>
    <m/>
    <m/>
    <m/>
    <m/>
    <m/>
    <m/>
    <m/>
    <m/>
    <m/>
    <m/>
    <m/>
    <m/>
    <m/>
    <m/>
    <m/>
    <m/>
    <m/>
    <m/>
    <s v="due to stock shortages sales was behind track"/>
    <n v="1"/>
    <s v="Placed"/>
    <m/>
    <m/>
    <m/>
    <m/>
    <m/>
    <m/>
    <m/>
    <m/>
    <m/>
    <m/>
    <m/>
    <m/>
    <n v="0"/>
    <m/>
    <m/>
    <m/>
    <m/>
    <m/>
    <m/>
    <m/>
    <n v="443000"/>
    <m/>
    <m/>
    <m/>
    <m/>
    <n v="443000"/>
    <n v="556000"/>
    <m/>
    <m/>
    <n v="556000"/>
    <n v="556000"/>
    <m/>
    <n v="999000"/>
    <x v="3"/>
    <n v="111000"/>
    <n v="14446400"/>
    <n v="-744600"/>
    <x v="2"/>
    <n v="-82733.333333333328"/>
    <m/>
    <n v="0"/>
    <n v="0"/>
  </r>
  <r>
    <s v="Malik Aman"/>
    <s v="Jahangir Jalil"/>
    <x v="2"/>
    <x v="13"/>
    <n v="15002760"/>
    <s v="Immunoassay"/>
    <m/>
    <m/>
    <m/>
    <m/>
    <m/>
    <s v="12.08.2025"/>
    <m/>
    <m/>
    <x v="1"/>
    <x v="2"/>
    <s v="Timmergara"/>
    <m/>
    <x v="125"/>
    <m/>
    <m/>
    <m/>
    <m/>
    <m/>
    <m/>
    <n v="7635000"/>
    <n v="36"/>
    <n v="656506"/>
    <m/>
    <m/>
    <m/>
    <m/>
    <m/>
    <m/>
    <x v="0"/>
    <x v="0"/>
    <m/>
    <m/>
    <m/>
    <m/>
    <m/>
    <m/>
    <m/>
    <m/>
    <m/>
    <m/>
    <m/>
    <m/>
    <m/>
    <m/>
    <m/>
    <m/>
    <m/>
    <m/>
    <s v="Pull Back"/>
    <m/>
    <m/>
    <s v="Pulling back"/>
    <m/>
    <m/>
    <m/>
    <m/>
    <m/>
    <m/>
    <m/>
    <m/>
    <m/>
    <m/>
    <m/>
    <m/>
    <n v="0"/>
    <m/>
    <m/>
    <m/>
    <m/>
    <m/>
    <m/>
    <m/>
    <m/>
    <m/>
    <m/>
    <m/>
    <m/>
    <n v="0"/>
    <m/>
    <m/>
    <m/>
    <n v="0"/>
    <n v="0"/>
    <m/>
    <n v="0"/>
    <x v="9"/>
    <e v="#DIV/0!"/>
    <m/>
    <e v="#DIV/0!"/>
    <x v="2"/>
    <e v="#DIV/0!"/>
    <m/>
    <n v="0"/>
    <n v="0"/>
  </r>
  <r>
    <s v="Daniyal Khurshid"/>
    <s v="Jahangir Jalil"/>
    <x v="2"/>
    <x v="13"/>
    <n v="15002760"/>
    <s v="Immunoassay"/>
    <m/>
    <m/>
    <m/>
    <m/>
    <m/>
    <s v="26.08.2025"/>
    <m/>
    <m/>
    <x v="1"/>
    <x v="0"/>
    <s v="Karachi"/>
    <m/>
    <x v="126"/>
    <m/>
    <m/>
    <m/>
    <m/>
    <m/>
    <m/>
    <n v="8085000"/>
    <n v="36"/>
    <n v="598711"/>
    <m/>
    <m/>
    <m/>
    <m/>
    <m/>
    <m/>
    <x v="0"/>
    <x v="0"/>
    <m/>
    <m/>
    <m/>
    <m/>
    <m/>
    <m/>
    <m/>
    <m/>
    <m/>
    <m/>
    <m/>
    <m/>
    <m/>
    <m/>
    <m/>
    <m/>
    <m/>
    <m/>
    <m/>
    <m/>
    <m/>
    <s v="Not Placed"/>
    <m/>
    <m/>
    <m/>
    <m/>
    <m/>
    <m/>
    <m/>
    <m/>
    <m/>
    <m/>
    <m/>
    <m/>
    <n v="0"/>
    <m/>
    <m/>
    <m/>
    <m/>
    <m/>
    <m/>
    <m/>
    <m/>
    <m/>
    <m/>
    <m/>
    <m/>
    <n v="0"/>
    <m/>
    <m/>
    <m/>
    <n v="0"/>
    <n v="0"/>
    <m/>
    <n v="0"/>
    <x v="9"/>
    <e v="#DIV/0!"/>
    <m/>
    <e v="#DIV/0!"/>
    <x v="2"/>
    <e v="#DIV/0!"/>
    <m/>
    <n v="0"/>
    <n v="0"/>
  </r>
  <r>
    <s v="Imran Rana"/>
    <s v="Hammad Noor"/>
    <x v="3"/>
    <x v="39"/>
    <n v="15001967"/>
    <s v="Hematology "/>
    <s v="AR # 300424"/>
    <m/>
    <n v="128455"/>
    <m/>
    <m/>
    <m/>
    <m/>
    <m/>
    <x v="4"/>
    <x v="1"/>
    <s v="Sahiwal"/>
    <n v="3020000896"/>
    <x v="127"/>
    <m/>
    <m/>
    <m/>
    <m/>
    <m/>
    <m/>
    <n v="3382372"/>
    <n v="36"/>
    <n v="421334"/>
    <m/>
    <m/>
    <m/>
    <m/>
    <m/>
    <m/>
    <x v="0"/>
    <x v="0"/>
    <m/>
    <m/>
    <m/>
    <m/>
    <m/>
    <m/>
    <m/>
    <m/>
    <m/>
    <m/>
    <m/>
    <m/>
    <m/>
    <m/>
    <m/>
    <m/>
    <m/>
    <m/>
    <s v="on Track"/>
    <s v="on Track"/>
    <n v="1"/>
    <s v="Placed"/>
    <m/>
    <m/>
    <m/>
    <m/>
    <m/>
    <m/>
    <m/>
    <m/>
    <m/>
    <m/>
    <m/>
    <m/>
    <n v="0"/>
    <m/>
    <m/>
    <m/>
    <m/>
    <m/>
    <m/>
    <m/>
    <m/>
    <m/>
    <m/>
    <m/>
    <n v="1525424"/>
    <n v="1525424"/>
    <m/>
    <n v="3050848"/>
    <n v="0"/>
    <n v="3050848"/>
    <n v="1525424"/>
    <m/>
    <n v="4576272"/>
    <x v="9"/>
    <e v="#DIV/0!"/>
    <m/>
    <e v="#DIV/0!"/>
    <x v="20"/>
    <e v="#DIV/0!"/>
    <m/>
    <n v="0"/>
    <n v="0"/>
  </r>
  <r>
    <s v="Hammad Hafeez"/>
    <s v="Hammad Noor"/>
    <x v="3"/>
    <x v="40"/>
    <m/>
    <s v="Hematology"/>
    <m/>
    <m/>
    <m/>
    <m/>
    <m/>
    <s v="24.11.2025"/>
    <m/>
    <m/>
    <x v="0"/>
    <x v="0"/>
    <s v="Sehwan"/>
    <n v="3020000379"/>
    <x v="128"/>
    <m/>
    <m/>
    <m/>
    <m/>
    <m/>
    <m/>
    <n v="1960000"/>
    <n v="36"/>
    <n v="175449"/>
    <m/>
    <m/>
    <m/>
    <m/>
    <m/>
    <m/>
    <x v="0"/>
    <x v="0"/>
    <m/>
    <m/>
    <m/>
    <m/>
    <m/>
    <m/>
    <m/>
    <m/>
    <m/>
    <m/>
    <m/>
    <m/>
    <m/>
    <m/>
    <m/>
    <m/>
    <m/>
    <m/>
    <s v="New installation "/>
    <s v="On track"/>
    <m/>
    <s v="Placed"/>
    <m/>
    <m/>
    <m/>
    <m/>
    <m/>
    <m/>
    <m/>
    <m/>
    <m/>
    <m/>
    <m/>
    <m/>
    <n v="0"/>
    <m/>
    <m/>
    <m/>
    <m/>
    <m/>
    <m/>
    <m/>
    <m/>
    <m/>
    <m/>
    <m/>
    <m/>
    <n v="0"/>
    <m/>
    <m/>
    <n v="262500"/>
    <n v="262500"/>
    <n v="262500"/>
    <m/>
    <n v="262500"/>
    <x v="28"/>
    <n v="262500"/>
    <m/>
    <n v="87051"/>
    <x v="2"/>
    <n v="87051"/>
    <m/>
    <n v="0"/>
    <n v="0"/>
  </r>
  <r>
    <s v="Hammad Hafeez"/>
    <s v="Hammad Noor"/>
    <x v="1"/>
    <x v="36"/>
    <n v="15000003"/>
    <s v="Clinical Chemistry"/>
    <m/>
    <m/>
    <m/>
    <m/>
    <m/>
    <s v="27.08.2025"/>
    <m/>
    <m/>
    <x v="2"/>
    <x v="0"/>
    <s v="Sui Balochistan"/>
    <n v="3020001511"/>
    <x v="129"/>
    <m/>
    <m/>
    <m/>
    <m/>
    <m/>
    <m/>
    <n v="477000"/>
    <n v="2"/>
    <n v="327855"/>
    <m/>
    <m/>
    <m/>
    <m/>
    <m/>
    <m/>
    <x v="0"/>
    <x v="0"/>
    <m/>
    <m/>
    <m/>
    <m/>
    <m/>
    <m/>
    <m/>
    <m/>
    <m/>
    <m/>
    <m/>
    <m/>
    <m/>
    <m/>
    <m/>
    <m/>
    <m/>
    <m/>
    <s v="New machines"/>
    <s v="New machines"/>
    <n v="1"/>
    <s v="Placed"/>
    <m/>
    <m/>
    <m/>
    <m/>
    <m/>
    <m/>
    <m/>
    <m/>
    <m/>
    <m/>
    <m/>
    <m/>
    <n v="0"/>
    <m/>
    <m/>
    <m/>
    <m/>
    <m/>
    <m/>
    <m/>
    <m/>
    <m/>
    <m/>
    <m/>
    <m/>
    <n v="0"/>
    <m/>
    <m/>
    <n v="350305.66666666669"/>
    <n v="350305.66666666669"/>
    <n v="350305.66666666669"/>
    <m/>
    <n v="350305.66666666669"/>
    <x v="28"/>
    <n v="350305.66666666669"/>
    <n v="477000"/>
    <n v="22450.666666666686"/>
    <x v="2"/>
    <n v="22450.666666666686"/>
    <m/>
    <n v="0"/>
    <n v="0"/>
  </r>
  <r>
    <s v="Imrna Fazal"/>
    <s v="Hammad Noor"/>
    <x v="3"/>
    <x v="5"/>
    <n v="15001967"/>
    <s v="Hematology"/>
    <m/>
    <m/>
    <m/>
    <s v="24.11.2025"/>
    <m/>
    <s v="24.11.2025"/>
    <m/>
    <m/>
    <x v="4"/>
    <x v="1"/>
    <s v="Faisalabad Medical University"/>
    <n v="3020000393"/>
    <x v="30"/>
    <m/>
    <m/>
    <m/>
    <m/>
    <m/>
    <m/>
    <n v="1186483.33333333"/>
    <n v="25"/>
    <n v="108475"/>
    <m/>
    <m/>
    <m/>
    <m/>
    <m/>
    <m/>
    <x v="0"/>
    <x v="0"/>
    <m/>
    <m/>
    <m/>
    <m/>
    <m/>
    <m/>
    <m/>
    <m/>
    <m/>
    <m/>
    <m/>
    <m/>
    <m/>
    <m/>
    <m/>
    <m/>
    <m/>
    <m/>
    <s v="on Track"/>
    <s v="on Track"/>
    <m/>
    <s v="Placed"/>
    <m/>
    <m/>
    <m/>
    <m/>
    <m/>
    <m/>
    <m/>
    <m/>
    <m/>
    <m/>
    <m/>
    <m/>
    <n v="0"/>
    <m/>
    <m/>
    <m/>
    <m/>
    <m/>
    <m/>
    <m/>
    <m/>
    <m/>
    <m/>
    <m/>
    <m/>
    <n v="0"/>
    <n v="0"/>
    <n v="700022.02"/>
    <n v="208452.33333333334"/>
    <n v="908474.35333333339"/>
    <n v="302824.78444444446"/>
    <m/>
    <n v="908474.33333333337"/>
    <x v="8"/>
    <n v="454237.16666666669"/>
    <m/>
    <n v="345762.16666666669"/>
    <x v="2"/>
    <n v="172881.08333333334"/>
    <m/>
    <n v="0"/>
    <n v="0"/>
  </r>
  <r>
    <s v="Imrna Fazal"/>
    <s v="Hammad Noor"/>
    <x v="3"/>
    <x v="5"/>
    <n v="15001967"/>
    <s v="Hematology"/>
    <m/>
    <m/>
    <m/>
    <s v="24.11.2025"/>
    <m/>
    <s v="24.11.2025"/>
    <m/>
    <m/>
    <x v="4"/>
    <x v="1"/>
    <s v="Faisalabad Medical University"/>
    <n v="3020000393"/>
    <x v="30"/>
    <m/>
    <m/>
    <m/>
    <m/>
    <m/>
    <m/>
    <n v="1186483.33333333"/>
    <n v="25"/>
    <n v="108475"/>
    <m/>
    <m/>
    <m/>
    <m/>
    <m/>
    <m/>
    <x v="0"/>
    <x v="0"/>
    <m/>
    <m/>
    <m/>
    <m/>
    <m/>
    <m/>
    <m/>
    <m/>
    <m/>
    <m/>
    <m/>
    <m/>
    <m/>
    <m/>
    <m/>
    <m/>
    <m/>
    <m/>
    <s v="on Track"/>
    <s v="on Track"/>
    <m/>
    <s v="Placed"/>
    <m/>
    <m/>
    <m/>
    <m/>
    <m/>
    <m/>
    <m/>
    <m/>
    <m/>
    <m/>
    <m/>
    <m/>
    <n v="0"/>
    <m/>
    <m/>
    <m/>
    <m/>
    <m/>
    <m/>
    <m/>
    <m/>
    <m/>
    <m/>
    <m/>
    <m/>
    <n v="0"/>
    <n v="0"/>
    <n v="700022.02"/>
    <n v="208452.33333333334"/>
    <n v="908474.35333333339"/>
    <n v="302824.78444444446"/>
    <m/>
    <n v="908474.33333333337"/>
    <x v="8"/>
    <n v="454237.16666666669"/>
    <m/>
    <n v="345762.16666666669"/>
    <x v="2"/>
    <n v="172881.08333333334"/>
    <m/>
    <n v="0"/>
    <n v="0"/>
  </r>
  <r>
    <m/>
    <s v="Hammad Noor"/>
    <x v="0"/>
    <x v="12"/>
    <n v="15002553"/>
    <s v="Immunoassay"/>
    <m/>
    <m/>
    <m/>
    <m/>
    <m/>
    <s v="26.12.2025"/>
    <m/>
    <m/>
    <x v="0"/>
    <x v="2"/>
    <s v="Rawalpindi"/>
    <n v="3020000685"/>
    <x v="130"/>
    <m/>
    <m/>
    <m/>
    <m/>
    <m/>
    <m/>
    <n v="3047232"/>
    <n v="36"/>
    <n v="455552"/>
    <m/>
    <m/>
    <m/>
    <m/>
    <m/>
    <m/>
    <x v="0"/>
    <x v="0"/>
    <m/>
    <m/>
    <m/>
    <m/>
    <m/>
    <m/>
    <m/>
    <m/>
    <m/>
    <m/>
    <m/>
    <m/>
    <m/>
    <m/>
    <m/>
    <m/>
    <m/>
    <m/>
    <s v="Behind track due to overdue"/>
    <s v="due to overdue, invoice will be done in April, 15th April Cheque received"/>
    <m/>
    <s v="Placed"/>
    <m/>
    <m/>
    <m/>
    <m/>
    <m/>
    <m/>
    <m/>
    <m/>
    <m/>
    <m/>
    <m/>
    <m/>
    <n v="0"/>
    <m/>
    <m/>
    <m/>
    <m/>
    <m/>
    <m/>
    <n v="402610"/>
    <n v="140000"/>
    <n v="109500"/>
    <m/>
    <n v="416420"/>
    <m/>
    <n v="1068530"/>
    <m/>
    <m/>
    <m/>
    <n v="0"/>
    <n v="416420"/>
    <m/>
    <n v="1068530"/>
    <x v="3"/>
    <n v="118725.55555555556"/>
    <m/>
    <n v="-336826.44444444444"/>
    <x v="2"/>
    <n v="-37425.160493827163"/>
    <m/>
    <n v="0"/>
    <n v="0"/>
  </r>
  <r>
    <m/>
    <s v="Jahangir Jalil"/>
    <x v="2"/>
    <x v="13"/>
    <m/>
    <s v="Immunoassay"/>
    <m/>
    <m/>
    <m/>
    <m/>
    <m/>
    <s v="14.10.2025"/>
    <m/>
    <m/>
    <x v="4"/>
    <x v="1"/>
    <s v="Multan"/>
    <n v="3020000633"/>
    <x v="37"/>
    <m/>
    <m/>
    <m/>
    <m/>
    <m/>
    <m/>
    <n v="12513969"/>
    <n v="19"/>
    <n v="1442723.5"/>
    <m/>
    <m/>
    <m/>
    <m/>
    <m/>
    <m/>
    <x v="0"/>
    <x v="0"/>
    <m/>
    <m/>
    <m/>
    <m/>
    <m/>
    <m/>
    <m/>
    <m/>
    <m/>
    <m/>
    <m/>
    <m/>
    <m/>
    <m/>
    <m/>
    <m/>
    <m/>
    <m/>
    <s v="Behind Track"/>
    <s v="Behind Track"/>
    <m/>
    <m/>
    <m/>
    <m/>
    <m/>
    <m/>
    <m/>
    <m/>
    <m/>
    <m/>
    <m/>
    <m/>
    <m/>
    <m/>
    <n v="0"/>
    <m/>
    <m/>
    <n v="168750.52499999999"/>
    <n v="0"/>
    <n v="116339.01000000001"/>
    <n v="557370"/>
    <n v="687105.67999999993"/>
    <n v="0"/>
    <n v="6160"/>
    <n v="0"/>
    <n v="0"/>
    <n v="924903"/>
    <n v="2460628.2149999999"/>
    <n v="0"/>
    <n v="770631"/>
    <m/>
    <n v="770631"/>
    <n v="339106.8"/>
    <m/>
    <n v="3231259.2149999999"/>
    <x v="9"/>
    <e v="#DIV/0!"/>
    <m/>
    <e v="#DIV/0!"/>
    <x v="2"/>
    <e v="#DIV/0!"/>
    <m/>
    <n v="0"/>
    <n v="0"/>
  </r>
  <r>
    <m/>
    <s v="Jahangir Jalil"/>
    <x v="2"/>
    <x v="13"/>
    <m/>
    <s v="Immunoassay"/>
    <m/>
    <m/>
    <m/>
    <m/>
    <m/>
    <s v="14.10.2025"/>
    <m/>
    <m/>
    <x v="4"/>
    <x v="1"/>
    <s v="Multan"/>
    <n v="3020000633"/>
    <x v="37"/>
    <m/>
    <m/>
    <m/>
    <m/>
    <m/>
    <m/>
    <n v="12513969"/>
    <n v="19"/>
    <n v="1442723.5"/>
    <m/>
    <m/>
    <m/>
    <m/>
    <m/>
    <m/>
    <x v="0"/>
    <x v="0"/>
    <m/>
    <m/>
    <m/>
    <m/>
    <m/>
    <m/>
    <m/>
    <m/>
    <m/>
    <m/>
    <m/>
    <m/>
    <m/>
    <m/>
    <m/>
    <m/>
    <m/>
    <m/>
    <s v="Behind Track"/>
    <s v="Behind Track"/>
    <m/>
    <m/>
    <m/>
    <m/>
    <m/>
    <m/>
    <m/>
    <m/>
    <m/>
    <m/>
    <m/>
    <m/>
    <m/>
    <m/>
    <n v="0"/>
    <m/>
    <m/>
    <n v="168750.52499999999"/>
    <n v="0"/>
    <n v="116339.01000000001"/>
    <n v="557370"/>
    <n v="687105.67999999993"/>
    <n v="0"/>
    <n v="6160"/>
    <n v="0"/>
    <n v="0"/>
    <n v="924903"/>
    <n v="2460628.2149999999"/>
    <n v="0"/>
    <n v="770631"/>
    <m/>
    <n v="770631"/>
    <n v="339106.8"/>
    <m/>
    <n v="3231259.2149999999"/>
    <x v="9"/>
    <e v="#DIV/0!"/>
    <m/>
    <e v="#DIV/0!"/>
    <x v="2"/>
    <e v="#DIV/0!"/>
    <m/>
    <n v="0"/>
    <n v="0"/>
  </r>
  <r>
    <s v="Imran Rana"/>
    <s v="Hammad Noor"/>
    <x v="5"/>
    <x v="7"/>
    <n v="15003243"/>
    <s v="Hematology "/>
    <m/>
    <m/>
    <s v="DM11052437003"/>
    <m/>
    <m/>
    <s v="26.12.2025"/>
    <m/>
    <m/>
    <x v="4"/>
    <x v="2"/>
    <s v="Peshawar"/>
    <n v="3020001115"/>
    <x v="131"/>
    <m/>
    <m/>
    <m/>
    <m/>
    <m/>
    <m/>
    <n v="21992876"/>
    <n v="35"/>
    <n v="1808443"/>
    <m/>
    <m/>
    <m/>
    <m/>
    <m/>
    <m/>
    <x v="0"/>
    <x v="0"/>
    <m/>
    <m/>
    <m/>
    <m/>
    <m/>
    <m/>
    <m/>
    <m/>
    <m/>
    <m/>
    <m/>
    <m/>
    <m/>
    <m/>
    <m/>
    <m/>
    <m/>
    <m/>
    <s v="Behind Track due to supply issue"/>
    <s v="Behind Track due to supply issue"/>
    <m/>
    <s v="Placed"/>
    <m/>
    <m/>
    <m/>
    <m/>
    <m/>
    <m/>
    <m/>
    <m/>
    <m/>
    <m/>
    <m/>
    <m/>
    <n v="0"/>
    <m/>
    <m/>
    <m/>
    <m/>
    <m/>
    <m/>
    <m/>
    <m/>
    <n v="143500"/>
    <m/>
    <m/>
    <n v="41600"/>
    <n v="185100"/>
    <n v="0"/>
    <n v="0"/>
    <m/>
    <n v="0"/>
    <n v="13866.666666666666"/>
    <m/>
    <n v="185100"/>
    <x v="33"/>
    <n v="30850"/>
    <m/>
    <n v="-1777593"/>
    <x v="2"/>
    <n v="-296265.5"/>
    <m/>
    <n v="0"/>
    <n v="0"/>
  </r>
  <r>
    <s v="Hammad Hafeez"/>
    <s v="Hammad Noor"/>
    <x v="0"/>
    <x v="12"/>
    <m/>
    <s v="Immunoassay"/>
    <m/>
    <m/>
    <m/>
    <m/>
    <m/>
    <s v="25.11.2025"/>
    <m/>
    <m/>
    <x v="0"/>
    <x v="0"/>
    <s v="Quetta"/>
    <n v="3020001748"/>
    <x v="132"/>
    <m/>
    <m/>
    <m/>
    <m/>
    <m/>
    <m/>
    <n v="3276255"/>
    <n v="36"/>
    <n v="386629"/>
    <m/>
    <m/>
    <m/>
    <m/>
    <m/>
    <m/>
    <x v="0"/>
    <x v="0"/>
    <m/>
    <m/>
    <m/>
    <m/>
    <m/>
    <m/>
    <m/>
    <m/>
    <m/>
    <m/>
    <m/>
    <m/>
    <m/>
    <m/>
    <m/>
    <m/>
    <m/>
    <m/>
    <s v="on track"/>
    <s v="orders on hold - will be on track"/>
    <m/>
    <s v="Placed"/>
    <m/>
    <m/>
    <m/>
    <m/>
    <n v="1710000"/>
    <m/>
    <m/>
    <m/>
    <m/>
    <m/>
    <m/>
    <m/>
    <n v="1710000"/>
    <m/>
    <m/>
    <m/>
    <m/>
    <m/>
    <m/>
    <m/>
    <m/>
    <m/>
    <m/>
    <m/>
    <n v="1032747.5"/>
    <n v="1032747.5"/>
    <n v="205240"/>
    <n v="424978"/>
    <n v="79312.5"/>
    <n v="709530.5"/>
    <n v="435569.5"/>
    <m/>
    <n v="3452278"/>
    <x v="28"/>
    <n v="3452278"/>
    <m/>
    <n v="3065649"/>
    <x v="2"/>
    <n v="3065649"/>
    <m/>
    <n v="0"/>
    <n v="0"/>
  </r>
  <r>
    <m/>
    <s v="Hammad Noor"/>
    <x v="0"/>
    <x v="12"/>
    <m/>
    <s v="Immunoassay"/>
    <m/>
    <m/>
    <m/>
    <m/>
    <m/>
    <s v="25.11.2025"/>
    <m/>
    <m/>
    <x v="0"/>
    <x v="2"/>
    <s v="Rawalpindi"/>
    <n v="3020000176"/>
    <x v="133"/>
    <m/>
    <m/>
    <m/>
    <m/>
    <m/>
    <m/>
    <n v="2998200"/>
    <n v="36"/>
    <n v="320078"/>
    <m/>
    <m/>
    <m/>
    <m/>
    <m/>
    <m/>
    <x v="0"/>
    <x v="0"/>
    <m/>
    <m/>
    <m/>
    <m/>
    <m/>
    <m/>
    <m/>
    <m/>
    <m/>
    <m/>
    <m/>
    <m/>
    <m/>
    <m/>
    <m/>
    <m/>
    <m/>
    <m/>
    <s v="On track"/>
    <s v="on track"/>
    <m/>
    <s v="Placed"/>
    <m/>
    <m/>
    <m/>
    <m/>
    <m/>
    <m/>
    <m/>
    <m/>
    <m/>
    <m/>
    <m/>
    <m/>
    <n v="0"/>
    <m/>
    <m/>
    <m/>
    <m/>
    <m/>
    <m/>
    <m/>
    <m/>
    <m/>
    <m/>
    <m/>
    <m/>
    <n v="0"/>
    <n v="229400"/>
    <n v="236500"/>
    <n v="995700"/>
    <n v="1461600"/>
    <n v="487200"/>
    <m/>
    <n v="1461600"/>
    <x v="4"/>
    <n v="487200"/>
    <m/>
    <n v="167122"/>
    <x v="2"/>
    <n v="55707.333333333336"/>
    <m/>
    <n v="0"/>
    <n v="0"/>
  </r>
  <r>
    <m/>
    <m/>
    <x v="0"/>
    <x v="0"/>
    <m/>
    <m/>
    <n v="3002000072"/>
    <s v="Machine transfer from Suhail"/>
    <s v="iA00093422"/>
    <m/>
    <m/>
    <m/>
    <m/>
    <m/>
    <x v="2"/>
    <x v="3"/>
    <m/>
    <n v="3020000998"/>
    <x v="134"/>
    <m/>
    <m/>
    <m/>
    <m/>
    <m/>
    <m/>
    <m/>
    <m/>
    <m/>
    <m/>
    <m/>
    <m/>
    <m/>
    <m/>
    <m/>
    <x v="0"/>
    <x v="0"/>
    <m/>
    <m/>
    <m/>
    <m/>
    <m/>
    <m/>
    <m/>
    <m/>
    <m/>
    <m/>
    <m/>
    <m/>
    <m/>
    <m/>
    <m/>
    <m/>
    <m/>
    <m/>
    <m/>
    <s v="on Track"/>
    <m/>
    <m/>
    <n v="0"/>
    <m/>
    <m/>
    <m/>
    <m/>
    <m/>
    <m/>
    <m/>
    <m/>
    <m/>
    <m/>
    <m/>
    <m/>
    <m/>
    <m/>
    <m/>
    <m/>
    <m/>
    <m/>
    <m/>
    <m/>
    <m/>
    <m/>
    <m/>
    <m/>
    <m/>
    <m/>
    <m/>
    <n v="66700"/>
    <m/>
    <n v="66700"/>
    <m/>
    <m/>
    <x v="9"/>
    <m/>
    <m/>
    <m/>
    <x v="2"/>
    <m/>
    <m/>
    <m/>
    <m/>
  </r>
  <r>
    <s v="Imran Rana"/>
    <s v="Hammad Noor"/>
    <x v="3"/>
    <x v="5"/>
    <n v="15001967"/>
    <s v="Hematology "/>
    <n v="3002000120"/>
    <m/>
    <n v="126055"/>
    <m/>
    <m/>
    <s v="17.07.2025"/>
    <m/>
    <s v="2 machines"/>
    <x v="0"/>
    <x v="1"/>
    <s v="Lahore"/>
    <n v="3020000206"/>
    <x v="17"/>
    <m/>
    <s v="294, Block H-3, M.A Johar Town, Lahore"/>
    <s v="042-35313166, 0300-6458181"/>
    <s v="manager@mughallabs.com"/>
    <s v="1293625-1"/>
    <s v="1293625-1"/>
    <n v="1191010"/>
    <n v="29"/>
    <n v="92028.5"/>
    <m/>
    <m/>
    <m/>
    <m/>
    <m/>
    <m/>
    <x v="0"/>
    <x v="0"/>
    <m/>
    <m/>
    <m/>
    <m/>
    <m/>
    <m/>
    <m/>
    <m/>
    <m/>
    <m/>
    <m/>
    <m/>
    <m/>
    <m/>
    <m/>
    <m/>
    <m/>
    <m/>
    <s v="on Track"/>
    <s v="on Track - Sales Rafay"/>
    <n v="1"/>
    <s v="Placed"/>
    <m/>
    <m/>
    <m/>
    <m/>
    <m/>
    <m/>
    <m/>
    <m/>
    <m/>
    <m/>
    <m/>
    <m/>
    <n v="0"/>
    <m/>
    <m/>
    <m/>
    <m/>
    <m/>
    <m/>
    <m/>
    <n v="114000"/>
    <n v="190000"/>
    <m/>
    <m/>
    <n v="72000"/>
    <n v="376000"/>
    <n v="0"/>
    <n v="532000"/>
    <n v="234000"/>
    <n v="766000"/>
    <n v="209500"/>
    <m/>
    <n v="1142000"/>
    <x v="10"/>
    <n v="142750"/>
    <m/>
    <n v="50721.5"/>
    <x v="2"/>
    <n v="6340.1875"/>
    <m/>
    <n v="0"/>
    <n v="0"/>
  </r>
  <r>
    <m/>
    <s v="Hammad Noor"/>
    <x v="0"/>
    <x v="41"/>
    <m/>
    <s v="Immunoassay"/>
    <m/>
    <m/>
    <m/>
    <m/>
    <m/>
    <s v="13.01.2026"/>
    <m/>
    <m/>
    <x v="0"/>
    <x v="0"/>
    <s v="Karachi"/>
    <n v="3020000664"/>
    <x v="135"/>
    <m/>
    <m/>
    <m/>
    <m/>
    <m/>
    <m/>
    <n v="5490000"/>
    <n v="36"/>
    <n v="413290"/>
    <m/>
    <m/>
    <m/>
    <m/>
    <m/>
    <m/>
    <x v="0"/>
    <x v="0"/>
    <m/>
    <m/>
    <m/>
    <m/>
    <m/>
    <m/>
    <m/>
    <m/>
    <m/>
    <m/>
    <m/>
    <m/>
    <m/>
    <m/>
    <m/>
    <m/>
    <m/>
    <m/>
    <s v="behind track need followup"/>
    <s v="behind track need followup Fasi"/>
    <m/>
    <s v="Placed"/>
    <m/>
    <m/>
    <m/>
    <m/>
    <m/>
    <m/>
    <m/>
    <m/>
    <m/>
    <m/>
    <m/>
    <m/>
    <n v="0"/>
    <m/>
    <m/>
    <m/>
    <m/>
    <m/>
    <m/>
    <m/>
    <m/>
    <m/>
    <m/>
    <m/>
    <m/>
    <n v="0"/>
    <n v="0"/>
    <n v="377100"/>
    <n v="296600"/>
    <n v="673700"/>
    <n v="224566.66666666666"/>
    <m/>
    <n v="673700"/>
    <x v="9"/>
    <e v="#DIV/0!"/>
    <m/>
    <e v="#DIV/0!"/>
    <x v="2"/>
    <e v="#DIV/0!"/>
    <m/>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A11:E17" firstHeaderRow="0" firstDataRow="1" firstDataCol="1" rowPageCount="1" colPageCount="1"/>
  <pivotFields count="57">
    <pivotField showAll="0"/>
    <pivotField axis="axisRow" showAll="0" sortType="descending">
      <items count="7">
        <item x="4"/>
        <item x="3"/>
        <item x="0"/>
        <item x="2"/>
        <item x="5"/>
        <item x="1"/>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x="0"/>
        <item h="1" x="2"/>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pivotField showAll="0"/>
    <pivotField dataField="1" numFmtId="167" showAll="0"/>
    <pivotField numFmtId="9" showAll="0"/>
  </pivotFields>
  <rowFields count="1">
    <field x="1"/>
  </rowFields>
  <rowItems count="6">
    <i>
      <x v="4"/>
    </i>
    <i>
      <x v="1"/>
    </i>
    <i>
      <x v="5"/>
    </i>
    <i>
      <x v="2"/>
    </i>
    <i>
      <x/>
    </i>
    <i t="grand">
      <x/>
    </i>
  </rowItems>
  <colFields count="1">
    <field x="-2"/>
  </colFields>
  <colItems count="4">
    <i>
      <x/>
    </i>
    <i i="1">
      <x v="1"/>
    </i>
    <i i="2">
      <x v="2"/>
    </i>
    <i i="3">
      <x v="3"/>
    </i>
  </colItems>
  <pageFields count="1">
    <pageField fld="13" hier="-1"/>
  </pageFields>
  <dataFields count="4">
    <dataField name="Number of Machines" fld="2" subtotal="count" baseField="0" baseItem="0"/>
    <dataField name="Investment" fld="24" baseField="3" baseItem="0" numFmtId="167"/>
    <dataField name="Total Reagent Sales till date Actual  " fld="47" baseField="0" baseItem="0" numFmtId="167"/>
    <dataField name="Margin on Reagent sale " fld="55" baseField="0" baseItem="0" numFmtId="167"/>
  </dataFields>
  <formats count="10">
    <format dxfId="666">
      <pivotArea outline="0" collapsedLevelsAreSubtotals="1" fieldPosition="0">
        <references count="1">
          <reference field="4294967294" count="2" selected="0">
            <x v="1"/>
            <x v="2"/>
          </reference>
        </references>
      </pivotArea>
    </format>
    <format dxfId="665">
      <pivotArea field="1" type="button" dataOnly="0" labelOnly="1" outline="0" axis="axisRow" fieldPosition="0"/>
    </format>
    <format dxfId="664">
      <pivotArea dataOnly="0" labelOnly="1" outline="0" fieldPosition="0">
        <references count="1">
          <reference field="4294967294" count="3">
            <x v="0"/>
            <x v="1"/>
            <x v="2"/>
          </reference>
        </references>
      </pivotArea>
    </format>
    <format dxfId="663">
      <pivotArea field="1" type="button" dataOnly="0" labelOnly="1" outline="0" axis="axisRow" fieldPosition="0"/>
    </format>
    <format dxfId="662">
      <pivotArea dataOnly="0" labelOnly="1" outline="0" fieldPosition="0">
        <references count="1">
          <reference field="4294967294" count="3">
            <x v="0"/>
            <x v="1"/>
            <x v="2"/>
          </reference>
        </references>
      </pivotArea>
    </format>
    <format dxfId="661">
      <pivotArea field="1" type="button" dataOnly="0" labelOnly="1" outline="0" axis="axisRow" fieldPosition="0"/>
    </format>
    <format dxfId="660">
      <pivotArea dataOnly="0" labelOnly="1" outline="0" fieldPosition="0">
        <references count="1">
          <reference field="4294967294" count="3">
            <x v="0"/>
            <x v="1"/>
            <x v="2"/>
          </reference>
        </references>
      </pivotArea>
    </format>
    <format dxfId="659">
      <pivotArea dataOnly="0" labelOnly="1" outline="0" fieldPosition="0">
        <references count="1">
          <reference field="4294967294" count="1">
            <x v="3"/>
          </reference>
        </references>
      </pivotArea>
    </format>
    <format dxfId="658">
      <pivotArea outline="0" collapsedLevelsAreSubtotals="1" fieldPosition="0">
        <references count="1">
          <reference field="4294967294" count="1" selected="0">
            <x v="3"/>
          </reference>
        </references>
      </pivotArea>
    </format>
    <format dxfId="65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I3:M7" firstHeaderRow="0" firstDataRow="1" firstDataCol="1" rowPageCount="1" colPageCount="1"/>
  <pivotFields count="5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x="0"/>
        <item h="1" x="2"/>
        <item h="1" x="1"/>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7" showAll="0"/>
    <pivotField showAll="0"/>
    <pivotField numFmtId="167" showAll="0"/>
    <pivotField numFmtId="9" showAll="0"/>
  </pivotFields>
  <rowFields count="1">
    <field x="14"/>
  </rowFields>
  <rowItems count="4">
    <i>
      <x/>
    </i>
    <i>
      <x v="1"/>
    </i>
    <i>
      <x v="2"/>
    </i>
    <i t="grand">
      <x/>
    </i>
  </rowItems>
  <colFields count="1">
    <field x="-2"/>
  </colFields>
  <colItems count="4">
    <i>
      <x/>
    </i>
    <i i="1">
      <x v="1"/>
    </i>
    <i i="2">
      <x v="2"/>
    </i>
    <i i="3">
      <x v="3"/>
    </i>
  </colItems>
  <pageFields count="1">
    <pageField fld="13" hier="-1"/>
  </pageFields>
  <dataFields count="4">
    <dataField name="Count of Machine Name" fld="2" subtotal="count" baseField="0" baseItem="0"/>
    <dataField name="Investment" fld="24" baseField="3" baseItem="0" numFmtId="167"/>
    <dataField name="Commitment reagent sales Per month" fld="26" baseField="0" baseItem="0" numFmtId="167"/>
    <dataField name="Avg reagent Sales per month" fld="49" baseField="12" baseItem="0" numFmtId="167"/>
  </dataFields>
  <formats count="17">
    <format dxfId="683">
      <pivotArea outline="0" collapsedLevelsAreSubtotals="1" fieldPosition="0">
        <references count="1">
          <reference field="4294967294" count="1" selected="0">
            <x v="1"/>
          </reference>
        </references>
      </pivotArea>
    </format>
    <format dxfId="682">
      <pivotArea field="14" type="button" dataOnly="0" labelOnly="1" outline="0" axis="axisRow" fieldPosition="0"/>
    </format>
    <format dxfId="681">
      <pivotArea dataOnly="0" labelOnly="1" outline="0" fieldPosition="0">
        <references count="1">
          <reference field="4294967294" count="2">
            <x v="0"/>
            <x v="1"/>
          </reference>
        </references>
      </pivotArea>
    </format>
    <format dxfId="680">
      <pivotArea field="14" type="button" dataOnly="0" labelOnly="1" outline="0" axis="axisRow" fieldPosition="0"/>
    </format>
    <format dxfId="679">
      <pivotArea dataOnly="0" labelOnly="1" outline="0" fieldPosition="0">
        <references count="1">
          <reference field="4294967294" count="2">
            <x v="0"/>
            <x v="1"/>
          </reference>
        </references>
      </pivotArea>
    </format>
    <format dxfId="678">
      <pivotArea field="14" type="button" dataOnly="0" labelOnly="1" outline="0" axis="axisRow" fieldPosition="0"/>
    </format>
    <format dxfId="677">
      <pivotArea dataOnly="0" labelOnly="1" outline="0" fieldPosition="0">
        <references count="1">
          <reference field="4294967294" count="2">
            <x v="0"/>
            <x v="1"/>
          </reference>
        </references>
      </pivotArea>
    </format>
    <format dxfId="676">
      <pivotArea outline="0" collapsedLevelsAreSubtotals="1" fieldPosition="0">
        <references count="1">
          <reference field="4294967294" count="1" selected="0">
            <x v="2"/>
          </reference>
        </references>
      </pivotArea>
    </format>
    <format dxfId="675">
      <pivotArea dataOnly="0" labelOnly="1" outline="0" fieldPosition="0">
        <references count="1">
          <reference field="4294967294" count="1">
            <x v="2"/>
          </reference>
        </references>
      </pivotArea>
    </format>
    <format dxfId="674">
      <pivotArea dataOnly="0" labelOnly="1" outline="0" fieldPosition="0">
        <references count="1">
          <reference field="4294967294" count="1">
            <x v="2"/>
          </reference>
        </references>
      </pivotArea>
    </format>
    <format dxfId="673">
      <pivotArea dataOnly="0" labelOnly="1" outline="0" fieldPosition="0">
        <references count="1">
          <reference field="4294967294" count="1">
            <x v="2"/>
          </reference>
        </references>
      </pivotArea>
    </format>
    <format dxfId="672">
      <pivotArea dataOnly="0" labelOnly="1" outline="0" fieldPosition="0">
        <references count="1">
          <reference field="4294967294" count="1">
            <x v="2"/>
          </reference>
        </references>
      </pivotArea>
    </format>
    <format dxfId="671">
      <pivotArea dataOnly="0" labelOnly="1" outline="0" fieldPosition="0">
        <references count="1">
          <reference field="4294967294" count="1">
            <x v="3"/>
          </reference>
        </references>
      </pivotArea>
    </format>
    <format dxfId="670">
      <pivotArea dataOnly="0" labelOnly="1" outline="0" fieldPosition="0">
        <references count="1">
          <reference field="4294967294" count="1">
            <x v="3"/>
          </reference>
        </references>
      </pivotArea>
    </format>
    <format dxfId="669">
      <pivotArea dataOnly="0" labelOnly="1" outline="0" fieldPosition="0">
        <references count="1">
          <reference field="4294967294" count="1">
            <x v="3"/>
          </reference>
        </references>
      </pivotArea>
    </format>
    <format dxfId="668">
      <pivotArea outline="0" collapsedLevelsAreSubtotals="1" fieldPosition="0">
        <references count="1">
          <reference field="4294967294" count="1" selected="0">
            <x v="3"/>
          </reference>
        </references>
      </pivotArea>
    </format>
    <format dxfId="66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pplier Name">
  <location ref="I11:M17" firstHeaderRow="0" firstDataRow="1" firstDataCol="1" rowPageCount="1" colPageCount="1"/>
  <pivotFields count="57">
    <pivotField showAll="0"/>
    <pivotField axis="axisRow" showAll="0">
      <items count="7">
        <item x="4"/>
        <item x="3"/>
        <item x="0"/>
        <item x="2"/>
        <item x="5"/>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x="0"/>
        <item h="1" x="2"/>
        <item h="1" x="1"/>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7" showAll="0"/>
    <pivotField showAll="0"/>
    <pivotField numFmtId="167" showAll="0"/>
    <pivotField numFmtId="9" showAll="0"/>
  </pivotFields>
  <rowFields count="1">
    <field x="1"/>
  </rowFields>
  <rowItems count="6">
    <i>
      <x/>
    </i>
    <i>
      <x v="1"/>
    </i>
    <i>
      <x v="2"/>
    </i>
    <i>
      <x v="4"/>
    </i>
    <i>
      <x v="5"/>
    </i>
    <i t="grand">
      <x/>
    </i>
  </rowItems>
  <colFields count="1">
    <field x="-2"/>
  </colFields>
  <colItems count="4">
    <i>
      <x/>
    </i>
    <i i="1">
      <x v="1"/>
    </i>
    <i i="2">
      <x v="2"/>
    </i>
    <i i="3">
      <x v="3"/>
    </i>
  </colItems>
  <pageFields count="1">
    <pageField fld="13" hier="-1"/>
  </pageFields>
  <dataFields count="4">
    <dataField name="Count of Machine Name" fld="2" subtotal="count" baseField="0" baseItem="0"/>
    <dataField name="Investment" fld="24" baseField="3" baseItem="0" numFmtId="167"/>
    <dataField name="Commitment reagent sales Per month" fld="26" baseField="0" baseItem="0" numFmtId="167"/>
    <dataField name="Avg reagent Sales per month" fld="49" baseField="12" baseItem="0" numFmtId="167"/>
  </dataFields>
  <formats count="19">
    <format dxfId="702">
      <pivotArea outline="0" collapsedLevelsAreSubtotals="1" fieldPosition="0">
        <references count="1">
          <reference field="4294967294" count="1" selected="0">
            <x v="1"/>
          </reference>
        </references>
      </pivotArea>
    </format>
    <format dxfId="701">
      <pivotArea field="14" type="button" dataOnly="0" labelOnly="1" outline="0"/>
    </format>
    <format dxfId="700">
      <pivotArea dataOnly="0" labelOnly="1" outline="0" fieldPosition="0">
        <references count="1">
          <reference field="4294967294" count="2">
            <x v="0"/>
            <x v="1"/>
          </reference>
        </references>
      </pivotArea>
    </format>
    <format dxfId="699">
      <pivotArea field="14" type="button" dataOnly="0" labelOnly="1" outline="0"/>
    </format>
    <format dxfId="698">
      <pivotArea dataOnly="0" labelOnly="1" outline="0" fieldPosition="0">
        <references count="1">
          <reference field="4294967294" count="2">
            <x v="0"/>
            <x v="1"/>
          </reference>
        </references>
      </pivotArea>
    </format>
    <format dxfId="697">
      <pivotArea field="14" type="button" dataOnly="0" labelOnly="1" outline="0"/>
    </format>
    <format dxfId="696">
      <pivotArea dataOnly="0" labelOnly="1" outline="0" fieldPosition="0">
        <references count="1">
          <reference field="4294967294" count="2">
            <x v="0"/>
            <x v="1"/>
          </reference>
        </references>
      </pivotArea>
    </format>
    <format dxfId="695">
      <pivotArea outline="0" collapsedLevelsAreSubtotals="1" fieldPosition="0">
        <references count="1">
          <reference field="4294967294" count="1" selected="0">
            <x v="2"/>
          </reference>
        </references>
      </pivotArea>
    </format>
    <format dxfId="694">
      <pivotArea dataOnly="0" labelOnly="1" outline="0" fieldPosition="0">
        <references count="1">
          <reference field="4294967294" count="1">
            <x v="2"/>
          </reference>
        </references>
      </pivotArea>
    </format>
    <format dxfId="693">
      <pivotArea dataOnly="0" labelOnly="1" outline="0" fieldPosition="0">
        <references count="1">
          <reference field="4294967294" count="1">
            <x v="2"/>
          </reference>
        </references>
      </pivotArea>
    </format>
    <format dxfId="692">
      <pivotArea dataOnly="0" labelOnly="1" outline="0" fieldPosition="0">
        <references count="1">
          <reference field="4294967294" count="1">
            <x v="2"/>
          </reference>
        </references>
      </pivotArea>
    </format>
    <format dxfId="691">
      <pivotArea dataOnly="0" labelOnly="1" outline="0" fieldPosition="0">
        <references count="1">
          <reference field="4294967294" count="1">
            <x v="2"/>
          </reference>
        </references>
      </pivotArea>
    </format>
    <format dxfId="690">
      <pivotArea dataOnly="0" labelOnly="1" outline="0" fieldPosition="0">
        <references count="1">
          <reference field="4294967294" count="1">
            <x v="3"/>
          </reference>
        </references>
      </pivotArea>
    </format>
    <format dxfId="689">
      <pivotArea dataOnly="0" labelOnly="1" outline="0" fieldPosition="0">
        <references count="1">
          <reference field="4294967294" count="1">
            <x v="3"/>
          </reference>
        </references>
      </pivotArea>
    </format>
    <format dxfId="688">
      <pivotArea dataOnly="0" labelOnly="1" outline="0" fieldPosition="0">
        <references count="1">
          <reference field="4294967294" count="1">
            <x v="3"/>
          </reference>
        </references>
      </pivotArea>
    </format>
    <format dxfId="687">
      <pivotArea outline="0" collapsedLevelsAreSubtotals="1" fieldPosition="0">
        <references count="1">
          <reference field="4294967294" count="1" selected="0">
            <x v="3"/>
          </reference>
        </references>
      </pivotArea>
    </format>
    <format dxfId="686">
      <pivotArea dataOnly="0" labelOnly="1" outline="0" fieldPosition="0">
        <references count="1">
          <reference field="4294967294" count="1">
            <x v="3"/>
          </reference>
        </references>
      </pivotArea>
    </format>
    <format dxfId="685">
      <pivotArea field="1" type="button" dataOnly="0" labelOnly="1" outline="0" axis="axisRow" fieldPosition="0"/>
    </format>
    <format dxfId="684">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chines">
  <location ref="A22:E34" firstHeaderRow="0" firstDataRow="1" firstDataCol="1" rowPageCount="1" colPageCount="1"/>
  <pivotFields count="57">
    <pivotField showAll="0"/>
    <pivotField showAll="0"/>
    <pivotField axis="axisRow" dataField="1" showAll="0" sortType="descending">
      <items count="15">
        <item x="0"/>
        <item x="2"/>
        <item x="3"/>
        <item x="4"/>
        <item m="1" x="13"/>
        <item x="5"/>
        <item x="6"/>
        <item x="7"/>
        <item x="8"/>
        <item m="1" x="12"/>
        <item x="10"/>
        <item x="11"/>
        <item x="1"/>
        <item x="9"/>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name="6" axis="axisPage" multipleItemSelectionAllowed="1" showAll="0">
      <items count="5">
        <item x="3"/>
        <item x="0"/>
        <item h="1" x="2"/>
        <item h="1"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pivotField showAll="0"/>
    <pivotField dataField="1" numFmtId="167" showAll="0"/>
    <pivotField numFmtId="9" showAll="0"/>
  </pivotFields>
  <rowFields count="1">
    <field x="2"/>
  </rowFields>
  <rowItems count="12">
    <i>
      <x v="11"/>
    </i>
    <i>
      <x v="10"/>
    </i>
    <i>
      <x v="7"/>
    </i>
    <i>
      <x v="2"/>
    </i>
    <i>
      <x v="3"/>
    </i>
    <i>
      <x v="13"/>
    </i>
    <i>
      <x v="5"/>
    </i>
    <i>
      <x v="1"/>
    </i>
    <i>
      <x v="8"/>
    </i>
    <i>
      <x v="12"/>
    </i>
    <i>
      <x/>
    </i>
    <i t="grand">
      <x/>
    </i>
  </rowItems>
  <colFields count="1">
    <field x="-2"/>
  </colFields>
  <colItems count="4">
    <i>
      <x/>
    </i>
    <i i="1">
      <x v="1"/>
    </i>
    <i i="2">
      <x v="2"/>
    </i>
    <i i="3">
      <x v="3"/>
    </i>
  </colItems>
  <pageFields count="1">
    <pageField fld="13" hier="-1"/>
  </pageFields>
  <dataFields count="4">
    <dataField name="Number of Machines" fld="2" subtotal="count" baseField="0" baseItem="0"/>
    <dataField name="Investment" fld="24" baseField="3" baseItem="0" numFmtId="167"/>
    <dataField name="Total Reagent Sales till date Actual " fld="47" baseField="0" baseItem="0" numFmtId="167"/>
    <dataField name="Margin on Reagent sale " fld="55" baseField="0" baseItem="0" numFmtId="167"/>
  </dataFields>
  <formats count="8">
    <format dxfId="710">
      <pivotArea field="2" type="button" dataOnly="0" labelOnly="1" outline="0" axis="axisRow" fieldPosition="0"/>
    </format>
    <format dxfId="709">
      <pivotArea dataOnly="0" labelOnly="1" outline="0" fieldPosition="0">
        <references count="1">
          <reference field="4294967294" count="3">
            <x v="0"/>
            <x v="1"/>
            <x v="2"/>
          </reference>
        </references>
      </pivotArea>
    </format>
    <format dxfId="708">
      <pivotArea field="2" type="button" dataOnly="0" labelOnly="1" outline="0" axis="axisRow" fieldPosition="0"/>
    </format>
    <format dxfId="707">
      <pivotArea dataOnly="0" labelOnly="1" outline="0" fieldPosition="0">
        <references count="1">
          <reference field="4294967294" count="3">
            <x v="0"/>
            <x v="1"/>
            <x v="2"/>
          </reference>
        </references>
      </pivotArea>
    </format>
    <format dxfId="706">
      <pivotArea field="2" type="button" dataOnly="0" labelOnly="1" outline="0" axis="axisRow" fieldPosition="0"/>
    </format>
    <format dxfId="705">
      <pivotArea dataOnly="0" labelOnly="1" outline="0" fieldPosition="0">
        <references count="1">
          <reference field="4294967294" count="3">
            <x v="0"/>
            <x v="1"/>
            <x v="2"/>
          </reference>
        </references>
      </pivotArea>
    </format>
    <format dxfId="704">
      <pivotArea dataOnly="0" labelOnly="1" outline="0" fieldPosition="0">
        <references count="1">
          <reference field="4294967294" count="1">
            <x v="3"/>
          </reference>
        </references>
      </pivotArea>
    </format>
    <format dxfId="703">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E7" firstHeaderRow="0" firstDataRow="1" firstDataCol="1" rowPageCount="1" colPageCount="1"/>
  <pivotFields count="5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x="0"/>
        <item h="1" x="2"/>
        <item h="1" x="1"/>
        <item t="default"/>
      </items>
    </pivotField>
    <pivotField axis="axisRow"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pivotField showAll="0"/>
    <pivotField dataField="1" numFmtId="167" showAll="0"/>
    <pivotField numFmtId="9" showAll="0"/>
  </pivotFields>
  <rowFields count="1">
    <field x="14"/>
  </rowFields>
  <rowItems count="4">
    <i>
      <x v="2"/>
    </i>
    <i>
      <x/>
    </i>
    <i>
      <x v="1"/>
    </i>
    <i t="grand">
      <x/>
    </i>
  </rowItems>
  <colFields count="1">
    <field x="-2"/>
  </colFields>
  <colItems count="4">
    <i>
      <x/>
    </i>
    <i i="1">
      <x v="1"/>
    </i>
    <i i="2">
      <x v="2"/>
    </i>
    <i i="3">
      <x v="3"/>
    </i>
  </colItems>
  <pageFields count="1">
    <pageField fld="13" hier="-1"/>
  </pageFields>
  <dataFields count="4">
    <dataField name="Number of Machines" fld="2" subtotal="count" baseField="0" baseItem="0"/>
    <dataField name="Investment" fld="24" baseField="3" baseItem="0" numFmtId="167"/>
    <dataField name="Total Reagent Sales till date Actual " fld="47" baseField="0" baseItem="0" numFmtId="167"/>
    <dataField name="Margin on Reagent sale " fld="55" baseField="0" baseItem="0" numFmtId="167"/>
  </dataFields>
  <formats count="10">
    <format dxfId="720">
      <pivotArea outline="0" collapsedLevelsAreSubtotals="1" fieldPosition="0">
        <references count="1">
          <reference field="4294967294" count="2" selected="0">
            <x v="1"/>
            <x v="2"/>
          </reference>
        </references>
      </pivotArea>
    </format>
    <format dxfId="719">
      <pivotArea field="14" type="button" dataOnly="0" labelOnly="1" outline="0" axis="axisRow" fieldPosition="0"/>
    </format>
    <format dxfId="718">
      <pivotArea dataOnly="0" labelOnly="1" outline="0" fieldPosition="0">
        <references count="1">
          <reference field="4294967294" count="3">
            <x v="0"/>
            <x v="1"/>
            <x v="2"/>
          </reference>
        </references>
      </pivotArea>
    </format>
    <format dxfId="717">
      <pivotArea field="14" type="button" dataOnly="0" labelOnly="1" outline="0" axis="axisRow" fieldPosition="0"/>
    </format>
    <format dxfId="716">
      <pivotArea dataOnly="0" labelOnly="1" outline="0" fieldPosition="0">
        <references count="1">
          <reference field="4294967294" count="3">
            <x v="0"/>
            <x v="1"/>
            <x v="2"/>
          </reference>
        </references>
      </pivotArea>
    </format>
    <format dxfId="715">
      <pivotArea field="14" type="button" dataOnly="0" labelOnly="1" outline="0" axis="axisRow" fieldPosition="0"/>
    </format>
    <format dxfId="714">
      <pivotArea dataOnly="0" labelOnly="1" outline="0" fieldPosition="0">
        <references count="1">
          <reference field="4294967294" count="3">
            <x v="0"/>
            <x v="1"/>
            <x v="2"/>
          </reference>
        </references>
      </pivotArea>
    </format>
    <format dxfId="713">
      <pivotArea dataOnly="0" labelOnly="1" outline="0" fieldPosition="0">
        <references count="1">
          <reference field="4294967294" count="1">
            <x v="3"/>
          </reference>
        </references>
      </pivotArea>
    </format>
    <format dxfId="712">
      <pivotArea outline="0" collapsedLevelsAreSubtotals="1" fieldPosition="0">
        <references count="1">
          <reference field="4294967294" count="1" selected="0">
            <x v="3"/>
          </reference>
        </references>
      </pivotArea>
    </format>
    <format dxfId="71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7"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A13:E23" firstHeaderRow="0" firstDataRow="1" firstDataCol="1" rowPageCount="1" colPageCount="1"/>
  <pivotFields count="100">
    <pivotField showAll="0"/>
    <pivotField showAll="0"/>
    <pivotField axis="axisRow" showAll="0" sortType="descending">
      <items count="13">
        <item sd="0" x="3"/>
        <item sd="0" m="1" x="11"/>
        <item sd="0" x="7"/>
        <item sd="0" x="6"/>
        <item sd="0" x="2"/>
        <item sd="0" x="0"/>
        <item sd="0" x="4"/>
        <item sd="0" x="1"/>
        <item sd="0" x="5"/>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x="0"/>
        <item m="1" x="15"/>
        <item h="1" x="2"/>
        <item h="1" x="3"/>
        <item m="1" x="17"/>
        <item x="5"/>
        <item h="1" m="1" x="14"/>
        <item h="1" x="1"/>
        <item h="1" m="1" x="18"/>
        <item h="1" m="1" x="19"/>
        <item h="1" m="1" x="16"/>
        <item h="1" m="1" x="11"/>
        <item m="1" x="12"/>
        <item h="1" m="1" x="10"/>
        <item h="1" x="7"/>
        <item x="8"/>
        <item m="1" x="13"/>
        <item x="4"/>
        <item h="1" x="6"/>
        <item h="1" m="1" x="9"/>
        <item t="default"/>
      </items>
    </pivotField>
    <pivotField showAll="0"/>
    <pivotField multipleItemSelectionAllowe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dataField="1" numFmtId="167" showAll="0"/>
    <pivotField showAll="0"/>
  </pivotFields>
  <rowFields count="1">
    <field x="2"/>
  </rowFields>
  <rowItems count="10">
    <i>
      <x v="4"/>
    </i>
    <i>
      <x v="5"/>
    </i>
    <i>
      <x v="7"/>
    </i>
    <i>
      <x v="6"/>
    </i>
    <i>
      <x/>
    </i>
    <i>
      <x v="2"/>
    </i>
    <i>
      <x v="8"/>
    </i>
    <i>
      <x v="3"/>
    </i>
    <i>
      <x v="10"/>
    </i>
    <i t="grand">
      <x/>
    </i>
  </rowItems>
  <colFields count="1">
    <field x="-2"/>
  </colFields>
  <colItems count="4">
    <i>
      <x/>
    </i>
    <i i="1">
      <x v="1"/>
    </i>
    <i i="2">
      <x v="2"/>
    </i>
    <i i="3">
      <x v="3"/>
    </i>
  </colItems>
  <pageFields count="1">
    <pageField fld="14" hier="-1"/>
  </pageFields>
  <dataFields count="4">
    <dataField name="Number of Machines" fld="3" subtotal="count" baseField="0" baseItem="0"/>
    <dataField name="Total Investment" fld="25" baseField="3" baseItem="0" numFmtId="167"/>
    <dataField name="Total Reagent Sales till date Actual  " fld="90" baseField="0" baseItem="0" numFmtId="167"/>
    <dataField name="Margin on Reagent sale " fld="98" baseField="0" baseItem="0" numFmtId="167"/>
  </dataFields>
  <formats count="26">
    <format dxfId="746">
      <pivotArea outline="0" collapsedLevelsAreSubtotals="1" fieldPosition="0">
        <references count="1">
          <reference field="4294967294" count="2" selected="0">
            <x v="1"/>
            <x v="2"/>
          </reference>
        </references>
      </pivotArea>
    </format>
    <format dxfId="745">
      <pivotArea field="2" type="button" dataOnly="0" labelOnly="1" outline="0" axis="axisRow" fieldPosition="0"/>
    </format>
    <format dxfId="744">
      <pivotArea dataOnly="0" labelOnly="1" outline="0" fieldPosition="0">
        <references count="1">
          <reference field="4294967294" count="3">
            <x v="0"/>
            <x v="1"/>
            <x v="2"/>
          </reference>
        </references>
      </pivotArea>
    </format>
    <format dxfId="743">
      <pivotArea field="2" type="button" dataOnly="0" labelOnly="1" outline="0" axis="axisRow" fieldPosition="0"/>
    </format>
    <format dxfId="742">
      <pivotArea dataOnly="0" labelOnly="1" outline="0" fieldPosition="0">
        <references count="1">
          <reference field="4294967294" count="3">
            <x v="0"/>
            <x v="1"/>
            <x v="2"/>
          </reference>
        </references>
      </pivotArea>
    </format>
    <format dxfId="741">
      <pivotArea field="2" type="button" dataOnly="0" labelOnly="1" outline="0" axis="axisRow" fieldPosition="0"/>
    </format>
    <format dxfId="740">
      <pivotArea dataOnly="0" labelOnly="1" outline="0" fieldPosition="0">
        <references count="1">
          <reference field="4294967294" count="3">
            <x v="0"/>
            <x v="1"/>
            <x v="2"/>
          </reference>
        </references>
      </pivotArea>
    </format>
    <format dxfId="739">
      <pivotArea dataOnly="0" labelOnly="1" outline="0" fieldPosition="0">
        <references count="1">
          <reference field="4294967294" count="1">
            <x v="3"/>
          </reference>
        </references>
      </pivotArea>
    </format>
    <format dxfId="738">
      <pivotArea outline="0" collapsedLevelsAreSubtotals="1" fieldPosition="0">
        <references count="1">
          <reference field="4294967294" count="1" selected="0">
            <x v="3"/>
          </reference>
        </references>
      </pivotArea>
    </format>
    <format dxfId="737">
      <pivotArea dataOnly="0" labelOnly="1" outline="0" fieldPosition="0">
        <references count="1">
          <reference field="4294967294" count="1">
            <x v="3"/>
          </reference>
        </references>
      </pivotArea>
    </format>
    <format dxfId="736">
      <pivotArea field="2" type="button" dataOnly="0" labelOnly="1" outline="0" axis="axisRow" fieldPosition="0"/>
    </format>
    <format dxfId="735">
      <pivotArea dataOnly="0" labelOnly="1" outline="0" fieldPosition="0">
        <references count="1">
          <reference field="4294967294" count="4">
            <x v="0"/>
            <x v="1"/>
            <x v="2"/>
            <x v="3"/>
          </reference>
        </references>
      </pivotArea>
    </format>
    <format dxfId="734">
      <pivotArea grandRow="1" outline="0" collapsedLevelsAreSubtotals="1" fieldPosition="0"/>
    </format>
    <format dxfId="733">
      <pivotArea dataOnly="0" labelOnly="1" grandRow="1" outline="0" fieldPosition="0"/>
    </format>
    <format dxfId="732">
      <pivotArea field="2" type="button" dataOnly="0" labelOnly="1" outline="0" axis="axisRow" fieldPosition="0"/>
    </format>
    <format dxfId="731">
      <pivotArea dataOnly="0" labelOnly="1" outline="0" fieldPosition="0">
        <references count="1">
          <reference field="4294967294" count="4">
            <x v="0"/>
            <x v="1"/>
            <x v="2"/>
            <x v="3"/>
          </reference>
        </references>
      </pivotArea>
    </format>
    <format dxfId="730">
      <pivotArea field="2" type="button" dataOnly="0" labelOnly="1" outline="0" axis="axisRow" fieldPosition="0"/>
    </format>
    <format dxfId="729">
      <pivotArea dataOnly="0" labelOnly="1" outline="0" fieldPosition="0">
        <references count="1">
          <reference field="4294967294" count="4">
            <x v="0"/>
            <x v="1"/>
            <x v="2"/>
            <x v="3"/>
          </reference>
        </references>
      </pivotArea>
    </format>
    <format dxfId="728">
      <pivotArea grandRow="1" outline="0" collapsedLevelsAreSubtotals="1" fieldPosition="0"/>
    </format>
    <format dxfId="727">
      <pivotArea dataOnly="0" labelOnly="1" grandRow="1" outline="0" fieldPosition="0"/>
    </format>
    <format dxfId="726">
      <pivotArea field="2" type="button" dataOnly="0" labelOnly="1" outline="0" axis="axisRow" fieldPosition="0"/>
    </format>
    <format dxfId="725">
      <pivotArea dataOnly="0" labelOnly="1" outline="0" fieldPosition="0">
        <references count="1">
          <reference field="4294967294" count="3">
            <x v="0"/>
            <x v="1"/>
            <x v="2"/>
          </reference>
        </references>
      </pivotArea>
    </format>
    <format dxfId="724">
      <pivotArea field="2" grandRow="1" outline="0" collapsedLevelsAreSubtotals="1" axis="axisRow" fieldPosition="0">
        <references count="1">
          <reference field="4294967294" count="3" selected="0">
            <x v="0"/>
            <x v="1"/>
            <x v="2"/>
          </reference>
        </references>
      </pivotArea>
    </format>
    <format dxfId="723">
      <pivotArea dataOnly="0" labelOnly="1" grandRow="1" outline="0" fieldPosition="0"/>
    </format>
    <format dxfId="722">
      <pivotArea field="2" grandRow="1" outline="0" collapsedLevelsAreSubtotals="1" axis="axisRow" fieldPosition="0">
        <references count="1">
          <reference field="4294967294" count="3" selected="0">
            <x v="0"/>
            <x v="1"/>
            <x v="2"/>
          </reference>
        </references>
      </pivotArea>
    </format>
    <format dxfId="72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E7" firstHeaderRow="0" firstDataRow="1" firstDataCol="1" rowPageCount="1" colPageCount="1"/>
  <pivotFields count="10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m="1" x="15"/>
        <item h="1" x="2"/>
        <item h="1" x="3"/>
        <item x="5"/>
        <item m="1" x="17"/>
        <item x="0"/>
        <item h="1" m="1" x="14"/>
        <item h="1" x="1"/>
        <item h="1" m="1" x="18"/>
        <item h="1" m="1" x="19"/>
        <item h="1" m="1" x="16"/>
        <item h="1" m="1" x="11"/>
        <item h="1" m="1" x="12"/>
        <item h="1" m="1" x="10"/>
        <item h="1" x="7"/>
        <item x="8"/>
        <item m="1" x="13"/>
        <item x="4"/>
        <item h="1" x="6"/>
        <item h="1" m="1" x="9"/>
        <item t="default"/>
      </items>
    </pivotField>
    <pivotField axis="axisRow" showAll="0" sortType="descending">
      <items count="7">
        <item x="1"/>
        <item x="2"/>
        <item x="0"/>
        <item m="1" x="5"/>
        <item m="1"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dataField="1" numFmtId="167" showAll="0"/>
    <pivotField showAll="0"/>
  </pivotFields>
  <rowFields count="1">
    <field x="15"/>
  </rowFields>
  <rowItems count="4">
    <i>
      <x v="2"/>
    </i>
    <i>
      <x/>
    </i>
    <i>
      <x v="1"/>
    </i>
    <i t="grand">
      <x/>
    </i>
  </rowItems>
  <colFields count="1">
    <field x="-2"/>
  </colFields>
  <colItems count="4">
    <i>
      <x/>
    </i>
    <i i="1">
      <x v="1"/>
    </i>
    <i i="2">
      <x v="2"/>
    </i>
    <i i="3">
      <x v="3"/>
    </i>
  </colItems>
  <pageFields count="1">
    <pageField fld="14" hier="-1"/>
  </pageFields>
  <dataFields count="4">
    <dataField name="Number of Machines" fld="3" subtotal="count" baseField="0" baseItem="0"/>
    <dataField name="Total Investment" fld="25" baseField="3" baseItem="0" numFmtId="167"/>
    <dataField name="Total Reagent Sales till date Actual " fld="90" baseField="0" baseItem="0" numFmtId="167"/>
    <dataField name="Margin on Reagent sale " fld="98" baseField="0" baseItem="0" numFmtId="167"/>
  </dataFields>
  <formats count="28">
    <format dxfId="774">
      <pivotArea outline="0" collapsedLevelsAreSubtotals="1" fieldPosition="0">
        <references count="1">
          <reference field="4294967294" count="2" selected="0">
            <x v="1"/>
            <x v="2"/>
          </reference>
        </references>
      </pivotArea>
    </format>
    <format dxfId="773">
      <pivotArea field="15" type="button" dataOnly="0" labelOnly="1" outline="0" axis="axisRow" fieldPosition="0"/>
    </format>
    <format dxfId="772">
      <pivotArea dataOnly="0" labelOnly="1" outline="0" fieldPosition="0">
        <references count="1">
          <reference field="4294967294" count="3">
            <x v="0"/>
            <x v="1"/>
            <x v="2"/>
          </reference>
        </references>
      </pivotArea>
    </format>
    <format dxfId="771">
      <pivotArea field="15" type="button" dataOnly="0" labelOnly="1" outline="0" axis="axisRow" fieldPosition="0"/>
    </format>
    <format dxfId="770">
      <pivotArea dataOnly="0" labelOnly="1" outline="0" fieldPosition="0">
        <references count="1">
          <reference field="4294967294" count="3">
            <x v="0"/>
            <x v="1"/>
            <x v="2"/>
          </reference>
        </references>
      </pivotArea>
    </format>
    <format dxfId="769">
      <pivotArea field="15" type="button" dataOnly="0" labelOnly="1" outline="0" axis="axisRow" fieldPosition="0"/>
    </format>
    <format dxfId="768">
      <pivotArea dataOnly="0" labelOnly="1" outline="0" fieldPosition="0">
        <references count="1">
          <reference field="4294967294" count="3">
            <x v="0"/>
            <x v="1"/>
            <x v="2"/>
          </reference>
        </references>
      </pivotArea>
    </format>
    <format dxfId="767">
      <pivotArea dataOnly="0" labelOnly="1" outline="0" fieldPosition="0">
        <references count="1">
          <reference field="4294967294" count="1">
            <x v="3"/>
          </reference>
        </references>
      </pivotArea>
    </format>
    <format dxfId="766">
      <pivotArea outline="0" collapsedLevelsAreSubtotals="1" fieldPosition="0">
        <references count="1">
          <reference field="4294967294" count="1" selected="0">
            <x v="3"/>
          </reference>
        </references>
      </pivotArea>
    </format>
    <format dxfId="765">
      <pivotArea dataOnly="0" labelOnly="1" outline="0" fieldPosition="0">
        <references count="1">
          <reference field="4294967294" count="1">
            <x v="3"/>
          </reference>
        </references>
      </pivotArea>
    </format>
    <format dxfId="764">
      <pivotArea field="15" type="button" dataOnly="0" labelOnly="1" outline="0" axis="axisRow" fieldPosition="0"/>
    </format>
    <format dxfId="763">
      <pivotArea dataOnly="0" labelOnly="1" outline="0" fieldPosition="0">
        <references count="1">
          <reference field="4294967294" count="4">
            <x v="0"/>
            <x v="1"/>
            <x v="2"/>
            <x v="3"/>
          </reference>
        </references>
      </pivotArea>
    </format>
    <format dxfId="762">
      <pivotArea grandRow="1" outline="0" collapsedLevelsAreSubtotals="1" fieldPosition="0"/>
    </format>
    <format dxfId="761">
      <pivotArea dataOnly="0" labelOnly="1" grandRow="1" outline="0" fieldPosition="0"/>
    </format>
    <format dxfId="760">
      <pivotArea field="15" type="button" dataOnly="0" labelOnly="1" outline="0" axis="axisRow" fieldPosition="0"/>
    </format>
    <format dxfId="759">
      <pivotArea dataOnly="0" labelOnly="1" outline="0" fieldPosition="0">
        <references count="1">
          <reference field="4294967294" count="4">
            <x v="0"/>
            <x v="1"/>
            <x v="2"/>
            <x v="3"/>
          </reference>
        </references>
      </pivotArea>
    </format>
    <format dxfId="758">
      <pivotArea field="15" type="button" dataOnly="0" labelOnly="1" outline="0" axis="axisRow" fieldPosition="0"/>
    </format>
    <format dxfId="757">
      <pivotArea dataOnly="0" labelOnly="1" outline="0" fieldPosition="0">
        <references count="1">
          <reference field="4294967294" count="4">
            <x v="0"/>
            <x v="1"/>
            <x v="2"/>
            <x v="3"/>
          </reference>
        </references>
      </pivotArea>
    </format>
    <format dxfId="756">
      <pivotArea field="15" type="button" dataOnly="0" labelOnly="1" outline="0" axis="axisRow" fieldPosition="0"/>
    </format>
    <format dxfId="755">
      <pivotArea dataOnly="0" labelOnly="1" outline="0" fieldPosition="0">
        <references count="1">
          <reference field="4294967294" count="4">
            <x v="0"/>
            <x v="1"/>
            <x v="2"/>
            <x v="3"/>
          </reference>
        </references>
      </pivotArea>
    </format>
    <format dxfId="754">
      <pivotArea dataOnly="0" labelOnly="1" grandRow="1" outline="0" fieldPosition="0"/>
    </format>
    <format dxfId="753">
      <pivotArea grandRow="1" outline="0" collapsedLevelsAreSubtotals="1" fieldPosition="0"/>
    </format>
    <format dxfId="752">
      <pivotArea field="15" grandRow="1" outline="0" collapsedLevelsAreSubtotals="1" axis="axisRow" fieldPosition="0">
        <references count="1">
          <reference field="4294967294" count="3" selected="0">
            <x v="0"/>
            <x v="1"/>
            <x v="2"/>
          </reference>
        </references>
      </pivotArea>
    </format>
    <format dxfId="751">
      <pivotArea dataOnly="0" labelOnly="1" grandRow="1" outline="0" fieldPosition="0"/>
    </format>
    <format dxfId="750">
      <pivotArea field="15" grandRow="1" outline="0" collapsedLevelsAreSubtotals="1" axis="axisRow" fieldPosition="0">
        <references count="1">
          <reference field="4294967294" count="3" selected="0">
            <x v="0"/>
            <x v="1"/>
            <x v="2"/>
          </reference>
        </references>
      </pivotArea>
    </format>
    <format dxfId="749">
      <pivotArea dataOnly="0" labelOnly="1" grandRow="1" outline="0" fieldPosition="0"/>
    </format>
    <format dxfId="748">
      <pivotArea field="15" grandRow="1" outline="0" collapsedLevelsAreSubtotals="1" axis="axisRow" fieldPosition="0">
        <references count="1">
          <reference field="4294967294" count="3" selected="0">
            <x v="0"/>
            <x v="1"/>
            <x v="2"/>
          </reference>
        </references>
      </pivotArea>
    </format>
    <format dxfId="747">
      <pivotArea field="15" grandRow="1" outline="0" collapsedLevelsAreSubtotals="1" axis="axisRow"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T13:AC23" firstHeaderRow="0" firstDataRow="1" firstDataCol="1" rowPageCount="1" colPageCount="1"/>
  <pivotFields count="99">
    <pivotField showAll="0"/>
    <pivotField axis="axisRow" showAll="0" sortType="descending">
      <items count="12">
        <item m="1" x="10"/>
        <item x="8"/>
        <item sd="0" x="0"/>
        <item sd="0" x="1"/>
        <item sd="0" x="4"/>
        <item sd="0" x="2"/>
        <item sd="0" x="6"/>
        <item x="9"/>
        <item sd="0" x="7"/>
        <item sd="0" x="5"/>
        <item sd="0" x="3"/>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x="0"/>
        <item h="1" x="2"/>
        <item h="1" x="3"/>
        <item m="1" x="16"/>
        <item x="5"/>
        <item h="1" x="1"/>
        <item h="1" m="1" x="15"/>
        <item h="1" m="1" x="14"/>
        <item h="1" m="1" x="10"/>
        <item h="1" m="1" x="11"/>
        <item m="1" x="12"/>
        <item h="1" x="7"/>
        <item x="8"/>
        <item m="1" x="13"/>
        <item x="4"/>
        <item h="1" x="6"/>
        <item h="1" m="1" x="9"/>
        <item t="default"/>
      </items>
    </pivotField>
    <pivotField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multipleItemSelectionAllowed="1"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numFmtId="167" showAll="0"/>
    <pivotField dataField="1" showAll="0"/>
    <pivotField dataField="1" showAll="0"/>
    <pivotField dataField="1" showAll="0"/>
    <pivotField showAll="0"/>
    <pivotField numFmtId="167" showAll="0"/>
    <pivotField showAll="0"/>
    <pivotField showAll="0"/>
    <pivotField showAll="0"/>
    <pivotField showAll="0"/>
    <pivotField showAll="0"/>
    <pivotField showAll="0"/>
    <pivotField showAll="0"/>
    <pivotField numFmtId="167" showAll="0"/>
    <pivotField showAll="0"/>
    <pivotField numFmtId="167" showAll="0"/>
    <pivotField showAll="0"/>
  </pivotFields>
  <rowFields count="1">
    <field x="1"/>
  </rowFields>
  <rowItems count="10">
    <i>
      <x v="5"/>
    </i>
    <i>
      <x v="2"/>
    </i>
    <i>
      <x v="3"/>
    </i>
    <i>
      <x v="4"/>
    </i>
    <i>
      <x v="10"/>
    </i>
    <i>
      <x v="8"/>
    </i>
    <i>
      <x v="9"/>
    </i>
    <i>
      <x v="6"/>
    </i>
    <i>
      <x v="1"/>
    </i>
    <i t="grand">
      <x/>
    </i>
  </rowItems>
  <colFields count="1">
    <field x="-2"/>
  </colFields>
  <colItems count="9">
    <i>
      <x/>
    </i>
    <i i="1">
      <x v="1"/>
    </i>
    <i i="2">
      <x v="2"/>
    </i>
    <i i="3">
      <x v="3"/>
    </i>
    <i i="4">
      <x v="4"/>
    </i>
    <i i="5">
      <x v="5"/>
    </i>
    <i i="6">
      <x v="6"/>
    </i>
    <i i="7">
      <x v="7"/>
    </i>
    <i i="8">
      <x v="8"/>
    </i>
  </colItems>
  <pageFields count="1">
    <pageField fld="13" hier="-1"/>
  </pageFields>
  <dataFields count="9">
    <dataField name="No.of Machine Name" fld="2" subtotal="count" baseField="0" baseItem="0"/>
    <dataField name="Total Investment" fld="24" baseField="3" baseItem="0" numFmtId="167"/>
    <dataField name="Per Month Commitment" fld="26" baseField="0" baseItem="0" numFmtId="167"/>
    <dataField name=" Oct-25" fld="79" baseField="0" baseItem="0" numFmtId="167"/>
    <dataField name=" Nov-25" fld="80" baseField="0" baseItem="0" numFmtId="167"/>
    <dataField name=" Dec-25" fld="81" baseField="0" baseItem="0" numFmtId="167"/>
    <dataField name=" Jan-26" fld="83" baseField="0" baseItem="0" numFmtId="167"/>
    <dataField name=" Feb-26." fld="84" baseField="0" baseItem="0" numFmtId="3"/>
    <dataField name="' Mar-26" fld="85" baseField="0" baseItem="0"/>
  </dataFields>
  <formats count="37">
    <format dxfId="811">
      <pivotArea outline="0" collapsedLevelsAreSubtotals="1" fieldPosition="0">
        <references count="1">
          <reference field="4294967294" count="1" selected="0">
            <x v="1"/>
          </reference>
        </references>
      </pivotArea>
    </format>
    <format dxfId="810">
      <pivotArea field="14" type="button" dataOnly="0" labelOnly="1" outline="0"/>
    </format>
    <format dxfId="809">
      <pivotArea dataOnly="0" labelOnly="1" outline="0" fieldPosition="0">
        <references count="1">
          <reference field="4294967294" count="2">
            <x v="0"/>
            <x v="1"/>
          </reference>
        </references>
      </pivotArea>
    </format>
    <format dxfId="808">
      <pivotArea field="14" type="button" dataOnly="0" labelOnly="1" outline="0"/>
    </format>
    <format dxfId="807">
      <pivotArea dataOnly="0" labelOnly="1" outline="0" fieldPosition="0">
        <references count="1">
          <reference field="4294967294" count="2">
            <x v="0"/>
            <x v="1"/>
          </reference>
        </references>
      </pivotArea>
    </format>
    <format dxfId="806">
      <pivotArea field="14" type="button" dataOnly="0" labelOnly="1" outline="0"/>
    </format>
    <format dxfId="805">
      <pivotArea dataOnly="0" labelOnly="1" outline="0" fieldPosition="0">
        <references count="1">
          <reference field="4294967294" count="2">
            <x v="0"/>
            <x v="1"/>
          </reference>
        </references>
      </pivotArea>
    </format>
    <format dxfId="804">
      <pivotArea outline="0" collapsedLevelsAreSubtotals="1" fieldPosition="0">
        <references count="1">
          <reference field="4294967294" count="1" selected="0">
            <x v="2"/>
          </reference>
        </references>
      </pivotArea>
    </format>
    <format dxfId="803">
      <pivotArea dataOnly="0" labelOnly="1" outline="0" fieldPosition="0">
        <references count="1">
          <reference field="4294967294" count="1">
            <x v="2"/>
          </reference>
        </references>
      </pivotArea>
    </format>
    <format dxfId="802">
      <pivotArea dataOnly="0" labelOnly="1" outline="0" fieldPosition="0">
        <references count="1">
          <reference field="4294967294" count="1">
            <x v="2"/>
          </reference>
        </references>
      </pivotArea>
    </format>
    <format dxfId="801">
      <pivotArea dataOnly="0" labelOnly="1" outline="0" fieldPosition="0">
        <references count="1">
          <reference field="4294967294" count="1">
            <x v="2"/>
          </reference>
        </references>
      </pivotArea>
    </format>
    <format dxfId="800">
      <pivotArea dataOnly="0" labelOnly="1" outline="0" fieldPosition="0">
        <references count="1">
          <reference field="4294967294" count="1">
            <x v="2"/>
          </reference>
        </references>
      </pivotArea>
    </format>
    <format dxfId="799">
      <pivotArea field="14" type="button" dataOnly="0" labelOnly="1" outline="0"/>
    </format>
    <format dxfId="798">
      <pivotArea dataOnly="0" labelOnly="1" outline="0" fieldPosition="0">
        <references count="1">
          <reference field="4294967294" count="3">
            <x v="0"/>
            <x v="1"/>
            <x v="2"/>
          </reference>
        </references>
      </pivotArea>
    </format>
    <format dxfId="797">
      <pivotArea grandRow="1" outline="0" collapsedLevelsAreSubtotals="1" fieldPosition="0"/>
    </format>
    <format dxfId="796">
      <pivotArea dataOnly="0" labelOnly="1" grandRow="1" outline="0" fieldPosition="0"/>
    </format>
    <format dxfId="795">
      <pivotArea field="1" type="button" dataOnly="0" labelOnly="1" outline="0" axis="axisRow" fieldPosition="0"/>
    </format>
    <format dxfId="794">
      <pivotArea field="1" type="button" dataOnly="0" labelOnly="1" outline="0" axis="axisRow" fieldPosition="0"/>
    </format>
    <format dxfId="793">
      <pivotArea dataOnly="0" labelOnly="1" outline="0" fieldPosition="0">
        <references count="1">
          <reference field="4294967294" count="3">
            <x v="0"/>
            <x v="1"/>
            <x v="2"/>
          </reference>
        </references>
      </pivotArea>
    </format>
    <format dxfId="792">
      <pivotArea field="1" type="button" dataOnly="0" labelOnly="1" outline="0" axis="axisRow" fieldPosition="0"/>
    </format>
    <format dxfId="791">
      <pivotArea dataOnly="0" labelOnly="1" outline="0" fieldPosition="0">
        <references count="1">
          <reference field="4294967294" count="3">
            <x v="0"/>
            <x v="1"/>
            <x v="2"/>
          </reference>
        </references>
      </pivotArea>
    </format>
    <format dxfId="790">
      <pivotArea dataOnly="0" labelOnly="1" grandRow="1" outline="0" fieldPosition="0"/>
    </format>
    <format dxfId="789">
      <pivotArea grandRow="1" outline="0" collapsedLevelsAreSubtotals="1" fieldPosition="0"/>
    </format>
    <format dxfId="788">
      <pivotArea field="1" type="button" dataOnly="0" labelOnly="1" outline="0" axis="axisRow" fieldPosition="0"/>
    </format>
    <format dxfId="787">
      <pivotArea dataOnly="0" labelOnly="1" outline="0" fieldPosition="0">
        <references count="1">
          <reference field="4294967294" count="3">
            <x v="0"/>
            <x v="1"/>
            <x v="2"/>
          </reference>
        </references>
      </pivotArea>
    </format>
    <format dxfId="786">
      <pivotArea dataOnly="0" labelOnly="1" grandRow="1" outline="0" fieldPosition="0"/>
    </format>
    <format dxfId="785">
      <pivotArea grandRow="1" outline="0" collapsedLevelsAreSubtotals="1" fieldPosition="0"/>
    </format>
    <format dxfId="784">
      <pivotArea grandRow="1" outline="0" collapsedLevelsAreSubtotals="1" fieldPosition="0"/>
    </format>
    <format dxfId="783">
      <pivotArea dataOnly="0" labelOnly="1" outline="0" fieldPosition="0">
        <references count="1">
          <reference field="4294967294" count="1">
            <x v="3"/>
          </reference>
        </references>
      </pivotArea>
    </format>
    <format dxfId="782">
      <pivotArea dataOnly="0" labelOnly="1" outline="0" fieldPosition="0">
        <references count="1">
          <reference field="4294967294" count="1">
            <x v="4"/>
          </reference>
        </references>
      </pivotArea>
    </format>
    <format dxfId="781">
      <pivotArea dataOnly="0" labelOnly="1" outline="0" fieldPosition="0">
        <references count="1">
          <reference field="4294967294" count="1">
            <x v="5"/>
          </reference>
        </references>
      </pivotArea>
    </format>
    <format dxfId="780">
      <pivotArea dataOnly="0" labelOnly="1" outline="0" fieldPosition="0">
        <references count="1">
          <reference field="4294967294" count="1">
            <x v="6"/>
          </reference>
        </references>
      </pivotArea>
    </format>
    <format dxfId="779">
      <pivotArea outline="0" collapsedLevelsAreSubtotals="1" fieldPosition="0">
        <references count="1">
          <reference field="4294967294" count="4" selected="0">
            <x v="3"/>
            <x v="4"/>
            <x v="5"/>
            <x v="6"/>
          </reference>
        </references>
      </pivotArea>
    </format>
    <format dxfId="778">
      <pivotArea dataOnly="0" labelOnly="1" outline="0" fieldPosition="0">
        <references count="1">
          <reference field="4294967294" count="1">
            <x v="7"/>
          </reference>
        </references>
      </pivotArea>
    </format>
    <format dxfId="777">
      <pivotArea collapsedLevelsAreSubtotals="1" fieldPosition="0">
        <references count="2">
          <reference field="4294967294" count="1" selected="0">
            <x v="7"/>
          </reference>
          <reference field="1" count="1">
            <x v="3"/>
          </reference>
        </references>
      </pivotArea>
    </format>
    <format dxfId="776">
      <pivotArea outline="0" fieldPosition="0">
        <references count="1">
          <reference field="4294967294" count="1">
            <x v="7"/>
          </reference>
        </references>
      </pivotArea>
    </format>
    <format dxfId="775">
      <pivotArea dataOnly="0" labelOnly="1" outline="0" fieldPosition="0">
        <references count="1">
          <reference field="4294967294" count="1">
            <x v="8"/>
          </reference>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5" cacheId="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T3:AD7" firstHeaderRow="0" firstDataRow="1" firstDataCol="1" rowPageCount="1" colPageCount="1"/>
  <pivotFields count="8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x="0"/>
        <item h="1" x="2"/>
        <item h="1" x="3"/>
        <item m="1" x="16"/>
        <item x="5"/>
        <item h="1" x="1"/>
        <item h="1" m="1" x="15"/>
        <item h="1" m="1" x="14"/>
        <item h="1" m="1" x="11"/>
        <item h="1" m="1" x="12"/>
        <item h="1" m="1" x="10"/>
        <item h="1" x="7"/>
        <item x="8"/>
        <item m="1" x="13"/>
        <item x="4"/>
        <item h="1" x="6"/>
        <item h="1" m="1" x="9"/>
        <item t="default"/>
      </items>
    </pivotField>
    <pivotField axis="axisRow" showAll="0" sortType="descending">
      <items count="6">
        <item x="1"/>
        <item x="2"/>
        <item x="0"/>
        <item m="1"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numFmtId="167" showAll="0"/>
    <pivotField dataField="1" showAll="0"/>
    <pivotField dataField="1" showAll="0"/>
    <pivotField showAll="0"/>
    <pivotField showAll="0"/>
    <pivotField dataField="1" numFmtId="167" showAll="0"/>
  </pivotFields>
  <rowFields count="1">
    <field x="14"/>
  </rowFields>
  <rowItems count="4">
    <i>
      <x v="2"/>
    </i>
    <i>
      <x/>
    </i>
    <i>
      <x v="1"/>
    </i>
    <i t="grand">
      <x/>
    </i>
  </rowItems>
  <colFields count="1">
    <field x="-2"/>
  </colFields>
  <colItems count="10">
    <i>
      <x/>
    </i>
    <i i="1">
      <x v="1"/>
    </i>
    <i i="2">
      <x v="2"/>
    </i>
    <i i="3">
      <x v="3"/>
    </i>
    <i i="4">
      <x v="4"/>
    </i>
    <i i="5">
      <x v="5"/>
    </i>
    <i i="6">
      <x v="6"/>
    </i>
    <i i="7">
      <x v="7"/>
    </i>
    <i i="8">
      <x v="8"/>
    </i>
    <i i="9">
      <x v="9"/>
    </i>
  </colItems>
  <pageFields count="1">
    <pageField fld="13" hier="-1"/>
  </pageFields>
  <dataFields count="10">
    <dataField name="No.of Machine Name" fld="2" subtotal="count" baseField="0" baseItem="0"/>
    <dataField name="Total Investment" fld="24" baseField="3" baseItem="0" numFmtId="167"/>
    <dataField name="Per Month Commitment" fld="26" baseField="0" baseItem="0" numFmtId="167"/>
    <dataField name="Sep-25." fld="77" baseField="0" baseItem="0" numFmtId="167"/>
    <dataField name="Oct-25." fld="78" baseField="0" baseItem="0" numFmtId="167"/>
    <dataField name="Nov-25." fld="79" baseField="0" baseItem="0" numFmtId="167"/>
    <dataField name="Dec-25." fld="80" baseField="0" baseItem="0" numFmtId="167"/>
    <dataField name="Jan-26." fld="82" baseField="0" baseItem="0" numFmtId="167"/>
    <dataField name=" Feb-26." fld="83" baseField="0" baseItem="0" numFmtId="3"/>
    <dataField name="Avg Sales per month sales " fld="86" baseField="0" baseItem="0" numFmtId="167"/>
  </dataFields>
  <formats count="33">
    <format dxfId="844">
      <pivotArea outline="0" collapsedLevelsAreSubtotals="1" fieldPosition="0">
        <references count="1">
          <reference field="4294967294" count="1" selected="0">
            <x v="1"/>
          </reference>
        </references>
      </pivotArea>
    </format>
    <format dxfId="843">
      <pivotArea field="14" type="button" dataOnly="0" labelOnly="1" outline="0" axis="axisRow" fieldPosition="0"/>
    </format>
    <format dxfId="842">
      <pivotArea dataOnly="0" labelOnly="1" outline="0" fieldPosition="0">
        <references count="1">
          <reference field="4294967294" count="2">
            <x v="0"/>
            <x v="1"/>
          </reference>
        </references>
      </pivotArea>
    </format>
    <format dxfId="841">
      <pivotArea field="14" type="button" dataOnly="0" labelOnly="1" outline="0" axis="axisRow" fieldPosition="0"/>
    </format>
    <format dxfId="840">
      <pivotArea dataOnly="0" labelOnly="1" outline="0" fieldPosition="0">
        <references count="1">
          <reference field="4294967294" count="2">
            <x v="0"/>
            <x v="1"/>
          </reference>
        </references>
      </pivotArea>
    </format>
    <format dxfId="839">
      <pivotArea field="14" type="button" dataOnly="0" labelOnly="1" outline="0" axis="axisRow" fieldPosition="0"/>
    </format>
    <format dxfId="838">
      <pivotArea dataOnly="0" labelOnly="1" outline="0" fieldPosition="0">
        <references count="1">
          <reference field="4294967294" count="2">
            <x v="0"/>
            <x v="1"/>
          </reference>
        </references>
      </pivotArea>
    </format>
    <format dxfId="837">
      <pivotArea field="14" type="button" dataOnly="0" labelOnly="1" outline="0" axis="axisRow" fieldPosition="0"/>
    </format>
    <format dxfId="836">
      <pivotArea dataOnly="0" labelOnly="1" outline="0" fieldPosition="0">
        <references count="1">
          <reference field="4294967294" count="2">
            <x v="0"/>
            <x v="1"/>
          </reference>
        </references>
      </pivotArea>
    </format>
    <format dxfId="835">
      <pivotArea grandRow="1" outline="0" collapsedLevelsAreSubtotals="1" fieldPosition="0"/>
    </format>
    <format dxfId="834">
      <pivotArea dataOnly="0" labelOnly="1" grandRow="1" outline="0" fieldPosition="0"/>
    </format>
    <format dxfId="833">
      <pivotArea field="14" type="button" dataOnly="0" labelOnly="1" outline="0" axis="axisRow" fieldPosition="0"/>
    </format>
    <format dxfId="832">
      <pivotArea dataOnly="0" labelOnly="1" outline="0" fieldPosition="0">
        <references count="1">
          <reference field="4294967294" count="2">
            <x v="0"/>
            <x v="1"/>
          </reference>
        </references>
      </pivotArea>
    </format>
    <format dxfId="831">
      <pivotArea dataOnly="0" labelOnly="1" outline="0" fieldPosition="0">
        <references count="1">
          <reference field="4294967294" count="1">
            <x v="2"/>
          </reference>
        </references>
      </pivotArea>
    </format>
    <format dxfId="830">
      <pivotArea outline="0" collapsedLevelsAreSubtotals="1" fieldPosition="0">
        <references count="1">
          <reference field="4294967294" count="1" selected="0">
            <x v="2"/>
          </reference>
        </references>
      </pivotArea>
    </format>
    <format dxfId="829">
      <pivotArea field="14" type="button" dataOnly="0" labelOnly="1" outline="0" axis="axisRow" fieldPosition="0"/>
    </format>
    <format dxfId="828">
      <pivotArea dataOnly="0" labelOnly="1" outline="0" fieldPosition="0">
        <references count="1">
          <reference field="4294967294" count="3">
            <x v="0"/>
            <x v="1"/>
            <x v="2"/>
          </reference>
        </references>
      </pivotArea>
    </format>
    <format dxfId="827">
      <pivotArea grandRow="1" outline="0" collapsedLevelsAreSubtotals="1" fieldPosition="0"/>
    </format>
    <format dxfId="826">
      <pivotArea dataOnly="0" labelOnly="1" grandRow="1" outline="0" fieldPosition="0"/>
    </format>
    <format dxfId="825">
      <pivotArea field="14" type="button" dataOnly="0" labelOnly="1" outline="0" axis="axisRow" fieldPosition="0"/>
    </format>
    <format dxfId="824">
      <pivotArea dataOnly="0" labelOnly="1" outline="0" fieldPosition="0">
        <references count="1">
          <reference field="4294967294" count="3">
            <x v="0"/>
            <x v="1"/>
            <x v="2"/>
          </reference>
        </references>
      </pivotArea>
    </format>
    <format dxfId="823">
      <pivotArea grandRow="1" outline="0" collapsedLevelsAreSubtotals="1" fieldPosition="0"/>
    </format>
    <format dxfId="822">
      <pivotArea dataOnly="0" labelOnly="1" grandRow="1" outline="0" fieldPosition="0"/>
    </format>
    <format dxfId="821">
      <pivotArea dataOnly="0" labelOnly="1" outline="0" fieldPosition="0">
        <references count="1">
          <reference field="4294967294" count="1">
            <x v="3"/>
          </reference>
        </references>
      </pivotArea>
    </format>
    <format dxfId="820">
      <pivotArea dataOnly="0" labelOnly="1" outline="0" fieldPosition="0">
        <references count="1">
          <reference field="4294967294" count="1">
            <x v="4"/>
          </reference>
        </references>
      </pivotArea>
    </format>
    <format dxfId="819">
      <pivotArea dataOnly="0" labelOnly="1" outline="0" fieldPosition="0">
        <references count="1">
          <reference field="4294967294" count="1">
            <x v="5"/>
          </reference>
        </references>
      </pivotArea>
    </format>
    <format dxfId="818">
      <pivotArea dataOnly="0" labelOnly="1" outline="0" fieldPosition="0">
        <references count="1">
          <reference field="4294967294" count="1">
            <x v="6"/>
          </reference>
        </references>
      </pivotArea>
    </format>
    <format dxfId="817">
      <pivotArea dataOnly="0" labelOnly="1" outline="0" fieldPosition="0">
        <references count="1">
          <reference field="4294967294" count="1">
            <x v="7"/>
          </reference>
        </references>
      </pivotArea>
    </format>
    <format dxfId="816">
      <pivotArea outline="0" collapsedLevelsAreSubtotals="1" fieldPosition="0">
        <references count="1">
          <reference field="4294967294" count="5" selected="0">
            <x v="3"/>
            <x v="4"/>
            <x v="5"/>
            <x v="6"/>
            <x v="7"/>
          </reference>
        </references>
      </pivotArea>
    </format>
    <format dxfId="815">
      <pivotArea dataOnly="0" labelOnly="1" outline="0" fieldPosition="0">
        <references count="1">
          <reference field="4294967294" count="1">
            <x v="9"/>
          </reference>
        </references>
      </pivotArea>
    </format>
    <format dxfId="814">
      <pivotArea dataOnly="0" labelOnly="1" outline="0" fieldPosition="0">
        <references count="1">
          <reference field="4294967294" count="1">
            <x v="8"/>
          </reference>
        </references>
      </pivotArea>
    </format>
    <format dxfId="813">
      <pivotArea collapsedLevelsAreSubtotals="1" fieldPosition="0">
        <references count="2">
          <reference field="4294967294" count="1" selected="0">
            <x v="8"/>
          </reference>
          <reference field="14" count="1">
            <x v="2"/>
          </reference>
        </references>
      </pivotArea>
    </format>
    <format dxfId="812">
      <pivotArea outline="0" fieldPosition="0">
        <references count="1">
          <reference field="4294967294" count="1">
            <x v="8"/>
          </reference>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3BBC8D-5167-4A2B-A725-68AF101482E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8" firstHeaderRow="1" firstDataRow="1" firstDataCol="1" rowPageCount="1" colPageCount="1"/>
  <pivotFields count="10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h="1" x="6"/>
        <item x="0"/>
        <item m="1" x="15"/>
        <item m="1" x="11"/>
        <item m="1" x="12"/>
        <item h="1" m="1" x="10"/>
        <item m="1" x="13"/>
        <item m="1" x="16"/>
        <item m="1" x="18"/>
        <item m="1" x="19"/>
        <item h="1" x="1"/>
        <item m="1" x="17"/>
        <item h="1" x="3"/>
        <item h="1" x="7"/>
        <item h="1" x="2"/>
        <item x="4"/>
        <item x="5"/>
        <item x="8"/>
        <item m="1" x="14"/>
        <item h="1" m="1" x="9"/>
        <item t="default"/>
      </items>
    </pivotField>
    <pivotField showAll="0"/>
    <pivotField showAll="0"/>
    <pivotField showAll="0"/>
    <pivotField axis="axisRow" showAll="0">
      <items count="166">
        <item m="1" x="160"/>
        <item x="82"/>
        <item m="1" x="155"/>
        <item x="98"/>
        <item m="1" x="143"/>
        <item x="26"/>
        <item m="1" x="152"/>
        <item x="56"/>
        <item x="27"/>
        <item m="1" x="139"/>
        <item x="76"/>
        <item x="15"/>
        <item x="24"/>
        <item x="39"/>
        <item x="34"/>
        <item m="1" x="138"/>
        <item x="68"/>
        <item m="1" x="145"/>
        <item m="1" x="150"/>
        <item m="1" x="140"/>
        <item x="31"/>
        <item x="63"/>
        <item x="74"/>
        <item x="83"/>
        <item x="48"/>
        <item x="25"/>
        <item x="47"/>
        <item x="37"/>
        <item x="16"/>
        <item x="110"/>
        <item x="42"/>
        <item x="59"/>
        <item x="60"/>
        <item x="0"/>
        <item x="122"/>
        <item x="11"/>
        <item m="1" x="144"/>
        <item x="29"/>
        <item x="1"/>
        <item x="121"/>
        <item m="1" x="146"/>
        <item x="120"/>
        <item m="1" x="156"/>
        <item x="113"/>
        <item x="23"/>
        <item x="44"/>
        <item x="124"/>
        <item x="99"/>
        <item x="119"/>
        <item x="54"/>
        <item x="107"/>
        <item x="50"/>
        <item x="49"/>
        <item x="123"/>
        <item x="111"/>
        <item x="21"/>
        <item x="92"/>
        <item x="52"/>
        <item x="2"/>
        <item x="22"/>
        <item x="35"/>
        <item m="1" x="164"/>
        <item x="106"/>
        <item x="88"/>
        <item x="100"/>
        <item x="101"/>
        <item x="103"/>
        <item m="1" x="159"/>
        <item x="94"/>
        <item x="89"/>
        <item m="1" x="161"/>
        <item x="104"/>
        <item x="105"/>
        <item x="72"/>
        <item x="57"/>
        <item x="58"/>
        <item m="1" x="154"/>
        <item x="118"/>
        <item x="46"/>
        <item x="93"/>
        <item x="114"/>
        <item m="1" x="157"/>
        <item m="1" x="141"/>
        <item x="38"/>
        <item x="53"/>
        <item x="65"/>
        <item x="64"/>
        <item m="1" x="162"/>
        <item x="45"/>
        <item x="79"/>
        <item x="12"/>
        <item x="19"/>
        <item m="1" x="153"/>
        <item x="17"/>
        <item x="18"/>
        <item x="10"/>
        <item x="55"/>
        <item x="67"/>
        <item x="40"/>
        <item x="71"/>
        <item x="73"/>
        <item m="1" x="158"/>
        <item x="70"/>
        <item x="43"/>
        <item x="66"/>
        <item x="33"/>
        <item m="1" x="149"/>
        <item x="32"/>
        <item x="102"/>
        <item x="77"/>
        <item x="78"/>
        <item x="13"/>
        <item x="14"/>
        <item x="80"/>
        <item x="115"/>
        <item x="108"/>
        <item x="109"/>
        <item x="96"/>
        <item x="95"/>
        <item x="127"/>
        <item x="41"/>
        <item x="117"/>
        <item m="1" x="136"/>
        <item x="86"/>
        <item x="84"/>
        <item m="1" x="163"/>
        <item m="1" x="151"/>
        <item m="1" x="147"/>
        <item x="3"/>
        <item x="4"/>
        <item x="6"/>
        <item x="7"/>
        <item x="5"/>
        <item x="8"/>
        <item x="9"/>
        <item x="87"/>
        <item x="81"/>
        <item x="85"/>
        <item x="97"/>
        <item x="112"/>
        <item x="126"/>
        <item x="90"/>
        <item x="91"/>
        <item m="1" x="142"/>
        <item x="36"/>
        <item x="51"/>
        <item x="125"/>
        <item x="20"/>
        <item x="62"/>
        <item x="129"/>
        <item x="116"/>
        <item m="1" x="148"/>
        <item x="30"/>
        <item x="130"/>
        <item x="131"/>
        <item x="132"/>
        <item m="1" x="137"/>
        <item x="133"/>
        <item x="135"/>
        <item x="28"/>
        <item x="61"/>
        <item x="75"/>
        <item x="69"/>
        <item x="134"/>
        <item x="12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numFmtId="167" showAll="0"/>
    <pivotField showAll="0"/>
  </pivotFields>
  <rowFields count="1">
    <field x="18"/>
  </rowFields>
  <rowItems count="95">
    <i>
      <x v="1"/>
    </i>
    <i>
      <x v="5"/>
    </i>
    <i>
      <x v="7"/>
    </i>
    <i>
      <x v="8"/>
    </i>
    <i>
      <x v="11"/>
    </i>
    <i>
      <x v="12"/>
    </i>
    <i>
      <x v="13"/>
    </i>
    <i>
      <x v="14"/>
    </i>
    <i>
      <x v="16"/>
    </i>
    <i>
      <x v="21"/>
    </i>
    <i>
      <x v="22"/>
    </i>
    <i>
      <x v="23"/>
    </i>
    <i>
      <x v="24"/>
    </i>
    <i>
      <x v="25"/>
    </i>
    <i>
      <x v="26"/>
    </i>
    <i>
      <x v="27"/>
    </i>
    <i>
      <x v="30"/>
    </i>
    <i>
      <x v="32"/>
    </i>
    <i>
      <x v="33"/>
    </i>
    <i>
      <x v="34"/>
    </i>
    <i>
      <x v="35"/>
    </i>
    <i>
      <x v="37"/>
    </i>
    <i>
      <x v="38"/>
    </i>
    <i>
      <x v="39"/>
    </i>
    <i>
      <x v="41"/>
    </i>
    <i>
      <x v="43"/>
    </i>
    <i>
      <x v="44"/>
    </i>
    <i>
      <x v="46"/>
    </i>
    <i>
      <x v="48"/>
    </i>
    <i>
      <x v="49"/>
    </i>
    <i>
      <x v="50"/>
    </i>
    <i>
      <x v="51"/>
    </i>
    <i>
      <x v="56"/>
    </i>
    <i>
      <x v="57"/>
    </i>
    <i>
      <x v="59"/>
    </i>
    <i>
      <x v="60"/>
    </i>
    <i>
      <x v="64"/>
    </i>
    <i>
      <x v="65"/>
    </i>
    <i>
      <x v="68"/>
    </i>
    <i>
      <x v="73"/>
    </i>
    <i>
      <x v="78"/>
    </i>
    <i>
      <x v="80"/>
    </i>
    <i>
      <x v="83"/>
    </i>
    <i>
      <x v="84"/>
    </i>
    <i>
      <x v="85"/>
    </i>
    <i>
      <x v="86"/>
    </i>
    <i>
      <x v="88"/>
    </i>
    <i>
      <x v="89"/>
    </i>
    <i>
      <x v="93"/>
    </i>
    <i>
      <x v="94"/>
    </i>
    <i>
      <x v="96"/>
    </i>
    <i>
      <x v="98"/>
    </i>
    <i>
      <x v="99"/>
    </i>
    <i>
      <x v="102"/>
    </i>
    <i>
      <x v="104"/>
    </i>
    <i>
      <x v="107"/>
    </i>
    <i>
      <x v="109"/>
    </i>
    <i>
      <x v="110"/>
    </i>
    <i>
      <x v="111"/>
    </i>
    <i>
      <x v="113"/>
    </i>
    <i>
      <x v="114"/>
    </i>
    <i>
      <x v="115"/>
    </i>
    <i>
      <x v="116"/>
    </i>
    <i>
      <x v="118"/>
    </i>
    <i>
      <x v="119"/>
    </i>
    <i>
      <x v="120"/>
    </i>
    <i>
      <x v="121"/>
    </i>
    <i>
      <x v="123"/>
    </i>
    <i>
      <x v="128"/>
    </i>
    <i>
      <x v="129"/>
    </i>
    <i>
      <x v="130"/>
    </i>
    <i>
      <x v="131"/>
    </i>
    <i>
      <x v="132"/>
    </i>
    <i>
      <x v="133"/>
    </i>
    <i>
      <x v="134"/>
    </i>
    <i>
      <x v="135"/>
    </i>
    <i>
      <x v="136"/>
    </i>
    <i>
      <x v="137"/>
    </i>
    <i>
      <x v="141"/>
    </i>
    <i>
      <x v="142"/>
    </i>
    <i>
      <x v="144"/>
    </i>
    <i>
      <x v="147"/>
    </i>
    <i>
      <x v="150"/>
    </i>
    <i>
      <x v="152"/>
    </i>
    <i>
      <x v="153"/>
    </i>
    <i>
      <x v="154"/>
    </i>
    <i>
      <x v="155"/>
    </i>
    <i>
      <x v="157"/>
    </i>
    <i>
      <x v="158"/>
    </i>
    <i>
      <x v="159"/>
    </i>
    <i>
      <x v="160"/>
    </i>
    <i>
      <x v="161"/>
    </i>
    <i>
      <x v="162"/>
    </i>
    <i>
      <x v="164"/>
    </i>
    <i t="grand">
      <x/>
    </i>
  </rowItems>
  <colItems count="1">
    <i/>
  </colItems>
  <pageFields count="1">
    <pageField fld="14" hier="-1"/>
  </pageFields>
  <dataFields count="1">
    <dataField name="Sum of Per Month Reagent Commitment" fld="27" baseField="0" baseItem="0" numFmtId="167"/>
  </dataFields>
  <formats count="2">
    <format dxfId="656">
      <pivotArea outline="0" collapsedLevelsAreSubtotals="1" fieldPosition="0"/>
    </format>
    <format dxfId="6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A24CD3-DFC0-4853-89EA-E69078C96537}"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8:L32" firstHeaderRow="0" firstDataRow="1" firstDataCol="3" rowPageCount="1" colPageCount="1"/>
  <pivotFields count="98">
    <pivotField axis="axisRow" compact="0" outline="0" showAll="0" sortType="descending" defaultSubtotal="0">
      <items count="10">
        <item h="1" x="3"/>
        <item h="1" x="5"/>
        <item h="1" x="7"/>
        <item h="1" x="9"/>
        <item x="6"/>
        <item h="1" x="2"/>
        <item h="1" x="4"/>
        <item h="1" x="1"/>
        <item h="1" x="0"/>
        <item h="1" x="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0">
        <item h="1" x="6"/>
        <item x="0"/>
        <item h="1" x="1"/>
        <item h="1" x="3"/>
        <item h="1" x="7"/>
        <item h="1" x="2"/>
        <item h="1" m="1" x="9"/>
        <item x="4"/>
        <item x="5"/>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39">
        <item x="82"/>
        <item x="98"/>
        <item x="26"/>
        <item x="56"/>
        <item x="27"/>
        <item m="1" x="138"/>
        <item x="76"/>
        <item x="15"/>
        <item x="75"/>
        <item x="24"/>
        <item x="39"/>
        <item x="34"/>
        <item m="1" x="137"/>
        <item x="68"/>
        <item x="131"/>
        <item x="31"/>
        <item x="63"/>
        <item x="74"/>
        <item x="133"/>
        <item x="83"/>
        <item x="48"/>
        <item x="25"/>
        <item x="47"/>
        <item x="37"/>
        <item x="16"/>
        <item x="110"/>
        <item x="42"/>
        <item x="59"/>
        <item x="60"/>
        <item x="0"/>
        <item x="122"/>
        <item x="11"/>
        <item x="29"/>
        <item x="1"/>
        <item x="121"/>
        <item x="30"/>
        <item x="28"/>
        <item x="120"/>
        <item x="113"/>
        <item x="23"/>
        <item x="44"/>
        <item x="124"/>
        <item x="99"/>
        <item x="119"/>
        <item x="54"/>
        <item x="107"/>
        <item x="50"/>
        <item x="49"/>
        <item x="123"/>
        <item x="111"/>
        <item x="21"/>
        <item x="92"/>
        <item x="52"/>
        <item x="2"/>
        <item x="22"/>
        <item x="130"/>
        <item x="35"/>
        <item x="106"/>
        <item x="88"/>
        <item x="100"/>
        <item x="101"/>
        <item x="103"/>
        <item x="94"/>
        <item x="89"/>
        <item x="104"/>
        <item x="105"/>
        <item x="72"/>
        <item x="57"/>
        <item x="58"/>
        <item x="118"/>
        <item x="46"/>
        <item m="1" x="136"/>
        <item x="93"/>
        <item x="114"/>
        <item x="132"/>
        <item x="61"/>
        <item x="38"/>
        <item x="53"/>
        <item x="65"/>
        <item x="64"/>
        <item x="45"/>
        <item x="79"/>
        <item x="12"/>
        <item x="19"/>
        <item x="17"/>
        <item x="18"/>
        <item x="10"/>
        <item x="55"/>
        <item x="67"/>
        <item x="40"/>
        <item x="135"/>
        <item x="71"/>
        <item x="73"/>
        <item x="70"/>
        <item x="43"/>
        <item x="66"/>
        <item x="33"/>
        <item x="32"/>
        <item x="102"/>
        <item x="77"/>
        <item x="78"/>
        <item x="13"/>
        <item x="14"/>
        <item x="80"/>
        <item x="115"/>
        <item x="108"/>
        <item x="109"/>
        <item x="96"/>
        <item x="95"/>
        <item x="127"/>
        <item x="41"/>
        <item x="117"/>
        <item x="128"/>
        <item x="86"/>
        <item x="84"/>
        <item x="3"/>
        <item x="4"/>
        <item x="6"/>
        <item x="7"/>
        <item x="5"/>
        <item x="8"/>
        <item x="9"/>
        <item x="87"/>
        <item x="81"/>
        <item x="85"/>
        <item x="97"/>
        <item x="112"/>
        <item x="126"/>
        <item x="90"/>
        <item x="91"/>
        <item x="36"/>
        <item x="51"/>
        <item x="125"/>
        <item x="20"/>
        <item x="62"/>
        <item x="129"/>
        <item x="116"/>
        <item x="69"/>
        <item x="13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4">
        <item x="38"/>
        <item x="34"/>
        <item x="27"/>
        <item x="30"/>
        <item x="20"/>
        <item x="1"/>
        <item x="40"/>
        <item x="28"/>
        <item x="24"/>
        <item x="29"/>
        <item x="10"/>
        <item x="14"/>
        <item x="32"/>
        <item x="4"/>
        <item x="36"/>
        <item x="18"/>
        <item x="15"/>
        <item x="37"/>
        <item x="25"/>
        <item x="23"/>
        <item x="11"/>
        <item x="3"/>
        <item x="39"/>
        <item x="35"/>
        <item x="12"/>
        <item x="0"/>
        <item x="31"/>
        <item x="13"/>
        <item m="1" x="43"/>
        <item x="22"/>
        <item x="19"/>
        <item x="17"/>
        <item x="21"/>
        <item m="1" x="42"/>
        <item m="1" x="41"/>
        <item x="5"/>
        <item x="7"/>
        <item x="16"/>
        <item x="9"/>
        <item x="6"/>
        <item x="33"/>
        <item x="8"/>
        <item x="26"/>
        <item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16"/>
    <field x="52"/>
  </rowFields>
  <rowItems count="4">
    <i>
      <x v="4"/>
      <x v="108"/>
      <x v="11"/>
    </i>
    <i r="1">
      <x v="44"/>
      <x v="10"/>
    </i>
    <i r="1">
      <x v="3"/>
      <x v="11"/>
    </i>
    <i r="1">
      <x v="17"/>
      <x v="15"/>
    </i>
  </rowItems>
  <colFields count="1">
    <field x="-2"/>
  </colFields>
  <colItems count="9">
    <i>
      <x/>
    </i>
    <i i="1">
      <x v="1"/>
    </i>
    <i i="2">
      <x v="2"/>
    </i>
    <i i="3">
      <x v="3"/>
    </i>
    <i i="4">
      <x v="4"/>
    </i>
    <i i="5">
      <x v="5"/>
    </i>
    <i i="6">
      <x v="6"/>
    </i>
    <i i="7">
      <x v="7"/>
    </i>
    <i i="8">
      <x v="8"/>
    </i>
  </colItems>
  <pageFields count="1">
    <pageField fld="12" hier="-1"/>
  </pageFields>
  <dataFields count="9">
    <dataField name="Total Investment" fld="23" baseField="0" baseItem="0" numFmtId="167"/>
    <dataField name="Total Reagent Sales" fld="88" baseField="0" baseItem="0"/>
    <dataField name=" Per Month Reagent Commitment" fld="25" baseField="0" baseItem="0"/>
    <dataField name=" Sep-25" fld="77" baseField="0" baseItem="0"/>
    <dataField name=" Oct-25" fld="78" baseField="0" baseItem="0"/>
    <dataField name=" Nov-25" fld="79" baseField="0" baseItem="0"/>
    <dataField name=" Dec-25" fld="80" baseField="0" baseItem="0"/>
    <dataField name=" Jan-26" fld="82" baseField="0" baseItem="0"/>
    <dataField name=" Feb-26" fld="83" baseField="0" baseItem="0"/>
  </dataFields>
  <formats count="19">
    <format dxfId="527">
      <pivotArea outline="0" collapsedLevelsAreSubtotals="1" fieldPosition="0"/>
    </format>
    <format dxfId="526">
      <pivotArea dataOnly="0" labelOnly="1" outline="0" fieldPosition="0">
        <references count="1">
          <reference field="4294967294" count="1">
            <x v="2"/>
          </reference>
        </references>
      </pivotArea>
    </format>
    <format dxfId="525">
      <pivotArea field="0" type="button" dataOnly="0" labelOnly="1" outline="0" axis="axisRow" fieldPosition="0"/>
    </format>
    <format dxfId="524">
      <pivotArea field="16" type="button" dataOnly="0" labelOnly="1" outline="0" axis="axisRow" fieldPosition="1"/>
    </format>
    <format dxfId="523">
      <pivotArea dataOnly="0" labelOnly="1" outline="0" fieldPosition="0">
        <references count="1">
          <reference field="4294967294" count="3">
            <x v="0"/>
            <x v="1"/>
            <x v="2"/>
          </reference>
        </references>
      </pivotArea>
    </format>
    <format dxfId="522">
      <pivotArea field="0" type="button" dataOnly="0" labelOnly="1" outline="0" axis="axisRow" fieldPosition="0"/>
    </format>
    <format dxfId="521">
      <pivotArea field="16" type="button" dataOnly="0" labelOnly="1" outline="0" axis="axisRow" fieldPosition="1"/>
    </format>
    <format dxfId="520">
      <pivotArea dataOnly="0" labelOnly="1" outline="0" fieldPosition="0">
        <references count="1">
          <reference field="4294967294" count="3">
            <x v="0"/>
            <x v="1"/>
            <x v="2"/>
          </reference>
        </references>
      </pivotArea>
    </format>
    <format dxfId="519">
      <pivotArea outline="0" fieldPosition="0">
        <references count="4">
          <reference field="4294967294" count="1" selected="0">
            <x v="0"/>
          </reference>
          <reference field="0" count="1" selected="0">
            <x v="5"/>
          </reference>
          <reference field="16" count="1" selected="0">
            <x v="28"/>
          </reference>
          <reference field="52" count="1" selected="0">
            <x v="27"/>
          </reference>
        </references>
      </pivotArea>
    </format>
    <format dxfId="518">
      <pivotArea outline="0" fieldPosition="0">
        <references count="4">
          <reference field="4294967294" count="1" selected="0">
            <x v="0"/>
          </reference>
          <reference field="0" count="1" selected="0">
            <x v="5"/>
          </reference>
          <reference field="16" count="1" selected="0">
            <x v="76"/>
          </reference>
          <reference field="52" count="1" selected="0">
            <x v="15"/>
          </reference>
        </references>
      </pivotArea>
    </format>
    <format dxfId="517">
      <pivotArea outline="0" fieldPosition="0">
        <references count="4">
          <reference field="4294967294" count="1" selected="0">
            <x v="0"/>
          </reference>
          <reference field="0" count="1" selected="0">
            <x v="5"/>
          </reference>
          <reference field="16" count="1" selected="0">
            <x v="104"/>
          </reference>
          <reference field="52" count="1" selected="0">
            <x v="11"/>
          </reference>
        </references>
      </pivotArea>
    </format>
    <format dxfId="516">
      <pivotArea outline="0" fieldPosition="0">
        <references count="4">
          <reference field="4294967294" count="1" selected="0">
            <x v="0"/>
          </reference>
          <reference field="0" count="1" selected="0">
            <x v="5"/>
          </reference>
          <reference field="16" count="1" selected="0">
            <x v="73"/>
          </reference>
          <reference field="52" count="1" selected="0">
            <x v="11"/>
          </reference>
        </references>
      </pivotArea>
    </format>
    <format dxfId="515">
      <pivotArea outline="0" fieldPosition="0">
        <references count="4">
          <reference field="4294967294" count="1" selected="0">
            <x v="0"/>
          </reference>
          <reference field="0" count="1" selected="0">
            <x v="5"/>
          </reference>
          <reference field="16" count="1" selected="0">
            <x v="97"/>
          </reference>
          <reference field="52" count="1" selected="0">
            <x v="37"/>
          </reference>
        </references>
      </pivotArea>
    </format>
    <format dxfId="514">
      <pivotArea outline="0" fieldPosition="0">
        <references count="4">
          <reference field="4294967294" count="1" selected="0">
            <x v="0"/>
          </reference>
          <reference field="0" count="1" selected="0">
            <x v="5"/>
          </reference>
          <reference field="16" count="1" selected="0">
            <x v="38"/>
          </reference>
          <reference field="52" count="1" selected="0">
            <x v="11"/>
          </reference>
        </references>
      </pivotArea>
    </format>
    <format dxfId="513">
      <pivotArea outline="0" fieldPosition="0">
        <references count="4">
          <reference field="4294967294" count="1" selected="0">
            <x v="0"/>
          </reference>
          <reference field="0" count="1" selected="0">
            <x v="5"/>
          </reference>
          <reference field="16" count="1" selected="0">
            <x v="136"/>
          </reference>
          <reference field="52" count="1" selected="0">
            <x v="11"/>
          </reference>
        </references>
      </pivotArea>
    </format>
    <format dxfId="512">
      <pivotArea outline="0" fieldPosition="0">
        <references count="4">
          <reference field="4294967294" count="1" selected="0">
            <x v="0"/>
          </reference>
          <reference field="0" count="1" selected="0">
            <x v="5"/>
          </reference>
          <reference field="16" count="1" selected="0">
            <x v="106"/>
          </reference>
          <reference field="52" count="1" selected="0">
            <x v="11"/>
          </reference>
        </references>
      </pivotArea>
    </format>
    <format dxfId="511">
      <pivotArea outline="0" fieldPosition="0">
        <references count="4">
          <reference field="4294967294" count="1" selected="0">
            <x v="0"/>
          </reference>
          <reference field="0" count="1" selected="0">
            <x v="5"/>
          </reference>
          <reference field="16" count="1" selected="0">
            <x v="89"/>
          </reference>
          <reference field="52" count="1" selected="0">
            <x v="27"/>
          </reference>
        </references>
      </pivotArea>
    </format>
    <format dxfId="510">
      <pivotArea outline="0" fieldPosition="0">
        <references count="4">
          <reference field="4294967294" count="1" selected="0">
            <x v="0"/>
          </reference>
          <reference field="0" count="1" selected="0">
            <x v="5"/>
          </reference>
          <reference field="16" count="1" selected="0">
            <x v="9"/>
          </reference>
          <reference field="52" count="1" selected="0">
            <x v="27"/>
          </reference>
        </references>
      </pivotArea>
    </format>
    <format dxfId="509">
      <pivotArea outline="0" fieldPosition="0">
        <references count="4">
          <reference field="4294967294" count="1" selected="0">
            <x v="0"/>
          </reference>
          <reference field="0" count="1" selected="0">
            <x v="5"/>
          </reference>
          <reference field="16" count="1" selected="0">
            <x v="76"/>
          </reference>
          <reference field="52" count="1" selected="0">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703A2C-CFCA-48D5-9AF4-94EB217B2D3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D7" firstHeaderRow="0" firstDataRow="1" firstDataCol="1" rowPageCount="1" colPageCount="1"/>
  <pivotFields count="10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m="1" x="15"/>
        <item h="1" x="2"/>
        <item h="1" x="3"/>
        <item x="5"/>
        <item m="1" x="17"/>
        <item x="0"/>
        <item h="1" m="1" x="14"/>
        <item h="1" x="1"/>
        <item h="1" m="1" x="18"/>
        <item h="1" m="1" x="19"/>
        <item h="1" m="1" x="16"/>
        <item h="1" m="1" x="11"/>
        <item h="1" m="1" x="12"/>
        <item h="1" m="1" x="10"/>
        <item h="1" x="7"/>
        <item x="8"/>
        <item m="1" x="13"/>
        <item x="4"/>
        <item h="1" x="6"/>
        <item h="1" m="1" x="9"/>
        <item t="default"/>
      </items>
    </pivotField>
    <pivotField axis="axisRow" showAll="0" sortType="descending">
      <items count="7">
        <item x="1"/>
        <item x="2"/>
        <item x="0"/>
        <item m="1" x="5"/>
        <item m="1"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numFmtId="167" showAll="0"/>
    <pivotField showAll="0"/>
  </pivotFields>
  <rowFields count="1">
    <field x="15"/>
  </rowFields>
  <rowItems count="4">
    <i>
      <x v="2"/>
    </i>
    <i>
      <x/>
    </i>
    <i>
      <x v="1"/>
    </i>
    <i t="grand">
      <x/>
    </i>
  </rowItems>
  <colFields count="1">
    <field x="-2"/>
  </colFields>
  <colItems count="3">
    <i>
      <x/>
    </i>
    <i i="1">
      <x v="1"/>
    </i>
    <i i="2">
      <x v="2"/>
    </i>
  </colItems>
  <pageFields count="1">
    <pageField fld="14" hier="-1"/>
  </pageFields>
  <dataFields count="3">
    <dataField name="Number of Machines" fld="3" subtotal="count" baseField="0" baseItem="0"/>
    <dataField name="Total Investment" fld="25" baseField="3" baseItem="0" numFmtId="167"/>
    <dataField name="Total Reagent Sales" fld="90" baseField="0" baseItem="0" numFmtId="167"/>
  </dataFields>
  <formats count="25">
    <format dxfId="552">
      <pivotArea outline="0" collapsedLevelsAreSubtotals="1" fieldPosition="0">
        <references count="1">
          <reference field="4294967294" count="2" selected="0">
            <x v="1"/>
            <x v="2"/>
          </reference>
        </references>
      </pivotArea>
    </format>
    <format dxfId="551">
      <pivotArea field="15" type="button" dataOnly="0" labelOnly="1" outline="0" axis="axisRow" fieldPosition="0"/>
    </format>
    <format dxfId="550">
      <pivotArea dataOnly="0" labelOnly="1" outline="0" fieldPosition="0">
        <references count="1">
          <reference field="4294967294" count="3">
            <x v="0"/>
            <x v="1"/>
            <x v="2"/>
          </reference>
        </references>
      </pivotArea>
    </format>
    <format dxfId="549">
      <pivotArea field="15" type="button" dataOnly="0" labelOnly="1" outline="0" axis="axisRow" fieldPosition="0"/>
    </format>
    <format dxfId="548">
      <pivotArea dataOnly="0" labelOnly="1" outline="0" fieldPosition="0">
        <references count="1">
          <reference field="4294967294" count="3">
            <x v="0"/>
            <x v="1"/>
            <x v="2"/>
          </reference>
        </references>
      </pivotArea>
    </format>
    <format dxfId="547">
      <pivotArea field="15" type="button" dataOnly="0" labelOnly="1" outline="0" axis="axisRow" fieldPosition="0"/>
    </format>
    <format dxfId="546">
      <pivotArea dataOnly="0" labelOnly="1" outline="0" fieldPosition="0">
        <references count="1">
          <reference field="4294967294" count="3">
            <x v="0"/>
            <x v="1"/>
            <x v="2"/>
          </reference>
        </references>
      </pivotArea>
    </format>
    <format dxfId="545">
      <pivotArea field="15" type="button" dataOnly="0" labelOnly="1" outline="0" axis="axisRow" fieldPosition="0"/>
    </format>
    <format dxfId="544">
      <pivotArea dataOnly="0" labelOnly="1" outline="0" fieldPosition="0">
        <references count="1">
          <reference field="4294967294" count="3">
            <x v="0"/>
            <x v="1"/>
            <x v="2"/>
          </reference>
        </references>
      </pivotArea>
    </format>
    <format dxfId="543">
      <pivotArea grandRow="1" outline="0" collapsedLevelsAreSubtotals="1" fieldPosition="0"/>
    </format>
    <format dxfId="542">
      <pivotArea dataOnly="0" labelOnly="1" grandRow="1" outline="0" fieldPosition="0"/>
    </format>
    <format dxfId="541">
      <pivotArea field="15" type="button" dataOnly="0" labelOnly="1" outline="0" axis="axisRow" fieldPosition="0"/>
    </format>
    <format dxfId="540">
      <pivotArea dataOnly="0" labelOnly="1" outline="0" fieldPosition="0">
        <references count="1">
          <reference field="4294967294" count="3">
            <x v="0"/>
            <x v="1"/>
            <x v="2"/>
          </reference>
        </references>
      </pivotArea>
    </format>
    <format dxfId="539">
      <pivotArea field="15" type="button" dataOnly="0" labelOnly="1" outline="0" axis="axisRow" fieldPosition="0"/>
    </format>
    <format dxfId="538">
      <pivotArea dataOnly="0" labelOnly="1" outline="0" fieldPosition="0">
        <references count="1">
          <reference field="4294967294" count="3">
            <x v="0"/>
            <x v="1"/>
            <x v="2"/>
          </reference>
        </references>
      </pivotArea>
    </format>
    <format dxfId="537">
      <pivotArea field="15" type="button" dataOnly="0" labelOnly="1" outline="0" axis="axisRow" fieldPosition="0"/>
    </format>
    <format dxfId="536">
      <pivotArea dataOnly="0" labelOnly="1" outline="0" fieldPosition="0">
        <references count="1">
          <reference field="4294967294" count="3">
            <x v="0"/>
            <x v="1"/>
            <x v="2"/>
          </reference>
        </references>
      </pivotArea>
    </format>
    <format dxfId="535">
      <pivotArea dataOnly="0" labelOnly="1" grandRow="1" outline="0" fieldPosition="0"/>
    </format>
    <format dxfId="534">
      <pivotArea grandRow="1" outline="0" collapsedLevelsAreSubtotals="1" fieldPosition="0"/>
    </format>
    <format dxfId="533">
      <pivotArea field="15" grandRow="1" outline="0" collapsedLevelsAreSubtotals="1" axis="axisRow" fieldPosition="0">
        <references count="1">
          <reference field="4294967294" count="3" selected="0">
            <x v="0"/>
            <x v="1"/>
            <x v="2"/>
          </reference>
        </references>
      </pivotArea>
    </format>
    <format dxfId="532">
      <pivotArea dataOnly="0" labelOnly="1" grandRow="1" outline="0" fieldPosition="0"/>
    </format>
    <format dxfId="531">
      <pivotArea field="15" grandRow="1" outline="0" collapsedLevelsAreSubtotals="1" axis="axisRow" fieldPosition="0">
        <references count="1">
          <reference field="4294967294" count="3" selected="0">
            <x v="0"/>
            <x v="1"/>
            <x v="2"/>
          </reference>
        </references>
      </pivotArea>
    </format>
    <format dxfId="530">
      <pivotArea dataOnly="0" labelOnly="1" grandRow="1" outline="0" fieldPosition="0"/>
    </format>
    <format dxfId="529">
      <pivotArea field="15" grandRow="1" outline="0" collapsedLevelsAreSubtotals="1" axis="axisRow" fieldPosition="0">
        <references count="1">
          <reference field="4294967294" count="3" selected="0">
            <x v="0"/>
            <x v="1"/>
            <x v="2"/>
          </reference>
        </references>
      </pivotArea>
    </format>
    <format dxfId="528">
      <pivotArea field="15" grandRow="1" outline="0" collapsedLevelsAreSubtotals="1" axis="axisRow"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C1DCA5B-879D-4FFA-95BF-A0024E333710}" name="PivotTable7"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A11:D21" firstHeaderRow="0" firstDataRow="1" firstDataCol="1" rowPageCount="1" colPageCount="1"/>
  <pivotFields count="100">
    <pivotField showAll="0"/>
    <pivotField showAll="0"/>
    <pivotField axis="axisRow" showAll="0" sortType="descending">
      <items count="13">
        <item sd="0" x="3"/>
        <item sd="0" m="1" x="11"/>
        <item sd="0" x="7"/>
        <item sd="0" x="6"/>
        <item sd="0" x="2"/>
        <item sd="0" x="0"/>
        <item sd="0" x="4"/>
        <item sd="0" x="1"/>
        <item sd="0" x="5"/>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x="0"/>
        <item m="1" x="15"/>
        <item h="1" x="2"/>
        <item h="1" x="3"/>
        <item m="1" x="17"/>
        <item x="5"/>
        <item h="1" m="1" x="14"/>
        <item h="1" x="1"/>
        <item h="1" m="1" x="18"/>
        <item h="1" m="1" x="19"/>
        <item h="1" m="1" x="16"/>
        <item h="1" m="1" x="11"/>
        <item m="1" x="12"/>
        <item h="1" m="1" x="10"/>
        <item h="1" x="7"/>
        <item x="8"/>
        <item m="1" x="13"/>
        <item x="4"/>
        <item h="1" x="6"/>
        <item h="1" m="1" x="9"/>
        <item t="default"/>
      </items>
    </pivotField>
    <pivotField showAll="0"/>
    <pivotField multipleItemSelectionAllowe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numFmtId="167" showAll="0"/>
    <pivotField showAll="0"/>
  </pivotFields>
  <rowFields count="1">
    <field x="2"/>
  </rowFields>
  <rowItems count="10">
    <i>
      <x v="4"/>
    </i>
    <i>
      <x v="5"/>
    </i>
    <i>
      <x v="7"/>
    </i>
    <i>
      <x v="6"/>
    </i>
    <i>
      <x/>
    </i>
    <i>
      <x v="2"/>
    </i>
    <i>
      <x v="8"/>
    </i>
    <i>
      <x v="3"/>
    </i>
    <i>
      <x v="10"/>
    </i>
    <i t="grand">
      <x/>
    </i>
  </rowItems>
  <colFields count="1">
    <field x="-2"/>
  </colFields>
  <colItems count="3">
    <i>
      <x/>
    </i>
    <i i="1">
      <x v="1"/>
    </i>
    <i i="2">
      <x v="2"/>
    </i>
  </colItems>
  <pageFields count="1">
    <pageField fld="14" hier="-1"/>
  </pageFields>
  <dataFields count="3">
    <dataField name="Number of Machines" fld="3" subtotal="count" baseField="0" baseItem="0"/>
    <dataField name="Total Investment" fld="25" baseField="3" baseItem="0" numFmtId="167"/>
    <dataField name="Total Reagent Sales" fld="90" baseField="0" baseItem="0" numFmtId="167"/>
  </dataFields>
  <formats count="23">
    <format dxfId="575">
      <pivotArea outline="0" collapsedLevelsAreSubtotals="1" fieldPosition="0">
        <references count="1">
          <reference field="4294967294" count="2" selected="0">
            <x v="1"/>
            <x v="2"/>
          </reference>
        </references>
      </pivotArea>
    </format>
    <format dxfId="574">
      <pivotArea field="2" type="button" dataOnly="0" labelOnly="1" outline="0" axis="axisRow" fieldPosition="0"/>
    </format>
    <format dxfId="573">
      <pivotArea dataOnly="0" labelOnly="1" outline="0" fieldPosition="0">
        <references count="1">
          <reference field="4294967294" count="3">
            <x v="0"/>
            <x v="1"/>
            <x v="2"/>
          </reference>
        </references>
      </pivotArea>
    </format>
    <format dxfId="572">
      <pivotArea field="2" type="button" dataOnly="0" labelOnly="1" outline="0" axis="axisRow" fieldPosition="0"/>
    </format>
    <format dxfId="571">
      <pivotArea dataOnly="0" labelOnly="1" outline="0" fieldPosition="0">
        <references count="1">
          <reference field="4294967294" count="3">
            <x v="0"/>
            <x v="1"/>
            <x v="2"/>
          </reference>
        </references>
      </pivotArea>
    </format>
    <format dxfId="570">
      <pivotArea field="2" type="button" dataOnly="0" labelOnly="1" outline="0" axis="axisRow" fieldPosition="0"/>
    </format>
    <format dxfId="569">
      <pivotArea dataOnly="0" labelOnly="1" outline="0" fieldPosition="0">
        <references count="1">
          <reference field="4294967294" count="3">
            <x v="0"/>
            <x v="1"/>
            <x v="2"/>
          </reference>
        </references>
      </pivotArea>
    </format>
    <format dxfId="568">
      <pivotArea field="2" type="button" dataOnly="0" labelOnly="1" outline="0" axis="axisRow" fieldPosition="0"/>
    </format>
    <format dxfId="567">
      <pivotArea dataOnly="0" labelOnly="1" outline="0" fieldPosition="0">
        <references count="1">
          <reference field="4294967294" count="3">
            <x v="0"/>
            <x v="1"/>
            <x v="2"/>
          </reference>
        </references>
      </pivotArea>
    </format>
    <format dxfId="566">
      <pivotArea grandRow="1" outline="0" collapsedLevelsAreSubtotals="1" fieldPosition="0"/>
    </format>
    <format dxfId="565">
      <pivotArea dataOnly="0" labelOnly="1" grandRow="1" outline="0" fieldPosition="0"/>
    </format>
    <format dxfId="564">
      <pivotArea field="2" type="button" dataOnly="0" labelOnly="1" outline="0" axis="axisRow" fieldPosition="0"/>
    </format>
    <format dxfId="563">
      <pivotArea dataOnly="0" labelOnly="1" outline="0" fieldPosition="0">
        <references count="1">
          <reference field="4294967294" count="3">
            <x v="0"/>
            <x v="1"/>
            <x v="2"/>
          </reference>
        </references>
      </pivotArea>
    </format>
    <format dxfId="562">
      <pivotArea field="2" type="button" dataOnly="0" labelOnly="1" outline="0" axis="axisRow" fieldPosition="0"/>
    </format>
    <format dxfId="561">
      <pivotArea dataOnly="0" labelOnly="1" outline="0" fieldPosition="0">
        <references count="1">
          <reference field="4294967294" count="3">
            <x v="0"/>
            <x v="1"/>
            <x v="2"/>
          </reference>
        </references>
      </pivotArea>
    </format>
    <format dxfId="560">
      <pivotArea grandRow="1" outline="0" collapsedLevelsAreSubtotals="1" fieldPosition="0"/>
    </format>
    <format dxfId="559">
      <pivotArea dataOnly="0" labelOnly="1" grandRow="1" outline="0" fieldPosition="0"/>
    </format>
    <format dxfId="558">
      <pivotArea field="2" type="button" dataOnly="0" labelOnly="1" outline="0" axis="axisRow" fieldPosition="0"/>
    </format>
    <format dxfId="557">
      <pivotArea dataOnly="0" labelOnly="1" outline="0" fieldPosition="0">
        <references count="1">
          <reference field="4294967294" count="3">
            <x v="0"/>
            <x v="1"/>
            <x v="2"/>
          </reference>
        </references>
      </pivotArea>
    </format>
    <format dxfId="556">
      <pivotArea field="2" grandRow="1" outline="0" collapsedLevelsAreSubtotals="1" axis="axisRow" fieldPosition="0">
        <references count="1">
          <reference field="4294967294" count="3" selected="0">
            <x v="0"/>
            <x v="1"/>
            <x v="2"/>
          </reference>
        </references>
      </pivotArea>
    </format>
    <format dxfId="555">
      <pivotArea dataOnly="0" labelOnly="1" grandRow="1" outline="0" fieldPosition="0"/>
    </format>
    <format dxfId="554">
      <pivotArea field="2" grandRow="1" outline="0" collapsedLevelsAreSubtotals="1" axis="axisRow" fieldPosition="0">
        <references count="1">
          <reference field="4294967294" count="3" selected="0">
            <x v="0"/>
            <x v="1"/>
            <x v="2"/>
          </reference>
        </references>
      </pivotArea>
    </format>
    <format dxfId="55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9F22CF-AA72-492A-920C-F33D6BBA3307}" name="PivotTable5"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F3:P7" firstHeaderRow="0" firstDataRow="1" firstDataCol="1" rowPageCount="1" colPageCount="1"/>
  <pivotFields count="98">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0"/>
        <item h="1" x="2"/>
        <item h="1" x="3"/>
        <item x="5"/>
        <item h="1" x="1"/>
        <item h="1" x="7"/>
        <item x="8"/>
        <item x="4"/>
        <item h="1" x="6"/>
        <item h="1" m="1" x="9"/>
        <item t="default"/>
      </items>
    </pivotField>
    <pivotField axis="axisRow"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numFmtId="167" showAll="0"/>
    <pivotField dataField="1" showAll="0"/>
    <pivotField dataField="1" showAll="0"/>
    <pivotField showAll="0"/>
    <pivotField showAll="0"/>
    <pivotField numFmtId="167" showAll="0"/>
    <pivotField showAll="0"/>
    <pivotField dataField="1" showAll="0"/>
    <pivotField showAll="0"/>
    <pivotField showAll="0"/>
    <pivotField showAll="0"/>
    <pivotField showAll="0"/>
    <pivotField showAll="0"/>
    <pivotField showAll="0"/>
    <pivotField showAll="0"/>
    <pivotField numFmtId="167" showAll="0"/>
    <pivotField showAll="0"/>
  </pivotFields>
  <rowFields count="1">
    <field x="13"/>
  </rowFields>
  <rowItems count="4">
    <i>
      <x v="2"/>
    </i>
    <i>
      <x/>
    </i>
    <i>
      <x v="1"/>
    </i>
    <i t="grand">
      <x/>
    </i>
  </rowItems>
  <colFields count="1">
    <field x="-2"/>
  </colFields>
  <colItems count="10">
    <i>
      <x/>
    </i>
    <i i="1">
      <x v="1"/>
    </i>
    <i i="2">
      <x v="2"/>
    </i>
    <i i="3">
      <x v="3"/>
    </i>
    <i i="4">
      <x v="4"/>
    </i>
    <i i="5">
      <x v="5"/>
    </i>
    <i i="6">
      <x v="6"/>
    </i>
    <i i="7">
      <x v="7"/>
    </i>
    <i i="8">
      <x v="8"/>
    </i>
    <i i="9">
      <x v="9"/>
    </i>
  </colItems>
  <pageFields count="1">
    <pageField fld="12" hier="-1"/>
  </pageFields>
  <dataFields count="10">
    <dataField name="No.of Machine Name" fld="1" subtotal="count" baseField="0" baseItem="0"/>
    <dataField name="Total Investment" fld="23" baseField="3" baseItem="0" numFmtId="167"/>
    <dataField name="Total Reagent Sales" fld="88" baseField="0" baseItem="0" numFmtId="167"/>
    <dataField name="Per Month Commitment" fld="25" baseField="0" baseItem="0" numFmtId="167"/>
    <dataField name="Sep-25." fld="77" baseField="0" baseItem="0" numFmtId="167"/>
    <dataField name="Oct-25." fld="78" baseField="0" baseItem="0" numFmtId="167"/>
    <dataField name="Nov-25." fld="79" baseField="0" baseItem="0" numFmtId="167"/>
    <dataField name="Dec-25." fld="80" baseField="0" baseItem="0" numFmtId="167"/>
    <dataField name="Jan-26." fld="82" baseField="0" baseItem="0" numFmtId="167"/>
    <dataField name=" Feb-26." fld="83" baseField="0" baseItem="0" numFmtId="3"/>
  </dataFields>
  <formats count="35">
    <format dxfId="610">
      <pivotArea outline="0" collapsedLevelsAreSubtotals="1" fieldPosition="0">
        <references count="1">
          <reference field="4294967294" count="1" selected="0">
            <x v="1"/>
          </reference>
        </references>
      </pivotArea>
    </format>
    <format dxfId="609">
      <pivotArea field="13" type="button" dataOnly="0" labelOnly="1" outline="0" axis="axisRow" fieldPosition="0"/>
    </format>
    <format dxfId="608">
      <pivotArea dataOnly="0" labelOnly="1" outline="0" fieldPosition="0">
        <references count="1">
          <reference field="4294967294" count="2">
            <x v="0"/>
            <x v="1"/>
          </reference>
        </references>
      </pivotArea>
    </format>
    <format dxfId="607">
      <pivotArea field="13" type="button" dataOnly="0" labelOnly="1" outline="0" axis="axisRow" fieldPosition="0"/>
    </format>
    <format dxfId="606">
      <pivotArea dataOnly="0" labelOnly="1" outline="0" fieldPosition="0">
        <references count="1">
          <reference field="4294967294" count="2">
            <x v="0"/>
            <x v="1"/>
          </reference>
        </references>
      </pivotArea>
    </format>
    <format dxfId="605">
      <pivotArea field="13" type="button" dataOnly="0" labelOnly="1" outline="0" axis="axisRow" fieldPosition="0"/>
    </format>
    <format dxfId="604">
      <pivotArea dataOnly="0" labelOnly="1" outline="0" fieldPosition="0">
        <references count="1">
          <reference field="4294967294" count="2">
            <x v="0"/>
            <x v="1"/>
          </reference>
        </references>
      </pivotArea>
    </format>
    <format dxfId="603">
      <pivotArea field="13" type="button" dataOnly="0" labelOnly="1" outline="0" axis="axisRow" fieldPosition="0"/>
    </format>
    <format dxfId="602">
      <pivotArea dataOnly="0" labelOnly="1" outline="0" fieldPosition="0">
        <references count="1">
          <reference field="4294967294" count="2">
            <x v="0"/>
            <x v="1"/>
          </reference>
        </references>
      </pivotArea>
    </format>
    <format dxfId="601">
      <pivotArea grandRow="1" outline="0" collapsedLevelsAreSubtotals="1" fieldPosition="0"/>
    </format>
    <format dxfId="600">
      <pivotArea dataOnly="0" labelOnly="1" grandRow="1" outline="0" fieldPosition="0"/>
    </format>
    <format dxfId="599">
      <pivotArea field="13" type="button" dataOnly="0" labelOnly="1" outline="0" axis="axisRow" fieldPosition="0"/>
    </format>
    <format dxfId="598">
      <pivotArea dataOnly="0" labelOnly="1" outline="0" fieldPosition="0">
        <references count="1">
          <reference field="4294967294" count="2">
            <x v="0"/>
            <x v="1"/>
          </reference>
        </references>
      </pivotArea>
    </format>
    <format dxfId="597">
      <pivotArea dataOnly="0" labelOnly="1" outline="0" fieldPosition="0">
        <references count="1">
          <reference field="4294967294" count="1">
            <x v="3"/>
          </reference>
        </references>
      </pivotArea>
    </format>
    <format dxfId="596">
      <pivotArea outline="0" collapsedLevelsAreSubtotals="1" fieldPosition="0">
        <references count="1">
          <reference field="4294967294" count="1" selected="0">
            <x v="3"/>
          </reference>
        </references>
      </pivotArea>
    </format>
    <format dxfId="595">
      <pivotArea field="13" type="button" dataOnly="0" labelOnly="1" outline="0" axis="axisRow" fieldPosition="0"/>
    </format>
    <format dxfId="594">
      <pivotArea dataOnly="0" labelOnly="1" outline="0" fieldPosition="0">
        <references count="1">
          <reference field="4294967294" count="3">
            <x v="0"/>
            <x v="1"/>
            <x v="3"/>
          </reference>
        </references>
      </pivotArea>
    </format>
    <format dxfId="593">
      <pivotArea grandRow="1" outline="0" collapsedLevelsAreSubtotals="1" fieldPosition="0"/>
    </format>
    <format dxfId="592">
      <pivotArea dataOnly="0" labelOnly="1" grandRow="1" outline="0" fieldPosition="0"/>
    </format>
    <format dxfId="591">
      <pivotArea field="13" type="button" dataOnly="0" labelOnly="1" outline="0" axis="axisRow" fieldPosition="0"/>
    </format>
    <format dxfId="590">
      <pivotArea dataOnly="0" labelOnly="1" outline="0" fieldPosition="0">
        <references count="1">
          <reference field="4294967294" count="3">
            <x v="0"/>
            <x v="1"/>
            <x v="3"/>
          </reference>
        </references>
      </pivotArea>
    </format>
    <format dxfId="589">
      <pivotArea grandRow="1" outline="0" collapsedLevelsAreSubtotals="1" fieldPosition="0"/>
    </format>
    <format dxfId="588">
      <pivotArea dataOnly="0" labelOnly="1" grandRow="1" outline="0" fieldPosition="0"/>
    </format>
    <format dxfId="587">
      <pivotArea dataOnly="0" labelOnly="1" outline="0" fieldPosition="0">
        <references count="1">
          <reference field="4294967294" count="1">
            <x v="4"/>
          </reference>
        </references>
      </pivotArea>
    </format>
    <format dxfId="586">
      <pivotArea dataOnly="0" labelOnly="1" outline="0" fieldPosition="0">
        <references count="1">
          <reference field="4294967294" count="1">
            <x v="5"/>
          </reference>
        </references>
      </pivotArea>
    </format>
    <format dxfId="585">
      <pivotArea dataOnly="0" labelOnly="1" outline="0" fieldPosition="0">
        <references count="1">
          <reference field="4294967294" count="1">
            <x v="6"/>
          </reference>
        </references>
      </pivotArea>
    </format>
    <format dxfId="584">
      <pivotArea dataOnly="0" labelOnly="1" outline="0" fieldPosition="0">
        <references count="1">
          <reference field="4294967294" count="1">
            <x v="7"/>
          </reference>
        </references>
      </pivotArea>
    </format>
    <format dxfId="583">
      <pivotArea dataOnly="0" labelOnly="1" outline="0" fieldPosition="0">
        <references count="1">
          <reference field="4294967294" count="1">
            <x v="8"/>
          </reference>
        </references>
      </pivotArea>
    </format>
    <format dxfId="582">
      <pivotArea outline="0" collapsedLevelsAreSubtotals="1" fieldPosition="0">
        <references count="1">
          <reference field="4294967294" count="5" selected="0">
            <x v="4"/>
            <x v="5"/>
            <x v="6"/>
            <x v="7"/>
            <x v="8"/>
          </reference>
        </references>
      </pivotArea>
    </format>
    <format dxfId="581">
      <pivotArea dataOnly="0" labelOnly="1" outline="0" fieldPosition="0">
        <references count="1">
          <reference field="4294967294" count="1">
            <x v="9"/>
          </reference>
        </references>
      </pivotArea>
    </format>
    <format dxfId="580">
      <pivotArea collapsedLevelsAreSubtotals="1" fieldPosition="0">
        <references count="2">
          <reference field="4294967294" count="1" selected="0">
            <x v="9"/>
          </reference>
          <reference field="13" count="1">
            <x v="2"/>
          </reference>
        </references>
      </pivotArea>
    </format>
    <format dxfId="579">
      <pivotArea dataOnly="0" labelOnly="1" outline="0" fieldPosition="0">
        <references count="1">
          <reference field="4294967294" count="1">
            <x v="2"/>
          </reference>
        </references>
      </pivotArea>
    </format>
    <format dxfId="578">
      <pivotArea outline="0" collapsedLevelsAreSubtotals="1" fieldPosition="0">
        <references count="1">
          <reference field="4294967294" count="1" selected="0">
            <x v="2"/>
          </reference>
        </references>
      </pivotArea>
    </format>
    <format dxfId="577">
      <pivotArea dataOnly="0" labelOnly="1" outline="0" fieldPosition="0">
        <references count="1">
          <reference field="4294967294" count="1">
            <x v="2"/>
          </reference>
        </references>
      </pivotArea>
    </format>
    <format dxfId="576">
      <pivotArea outline="0" fieldPosition="0">
        <references count="1">
          <reference field="4294967294" count="1">
            <x v="9"/>
          </reference>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C99DB4-4586-4CAF-896E-6B7531D133C8}" name="PivotTable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F11:P21" firstHeaderRow="0" firstDataRow="1" firstDataCol="1" rowPageCount="1" colPageCount="1"/>
  <pivotFields count="99">
    <pivotField showAll="0"/>
    <pivotField axis="axisRow" showAll="0" sortType="descending">
      <items count="12">
        <item sd="0" x="1"/>
        <item sd="0" x="3"/>
        <item sd="0" x="0"/>
        <item sd="0" x="5"/>
        <item sd="0" x="2"/>
        <item sd="0" x="7"/>
        <item sd="0" x="6"/>
        <item sd="0" x="4"/>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x="0"/>
        <item h="1" x="2"/>
        <item h="1" x="3"/>
        <item m="1" x="16"/>
        <item x="5"/>
        <item h="1" x="1"/>
        <item h="1" m="1" x="15"/>
        <item h="1" m="1" x="14"/>
        <item h="1" m="1" x="10"/>
        <item h="1" m="1" x="11"/>
        <item m="1" x="12"/>
        <item h="1" x="7"/>
        <item x="8"/>
        <item m="1" x="13"/>
        <item x="4"/>
        <item h="1" x="6"/>
        <item h="1" m="1" x="9"/>
        <item t="default"/>
      </items>
    </pivotField>
    <pivotField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multipleItemSelectionAllowed="1"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numFmtId="167" showAll="0"/>
    <pivotField dataField="1" showAll="0"/>
    <pivotField dataField="1"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numFmtId="167" showAll="0"/>
    <pivotField showAll="0"/>
  </pivotFields>
  <rowFields count="1">
    <field x="1"/>
  </rowFields>
  <rowItems count="10">
    <i>
      <x v="4"/>
    </i>
    <i>
      <x v="2"/>
    </i>
    <i>
      <x/>
    </i>
    <i>
      <x v="7"/>
    </i>
    <i>
      <x v="1"/>
    </i>
    <i>
      <x v="5"/>
    </i>
    <i>
      <x v="3"/>
    </i>
    <i>
      <x v="6"/>
    </i>
    <i>
      <x v="9"/>
    </i>
    <i t="grand">
      <x/>
    </i>
  </rowItems>
  <colFields count="1">
    <field x="-2"/>
  </colFields>
  <colItems count="10">
    <i>
      <x/>
    </i>
    <i i="1">
      <x v="1"/>
    </i>
    <i i="2">
      <x v="2"/>
    </i>
    <i i="3">
      <x v="3"/>
    </i>
    <i i="4">
      <x v="4"/>
    </i>
    <i i="5">
      <x v="5"/>
    </i>
    <i i="6">
      <x v="6"/>
    </i>
    <i i="7">
      <x v="7"/>
    </i>
    <i i="8">
      <x v="8"/>
    </i>
    <i i="9">
      <x v="9"/>
    </i>
  </colItems>
  <pageFields count="1">
    <pageField fld="13" hier="-1"/>
  </pageFields>
  <dataFields count="10">
    <dataField name="No.of Machine Name" fld="2" subtotal="count" baseField="0" baseItem="0"/>
    <dataField name="Total Investment" fld="24" baseField="3" baseItem="0" numFmtId="167"/>
    <dataField name="Total Reagent Sales" fld="89" baseField="0" baseItem="0" numFmtId="167"/>
    <dataField name="Per Month Commitment" fld="26" baseField="0" baseItem="0" numFmtId="167"/>
    <dataField name=" Sep-25" fld="78" baseField="0" baseItem="0" numFmtId="167"/>
    <dataField name=" Oct-25" fld="79" baseField="0" baseItem="0" numFmtId="167"/>
    <dataField name=" Nov-25" fld="80" baseField="0" baseItem="0" numFmtId="167"/>
    <dataField name=" Dec-25" fld="81" baseField="0" baseItem="0" numFmtId="167"/>
    <dataField name=" Jan-26" fld="83" baseField="0" baseItem="0" numFmtId="167"/>
    <dataField name=" Feb-26." fld="84" baseField="0" baseItem="0" numFmtId="3"/>
  </dataFields>
  <formats count="44">
    <format dxfId="654">
      <pivotArea outline="0" collapsedLevelsAreSubtotals="1" fieldPosition="0">
        <references count="1">
          <reference field="4294967294" count="1" selected="0">
            <x v="1"/>
          </reference>
        </references>
      </pivotArea>
    </format>
    <format dxfId="653">
      <pivotArea field="14" type="button" dataOnly="0" labelOnly="1" outline="0"/>
    </format>
    <format dxfId="652">
      <pivotArea dataOnly="0" labelOnly="1" outline="0" fieldPosition="0">
        <references count="1">
          <reference field="4294967294" count="2">
            <x v="0"/>
            <x v="1"/>
          </reference>
        </references>
      </pivotArea>
    </format>
    <format dxfId="651">
      <pivotArea field="14" type="button" dataOnly="0" labelOnly="1" outline="0"/>
    </format>
    <format dxfId="650">
      <pivotArea dataOnly="0" labelOnly="1" outline="0" fieldPosition="0">
        <references count="1">
          <reference field="4294967294" count="2">
            <x v="0"/>
            <x v="1"/>
          </reference>
        </references>
      </pivotArea>
    </format>
    <format dxfId="649">
      <pivotArea field="14" type="button" dataOnly="0" labelOnly="1" outline="0"/>
    </format>
    <format dxfId="648">
      <pivotArea dataOnly="0" labelOnly="1" outline="0" fieldPosition="0">
        <references count="1">
          <reference field="4294967294" count="2">
            <x v="0"/>
            <x v="1"/>
          </reference>
        </references>
      </pivotArea>
    </format>
    <format dxfId="647">
      <pivotArea outline="0" collapsedLevelsAreSubtotals="1" fieldPosition="0">
        <references count="1">
          <reference field="4294967294" count="1" selected="0">
            <x v="3"/>
          </reference>
        </references>
      </pivotArea>
    </format>
    <format dxfId="646">
      <pivotArea dataOnly="0" labelOnly="1" outline="0" fieldPosition="0">
        <references count="1">
          <reference field="4294967294" count="1">
            <x v="3"/>
          </reference>
        </references>
      </pivotArea>
    </format>
    <format dxfId="645">
      <pivotArea dataOnly="0" labelOnly="1" outline="0" fieldPosition="0">
        <references count="1">
          <reference field="4294967294" count="1">
            <x v="3"/>
          </reference>
        </references>
      </pivotArea>
    </format>
    <format dxfId="644">
      <pivotArea dataOnly="0" labelOnly="1" outline="0" fieldPosition="0">
        <references count="1">
          <reference field="4294967294" count="1">
            <x v="3"/>
          </reference>
        </references>
      </pivotArea>
    </format>
    <format dxfId="643">
      <pivotArea dataOnly="0" labelOnly="1" outline="0" fieldPosition="0">
        <references count="1">
          <reference field="4294967294" count="1">
            <x v="3"/>
          </reference>
        </references>
      </pivotArea>
    </format>
    <format dxfId="642">
      <pivotArea field="14" type="button" dataOnly="0" labelOnly="1" outline="0"/>
    </format>
    <format dxfId="641">
      <pivotArea dataOnly="0" labelOnly="1" outline="0" fieldPosition="0">
        <references count="1">
          <reference field="4294967294" count="3">
            <x v="0"/>
            <x v="1"/>
            <x v="3"/>
          </reference>
        </references>
      </pivotArea>
    </format>
    <format dxfId="640">
      <pivotArea grandRow="1" outline="0" collapsedLevelsAreSubtotals="1" fieldPosition="0"/>
    </format>
    <format dxfId="639">
      <pivotArea dataOnly="0" labelOnly="1" grandRow="1" outline="0" fieldPosition="0"/>
    </format>
    <format dxfId="638">
      <pivotArea field="1" type="button" dataOnly="0" labelOnly="1" outline="0" axis="axisRow" fieldPosition="0"/>
    </format>
    <format dxfId="637">
      <pivotArea field="1" type="button" dataOnly="0" labelOnly="1" outline="0" axis="axisRow" fieldPosition="0"/>
    </format>
    <format dxfId="636">
      <pivotArea dataOnly="0" labelOnly="1" outline="0" fieldPosition="0">
        <references count="1">
          <reference field="4294967294" count="3">
            <x v="0"/>
            <x v="1"/>
            <x v="3"/>
          </reference>
        </references>
      </pivotArea>
    </format>
    <format dxfId="635">
      <pivotArea field="1" type="button" dataOnly="0" labelOnly="1" outline="0" axis="axisRow" fieldPosition="0"/>
    </format>
    <format dxfId="634">
      <pivotArea dataOnly="0" labelOnly="1" outline="0" fieldPosition="0">
        <references count="1">
          <reference field="4294967294" count="3">
            <x v="0"/>
            <x v="1"/>
            <x v="3"/>
          </reference>
        </references>
      </pivotArea>
    </format>
    <format dxfId="633">
      <pivotArea dataOnly="0" labelOnly="1" grandRow="1" outline="0" fieldPosition="0"/>
    </format>
    <format dxfId="632">
      <pivotArea grandRow="1" outline="0" collapsedLevelsAreSubtotals="1" fieldPosition="0"/>
    </format>
    <format dxfId="631">
      <pivotArea field="1" type="button" dataOnly="0" labelOnly="1" outline="0" axis="axisRow" fieldPosition="0"/>
    </format>
    <format dxfId="630">
      <pivotArea dataOnly="0" labelOnly="1" outline="0" fieldPosition="0">
        <references count="1">
          <reference field="4294967294" count="3">
            <x v="0"/>
            <x v="1"/>
            <x v="3"/>
          </reference>
        </references>
      </pivotArea>
    </format>
    <format dxfId="629">
      <pivotArea dataOnly="0" labelOnly="1" grandRow="1" outline="0" fieldPosition="0"/>
    </format>
    <format dxfId="628">
      <pivotArea grandRow="1" outline="0" collapsedLevelsAreSubtotals="1" fieldPosition="0"/>
    </format>
    <format dxfId="627">
      <pivotArea grandRow="1" outline="0" collapsedLevelsAreSubtotals="1" fieldPosition="0"/>
    </format>
    <format dxfId="626">
      <pivotArea dataOnly="0" labelOnly="1" outline="0" fieldPosition="0">
        <references count="1">
          <reference field="4294967294" count="1">
            <x v="4"/>
          </reference>
        </references>
      </pivotArea>
    </format>
    <format dxfId="625">
      <pivotArea dataOnly="0" labelOnly="1" outline="0" fieldPosition="0">
        <references count="1">
          <reference field="4294967294" count="1">
            <x v="5"/>
          </reference>
        </references>
      </pivotArea>
    </format>
    <format dxfId="624">
      <pivotArea dataOnly="0" labelOnly="1" outline="0" fieldPosition="0">
        <references count="1">
          <reference field="4294967294" count="1">
            <x v="6"/>
          </reference>
        </references>
      </pivotArea>
    </format>
    <format dxfId="623">
      <pivotArea dataOnly="0" labelOnly="1" outline="0" fieldPosition="0">
        <references count="1">
          <reference field="4294967294" count="1">
            <x v="7"/>
          </reference>
        </references>
      </pivotArea>
    </format>
    <format dxfId="622">
      <pivotArea dataOnly="0" labelOnly="1" outline="0" fieldPosition="0">
        <references count="1">
          <reference field="4294967294" count="1">
            <x v="8"/>
          </reference>
        </references>
      </pivotArea>
    </format>
    <format dxfId="621">
      <pivotArea outline="0" collapsedLevelsAreSubtotals="1" fieldPosition="0">
        <references count="1">
          <reference field="4294967294" count="5" selected="0">
            <x v="4"/>
            <x v="5"/>
            <x v="6"/>
            <x v="7"/>
            <x v="8"/>
          </reference>
        </references>
      </pivotArea>
    </format>
    <format dxfId="620">
      <pivotArea dataOnly="0" labelOnly="1" outline="0" fieldPosition="0">
        <references count="1">
          <reference field="4294967294" count="1">
            <x v="9"/>
          </reference>
        </references>
      </pivotArea>
    </format>
    <format dxfId="619">
      <pivotArea collapsedLevelsAreSubtotals="1" fieldPosition="0">
        <references count="2">
          <reference field="4294967294" count="1" selected="0">
            <x v="9"/>
          </reference>
          <reference field="1" count="1">
            <x v="0"/>
          </reference>
        </references>
      </pivotArea>
    </format>
    <format dxfId="618">
      <pivotArea dataOnly="0" labelOnly="1" outline="0" fieldPosition="0">
        <references count="1">
          <reference field="4294967294" count="1">
            <x v="2"/>
          </reference>
        </references>
      </pivotArea>
    </format>
    <format dxfId="617">
      <pivotArea outline="0" collapsedLevelsAreSubtotals="1" fieldPosition="0">
        <references count="1">
          <reference field="4294967294" count="1" selected="0">
            <x v="2"/>
          </reference>
        </references>
      </pivotArea>
    </format>
    <format dxfId="616">
      <pivotArea dataOnly="0" labelOnly="1" outline="0" fieldPosition="0">
        <references count="1">
          <reference field="4294967294" count="1">
            <x v="2"/>
          </reference>
        </references>
      </pivotArea>
    </format>
    <format dxfId="615">
      <pivotArea outline="0" fieldPosition="0">
        <references count="1">
          <reference field="4294967294" count="1">
            <x v="9"/>
          </reference>
        </references>
      </pivotArea>
    </format>
    <format dxfId="614">
      <pivotArea collapsedLevelsAreSubtotals="1" fieldPosition="0">
        <references count="1">
          <reference field="1" count="9">
            <x v="0"/>
            <x v="1"/>
            <x v="2"/>
            <x v="3"/>
            <x v="4"/>
            <x v="5"/>
            <x v="6"/>
            <x v="7"/>
            <x v="9"/>
          </reference>
        </references>
      </pivotArea>
    </format>
    <format dxfId="613">
      <pivotArea dataOnly="0" labelOnly="1" fieldPosition="0">
        <references count="1">
          <reference field="1" count="9">
            <x v="0"/>
            <x v="1"/>
            <x v="2"/>
            <x v="3"/>
            <x v="4"/>
            <x v="5"/>
            <x v="6"/>
            <x v="7"/>
            <x v="9"/>
          </reference>
        </references>
      </pivotArea>
    </format>
    <format dxfId="612">
      <pivotArea collapsedLevelsAreSubtotals="1" fieldPosition="0">
        <references count="1">
          <reference field="1" count="9">
            <x v="0"/>
            <x v="1"/>
            <x v="2"/>
            <x v="3"/>
            <x v="4"/>
            <x v="5"/>
            <x v="6"/>
            <x v="7"/>
            <x v="9"/>
          </reference>
        </references>
      </pivotArea>
    </format>
    <format dxfId="611">
      <pivotArea dataOnly="0" labelOnly="1" fieldPosition="0">
        <references count="1">
          <reference field="1" count="9">
            <x v="0"/>
            <x v="1"/>
            <x v="2"/>
            <x v="3"/>
            <x v="4"/>
            <x v="5"/>
            <x v="6"/>
            <x v="7"/>
            <x v="9"/>
          </reference>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B60096-3DDB-46EC-9248-BB36C8A1DD16}" name="PivotTable1" cacheId="3"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5:L118" firstHeaderRow="0" firstDataRow="1" firstDataCol="3" rowPageCount="1" colPageCount="1"/>
  <pivotFields count="98">
    <pivotField axis="axisRow" compact="0" outline="0" showAll="0" sortType="descending" defaultSubtotal="0">
      <items count="10">
        <item x="3"/>
        <item x="5"/>
        <item x="7"/>
        <item x="9"/>
        <item x="6"/>
        <item x="2"/>
        <item x="4"/>
        <item x="1"/>
        <item x="0"/>
        <item x="8"/>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0">
        <item h="1" x="6"/>
        <item x="0"/>
        <item h="1" x="1"/>
        <item h="1" x="3"/>
        <item h="1" x="7"/>
        <item h="1" x="2"/>
        <item h="1" m="1" x="9"/>
        <item x="4"/>
        <item x="5"/>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139">
        <item x="82"/>
        <item x="98"/>
        <item x="26"/>
        <item x="56"/>
        <item x="27"/>
        <item m="1" x="138"/>
        <item x="76"/>
        <item x="15"/>
        <item x="75"/>
        <item x="24"/>
        <item x="39"/>
        <item x="34"/>
        <item m="1" x="137"/>
        <item x="68"/>
        <item x="131"/>
        <item x="31"/>
        <item x="63"/>
        <item x="74"/>
        <item x="133"/>
        <item x="83"/>
        <item x="48"/>
        <item x="25"/>
        <item x="47"/>
        <item x="37"/>
        <item x="16"/>
        <item x="110"/>
        <item x="42"/>
        <item x="59"/>
        <item x="60"/>
        <item x="0"/>
        <item x="122"/>
        <item x="11"/>
        <item x="29"/>
        <item x="1"/>
        <item x="121"/>
        <item x="30"/>
        <item x="28"/>
        <item x="120"/>
        <item x="113"/>
        <item x="23"/>
        <item x="44"/>
        <item x="124"/>
        <item x="99"/>
        <item x="119"/>
        <item x="54"/>
        <item x="107"/>
        <item x="50"/>
        <item x="49"/>
        <item x="123"/>
        <item x="111"/>
        <item x="21"/>
        <item x="92"/>
        <item x="52"/>
        <item x="2"/>
        <item x="22"/>
        <item x="130"/>
        <item x="35"/>
        <item x="106"/>
        <item x="88"/>
        <item x="100"/>
        <item x="101"/>
        <item x="103"/>
        <item x="94"/>
        <item x="89"/>
        <item x="104"/>
        <item x="105"/>
        <item x="72"/>
        <item x="57"/>
        <item x="58"/>
        <item x="118"/>
        <item x="46"/>
        <item m="1" x="136"/>
        <item x="93"/>
        <item x="114"/>
        <item x="132"/>
        <item x="61"/>
        <item x="38"/>
        <item x="53"/>
        <item x="65"/>
        <item x="64"/>
        <item x="45"/>
        <item x="79"/>
        <item x="12"/>
        <item x="19"/>
        <item x="17"/>
        <item x="18"/>
        <item x="10"/>
        <item x="55"/>
        <item x="67"/>
        <item x="40"/>
        <item x="135"/>
        <item sd="0" x="71"/>
        <item x="73"/>
        <item x="70"/>
        <item x="43"/>
        <item x="66"/>
        <item x="33"/>
        <item x="32"/>
        <item x="102"/>
        <item x="77"/>
        <item x="78"/>
        <item x="13"/>
        <item x="14"/>
        <item x="80"/>
        <item x="115"/>
        <item x="108"/>
        <item x="109"/>
        <item x="96"/>
        <item x="95"/>
        <item x="127"/>
        <item x="41"/>
        <item x="117"/>
        <item x="128"/>
        <item x="86"/>
        <item x="84"/>
        <item x="3"/>
        <item x="4"/>
        <item x="6"/>
        <item x="7"/>
        <item x="5"/>
        <item x="8"/>
        <item x="9"/>
        <item x="87"/>
        <item x="81"/>
        <item x="85"/>
        <item x="97"/>
        <item x="112"/>
        <item x="126"/>
        <item x="90"/>
        <item x="91"/>
        <item x="36"/>
        <item x="51"/>
        <item x="125"/>
        <item x="20"/>
        <item x="62"/>
        <item x="129"/>
        <item x="116"/>
        <item x="69"/>
        <item x="13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4">
        <item x="38"/>
        <item x="34"/>
        <item x="27"/>
        <item x="30"/>
        <item x="14"/>
        <item x="20"/>
        <item x="1"/>
        <item x="40"/>
        <item x="28"/>
        <item x="24"/>
        <item x="29"/>
        <item x="10"/>
        <item x="32"/>
        <item x="4"/>
        <item x="36"/>
        <item x="18"/>
        <item x="15"/>
        <item x="37"/>
        <item x="25"/>
        <item x="23"/>
        <item x="11"/>
        <item x="3"/>
        <item x="39"/>
        <item x="35"/>
        <item x="12"/>
        <item x="0"/>
        <item x="31"/>
        <item x="13"/>
        <item m="1" x="43"/>
        <item x="22"/>
        <item x="19"/>
        <item x="17"/>
        <item x="21"/>
        <item m="1" x="42"/>
        <item m="1" x="41"/>
        <item x="5"/>
        <item x="7"/>
        <item x="16"/>
        <item x="9"/>
        <item x="6"/>
        <item x="33"/>
        <item x="8"/>
        <item x="26"/>
        <item x="2"/>
      </items>
      <extLst>
        <ext xmlns:x14="http://schemas.microsoft.com/office/spreadsheetml/2009/9/main" uri="{2946ED86-A175-432a-8AC1-64E0C546D7DE}">
          <x14:pivotField fillDownLabels="1"/>
        </ext>
      </extLst>
    </pivotField>
    <pivotField axis="axisRow" compact="0" outline="0" subtotalTop="0" showAll="0" defaultSubtotal="0">
      <items count="65">
        <item x="60"/>
        <item x="48"/>
        <item x="53"/>
        <item x="11"/>
        <item x="64"/>
        <item x="49"/>
        <item x="32"/>
        <item x="62"/>
        <item x="59"/>
        <item x="61"/>
        <item x="4"/>
        <item x="21"/>
        <item x="1"/>
        <item x="7"/>
        <item x="43"/>
        <item x="42"/>
        <item x="26"/>
        <item x="13"/>
        <item x="3"/>
        <item x="46"/>
        <item x="38"/>
        <item x="0"/>
        <item x="35"/>
        <item x="8"/>
        <item x="33"/>
        <item x="22"/>
        <item x="6"/>
        <item x="51"/>
        <item x="56"/>
        <item x="23"/>
        <item x="50"/>
        <item x="20"/>
        <item x="14"/>
        <item x="24"/>
        <item x="52"/>
        <item x="47"/>
        <item x="17"/>
        <item x="29"/>
        <item x="34"/>
        <item x="39"/>
        <item x="55"/>
        <item x="57"/>
        <item x="16"/>
        <item x="5"/>
        <item x="18"/>
        <item x="15"/>
        <item x="58"/>
        <item x="19"/>
        <item x="12"/>
        <item x="25"/>
        <item x="37"/>
        <item x="45"/>
        <item x="36"/>
        <item x="9"/>
        <item x="27"/>
        <item x="41"/>
        <item x="44"/>
        <item x="31"/>
        <item x="30"/>
        <item x="2"/>
        <item x="10"/>
        <item x="28"/>
        <item x="40"/>
        <item x="54"/>
        <item x="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16"/>
    <field x="53"/>
  </rowFields>
  <rowItems count="113">
    <i>
      <x v="5"/>
      <x v="23"/>
      <x/>
    </i>
    <i r="1">
      <x v="2"/>
      <x v="18"/>
    </i>
    <i r="1">
      <x v="105"/>
      <x v="41"/>
    </i>
    <i r="1">
      <x v="99"/>
      <x v="15"/>
    </i>
    <i r="1">
      <x v="28"/>
      <x v="6"/>
    </i>
    <i r="1">
      <x v="43"/>
      <x v="8"/>
    </i>
    <i r="1">
      <x v="41"/>
      <x v="8"/>
    </i>
    <i r="1">
      <x v="76"/>
      <x v="47"/>
    </i>
    <i r="1">
      <x v="104"/>
      <x v="50"/>
    </i>
    <i r="1">
      <x v="73"/>
      <x v="50"/>
    </i>
    <i r="1">
      <x v="97"/>
      <x v="45"/>
    </i>
    <i r="1">
      <x v="136"/>
      <x v="50"/>
    </i>
    <i r="1">
      <x v="38"/>
      <x v="50"/>
    </i>
    <i r="1">
      <x v="106"/>
      <x v="41"/>
    </i>
    <i r="1">
      <x v="84"/>
      <x v="53"/>
    </i>
    <i r="1">
      <x v="89"/>
      <x v="31"/>
    </i>
    <i r="1">
      <x v="75"/>
      <x v="24"/>
    </i>
    <i r="1">
      <x v="9"/>
      <x v="32"/>
    </i>
    <i r="1">
      <x v="78"/>
      <x v="54"/>
    </i>
    <i>
      <x v="8"/>
      <x v="119"/>
      <x v="18"/>
    </i>
    <i r="1">
      <x v="128"/>
      <x v="5"/>
    </i>
    <i r="1">
      <x v="4"/>
      <x v="32"/>
    </i>
    <i r="1">
      <x v="90"/>
      <x v="4"/>
    </i>
    <i r="1">
      <x v="30"/>
      <x v="28"/>
    </i>
    <i r="1">
      <x v="34"/>
      <x v="28"/>
    </i>
    <i r="1">
      <x v="51"/>
      <x v="30"/>
    </i>
    <i r="1">
      <x v="115"/>
      <x v="18"/>
    </i>
    <i r="1">
      <x v="116"/>
      <x v="18"/>
    </i>
    <i r="1">
      <x v="103"/>
      <x v="18"/>
    </i>
    <i r="1">
      <x v="54"/>
      <x v="48"/>
    </i>
    <i r="1">
      <x v="85"/>
      <x v="60"/>
    </i>
    <i r="1">
      <x v="74"/>
      <x v="28"/>
    </i>
    <i r="1">
      <x v="111"/>
      <x v="46"/>
    </i>
    <i r="1">
      <x v="55"/>
      <x v="7"/>
    </i>
    <i r="1">
      <x v="81"/>
      <x v="18"/>
    </i>
    <i r="1">
      <x v="18"/>
      <x v="18"/>
    </i>
    <i r="1">
      <x v="95"/>
      <x v="52"/>
    </i>
    <i r="1">
      <x v="20"/>
      <x v="29"/>
    </i>
    <i r="1">
      <x v="129"/>
      <x v="5"/>
    </i>
    <i r="1">
      <x v="29"/>
      <x v="21"/>
    </i>
    <i r="1">
      <x v="21"/>
      <x v="18"/>
    </i>
    <i r="1">
      <x v="46"/>
      <x v="18"/>
    </i>
    <i r="1">
      <x v="45"/>
      <x v="28"/>
    </i>
    <i r="1">
      <x v="56"/>
      <x v="32"/>
    </i>
    <i r="1">
      <x v="62"/>
      <x v="18"/>
    </i>
    <i r="1">
      <x v="77"/>
      <x v="16"/>
    </i>
    <i>
      <x v="7"/>
      <x v="79"/>
      <x v="18"/>
    </i>
    <i r="2">
      <x v="22"/>
    </i>
    <i r="1">
      <x v="124"/>
      <x v="19"/>
    </i>
    <i r="1">
      <x v="89"/>
      <x v="12"/>
    </i>
    <i r="1">
      <x v="70"/>
      <x v="25"/>
    </i>
    <i r="1">
      <x v="54"/>
      <x v="48"/>
    </i>
    <i r="1">
      <x v="32"/>
      <x v="18"/>
    </i>
    <i r="1">
      <x v="122"/>
      <x v="1"/>
    </i>
    <i r="1">
      <x v="26"/>
      <x v="11"/>
    </i>
    <i r="1">
      <x v="130"/>
      <x v="44"/>
    </i>
    <i r="1">
      <x v="93"/>
      <x v="32"/>
    </i>
    <i r="1">
      <x v="19"/>
      <x v="51"/>
    </i>
    <i r="1">
      <x v="116"/>
      <x v="18"/>
    </i>
    <i r="1">
      <x v="119"/>
      <x v="18"/>
    </i>
    <i r="1">
      <x v="115"/>
      <x v="18"/>
    </i>
    <i r="1">
      <x v="117"/>
      <x v="18"/>
    </i>
    <i r="1">
      <x v="13"/>
      <x v="18"/>
    </i>
    <i r="1">
      <x v="33"/>
      <x v="12"/>
    </i>
    <i r="1">
      <x v="59"/>
      <x v="18"/>
    </i>
    <i>
      <x v="6"/>
      <x v="100"/>
      <x v="18"/>
    </i>
    <i r="1">
      <x v="91"/>
    </i>
    <i r="1">
      <x v="87"/>
      <x v="37"/>
    </i>
    <i r="1">
      <x v="7"/>
      <x v="18"/>
    </i>
    <i r="1">
      <x v="3"/>
      <x v="57"/>
    </i>
    <i r="1">
      <x v="11"/>
      <x v="42"/>
    </i>
    <i r="1">
      <x v="16"/>
      <x v="38"/>
    </i>
    <i>
      <x/>
      <x v="101"/>
      <x v="26"/>
    </i>
    <i r="1">
      <x v="35"/>
      <x v="18"/>
    </i>
    <i r="1">
      <x v="109"/>
      <x v="18"/>
    </i>
    <i r="1">
      <x v="91"/>
    </i>
    <i r="1">
      <x v="84"/>
      <x v="23"/>
    </i>
    <i r="1">
      <x v="32"/>
      <x v="18"/>
    </i>
    <i r="1">
      <x v="133"/>
      <x v="3"/>
    </i>
    <i r="1">
      <x v="137"/>
      <x v="50"/>
    </i>
    <i r="1">
      <x v="66"/>
      <x v="39"/>
    </i>
    <i r="1">
      <x v="36"/>
      <x v="32"/>
    </i>
    <i r="1">
      <x v="70"/>
      <x v="25"/>
    </i>
    <i r="1">
      <x v="121"/>
      <x v="10"/>
    </i>
    <i r="1">
      <x v="120"/>
      <x v="10"/>
    </i>
    <i r="1">
      <x v="59"/>
      <x v="2"/>
    </i>
    <i r="1">
      <x v="115"/>
      <x v="18"/>
    </i>
    <i r="1">
      <x v="116"/>
      <x v="18"/>
    </i>
    <i r="1">
      <x v="119"/>
      <x v="18"/>
    </i>
    <i r="1">
      <x v="118"/>
      <x v="18"/>
    </i>
    <i r="1">
      <x v="22"/>
      <x v="32"/>
    </i>
    <i>
      <x v="2"/>
      <x v="60"/>
      <x v="34"/>
    </i>
    <i r="1">
      <x v="8"/>
      <x v="55"/>
    </i>
    <i r="1">
      <x v="39"/>
      <x v="17"/>
    </i>
    <i r="1">
      <x v="80"/>
      <x v="12"/>
    </i>
    <i r="1">
      <x v="130"/>
      <x v="36"/>
    </i>
    <i r="1">
      <x v="52"/>
      <x v="33"/>
    </i>
    <i r="2">
      <x v="49"/>
    </i>
    <i r="1">
      <x v="113"/>
      <x v="35"/>
    </i>
    <i r="1">
      <x v="123"/>
      <x v="14"/>
    </i>
    <i r="1">
      <x v="59"/>
      <x v="18"/>
    </i>
    <i r="1">
      <x v="37"/>
      <x/>
    </i>
    <i r="1">
      <x/>
      <x v="56"/>
    </i>
    <i>
      <x v="1"/>
      <x v="14"/>
      <x v="64"/>
    </i>
    <i r="1">
      <x v="44"/>
      <x v="61"/>
    </i>
    <i r="1">
      <x v="122"/>
      <x v="43"/>
    </i>
    <i r="1">
      <x v="31"/>
      <x v="43"/>
    </i>
    <i>
      <x v="4"/>
      <x v="108"/>
      <x v="55"/>
    </i>
    <i r="1">
      <x v="44"/>
      <x v="54"/>
    </i>
    <i r="1">
      <x v="3"/>
      <x v="58"/>
    </i>
    <i r="1">
      <x v="17"/>
      <x v="62"/>
    </i>
    <i>
      <x v="9"/>
      <x v="110"/>
      <x v="43"/>
    </i>
    <i r="1">
      <x v="10"/>
      <x v="43"/>
    </i>
  </rowItems>
  <colFields count="1">
    <field x="-2"/>
  </colFields>
  <colItems count="9">
    <i>
      <x/>
    </i>
    <i i="1">
      <x v="1"/>
    </i>
    <i i="2">
      <x v="2"/>
    </i>
    <i i="3">
      <x v="3"/>
    </i>
    <i i="4">
      <x v="4"/>
    </i>
    <i i="5">
      <x v="5"/>
    </i>
    <i i="6">
      <x v="6"/>
    </i>
    <i i="7">
      <x v="7"/>
    </i>
    <i i="8">
      <x v="8"/>
    </i>
  </colItems>
  <pageFields count="1">
    <pageField fld="12" hier="-1"/>
  </pageFields>
  <dataFields count="9">
    <dataField name="Total Investment" fld="23" baseField="0" baseItem="0" numFmtId="167"/>
    <dataField name="Total Reagent Sales" fld="88" baseField="0" baseItem="0"/>
    <dataField name=" Per Month Reagent Commitment" fld="25" baseField="0" baseItem="0"/>
    <dataField name=" Oct-25" fld="78" baseField="0" baseItem="0"/>
    <dataField name=" Nov-25" fld="79" baseField="0" baseItem="0"/>
    <dataField name=" Dec-25" fld="80" baseField="0" baseItem="0"/>
    <dataField name=" Jan-26" fld="82" baseField="0" baseItem="0"/>
    <dataField name=" Feb-26" fld="83" baseField="0" baseItem="0"/>
    <dataField name="Mar-26'" fld="84" baseField="0" baseItem="0"/>
  </dataFields>
  <formats count="12">
    <format dxfId="508">
      <pivotArea outline="0" collapsedLevelsAreSubtotals="1" fieldPosition="0"/>
    </format>
    <format dxfId="507">
      <pivotArea field="0" type="button" dataOnly="0" labelOnly="1" outline="0" axis="axisRow" fieldPosition="0"/>
    </format>
    <format dxfId="506">
      <pivotArea field="16" type="button" dataOnly="0" labelOnly="1" outline="0" axis="axisRow" fieldPosition="1"/>
    </format>
    <format dxfId="505">
      <pivotArea field="0" type="button" dataOnly="0" labelOnly="1" outline="0" axis="axisRow" fieldPosition="0"/>
    </format>
    <format dxfId="504">
      <pivotArea field="16" type="button" dataOnly="0" labelOnly="1" outline="0" axis="axisRow" fieldPosition="1"/>
    </format>
    <format dxfId="503">
      <pivotArea field="52" type="button" dataOnly="0" labelOnly="1" outline="0"/>
    </format>
    <format dxfId="502">
      <pivotArea dataOnly="0" labelOnly="1" outline="0" fieldPosition="0">
        <references count="1">
          <reference field="4294967294" count="8">
            <x v="0"/>
            <x v="1"/>
            <x v="2"/>
            <x v="3"/>
            <x v="4"/>
            <x v="5"/>
            <x v="6"/>
            <x v="7"/>
          </reference>
        </references>
      </pivotArea>
    </format>
    <format dxfId="501">
      <pivotArea field="0" type="button" dataOnly="0" labelOnly="1" outline="0" axis="axisRow" fieldPosition="0"/>
    </format>
    <format dxfId="500">
      <pivotArea field="16" type="button" dataOnly="0" labelOnly="1" outline="0" axis="axisRow" fieldPosition="1"/>
    </format>
    <format dxfId="499">
      <pivotArea outline="0" fieldPosition="0">
        <references count="1">
          <reference field="4294967294" count="1" selected="0">
            <x v="0"/>
          </reference>
        </references>
      </pivotArea>
    </format>
    <format dxfId="498">
      <pivotArea dataOnly="0" labelOnly="1" outline="0" fieldPosition="0">
        <references count="1">
          <reference field="4294967294" count="1">
            <x v="8"/>
          </reference>
        </references>
      </pivotArea>
    </format>
    <format dxfId="497">
      <pivotArea field="53" type="button" dataOnly="0" labelOnly="1" outline="0" axis="axisRow" fieldPosition="2"/>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2" cacheId="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7:I191" firstHeaderRow="0" firstDataRow="1" firstDataCol="4"/>
  <pivotFields count="100">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12">
        <item x="3"/>
        <item x="5"/>
        <item m="1" x="11"/>
        <item x="7"/>
        <item x="9"/>
        <item x="6"/>
        <item x="2"/>
        <item x="4"/>
        <item x="1"/>
        <item x="0"/>
        <item x="8"/>
        <item m="1" x="10"/>
      </items>
      <extLst>
        <ext xmlns:x14="http://schemas.microsoft.com/office/spreadsheetml/2009/9/main" uri="{2946ED86-A175-432a-8AC1-64E0C546D7DE}">
          <x14:pivotField fillDownLabels="1"/>
        </ext>
      </extLst>
    </pivotField>
    <pivotField axis="axisRow" compact="0" outline="0" showAll="0" defaultSubtotal="0">
      <items count="56">
        <item x="12"/>
        <item x="0"/>
        <item x="25"/>
        <item x="15"/>
        <item x="10"/>
        <item x="8"/>
        <item x="1"/>
        <item m="1" x="46"/>
        <item x="20"/>
        <item x="2"/>
        <item m="1" x="51"/>
        <item x="16"/>
        <item x="19"/>
        <item x="5"/>
        <item m="1" x="53"/>
        <item x="6"/>
        <item m="1" x="54"/>
        <item m="1" x="47"/>
        <item m="1" x="48"/>
        <item m="1" x="52"/>
        <item m="1" x="55"/>
        <item x="11"/>
        <item x="26"/>
        <item x="24"/>
        <item x="14"/>
        <item x="7"/>
        <item m="1" x="50"/>
        <item x="33"/>
        <item m="1" x="45"/>
        <item m="1" x="49"/>
        <item x="36"/>
        <item x="31"/>
        <item x="35"/>
        <item x="34"/>
        <item x="21"/>
        <item x="38"/>
        <item m="1" x="43"/>
        <item x="27"/>
        <item x="29"/>
        <item x="13"/>
        <item x="18"/>
        <item m="1" x="44"/>
        <item x="23"/>
        <item x="3"/>
        <item x="9"/>
        <item x="17"/>
        <item m="1" x="42"/>
        <item x="32"/>
        <item x="28"/>
        <item x="4"/>
        <item x="30"/>
        <item x="22"/>
        <item x="37"/>
        <item x="40"/>
        <item x="41"/>
        <item x="3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1"/>
        <item m="1" x="4"/>
        <item x="2"/>
        <item x="0"/>
        <item m="1" x="5"/>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5">
        <item m="1" x="160"/>
        <item x="24"/>
        <item m="1" x="150"/>
        <item x="31"/>
        <item x="16"/>
        <item x="42"/>
        <item x="1"/>
        <item m="1" x="156"/>
        <item x="49"/>
        <item m="1" x="159"/>
        <item m="1" x="154"/>
        <item x="114"/>
        <item x="53"/>
        <item m="1" x="162"/>
        <item x="70"/>
        <item x="43"/>
        <item m="1" x="149"/>
        <item x="80"/>
        <item x="115"/>
        <item x="87"/>
        <item x="36"/>
        <item x="51"/>
        <item x="62"/>
        <item x="116"/>
        <item m="1" x="164"/>
        <item x="2"/>
        <item x="89"/>
        <item m="1" x="158"/>
        <item x="113"/>
        <item x="88"/>
        <item x="0"/>
        <item m="1" x="152"/>
        <item x="97"/>
        <item x="59"/>
        <item x="45"/>
        <item x="57"/>
        <item x="73"/>
        <item x="25"/>
        <item x="93"/>
        <item x="71"/>
        <item x="58"/>
        <item x="32"/>
        <item x="13"/>
        <item x="67"/>
        <item x="27"/>
        <item x="83"/>
        <item x="44"/>
        <item m="1" x="161"/>
        <item m="1" x="153"/>
        <item x="90"/>
        <item m="1" x="157"/>
        <item x="105"/>
        <item x="17"/>
        <item x="55"/>
        <item m="1" x="141"/>
        <item x="106"/>
        <item m="1" x="151"/>
        <item m="1" x="155"/>
        <item x="56"/>
        <item m="1" x="147"/>
        <item x="15"/>
        <item x="33"/>
        <item m="1" x="139"/>
        <item x="54"/>
        <item x="100"/>
        <item m="1" x="163"/>
        <item m="1" x="140"/>
        <item x="21"/>
        <item x="60"/>
        <item x="65"/>
        <item x="85"/>
        <item x="110"/>
        <item x="22"/>
        <item x="112"/>
        <item x="111"/>
        <item x="107"/>
        <item x="26"/>
        <item x="46"/>
        <item x="109"/>
        <item x="11"/>
        <item x="108"/>
        <item m="1" x="148"/>
        <item x="82"/>
        <item x="104"/>
        <item x="98"/>
        <item x="63"/>
        <item x="3"/>
        <item x="4"/>
        <item x="5"/>
        <item x="6"/>
        <item x="7"/>
        <item x="35"/>
        <item x="47"/>
        <item x="20"/>
        <item x="64"/>
        <item x="34"/>
        <item x="92"/>
        <item x="14"/>
        <item x="66"/>
        <item x="95"/>
        <item x="117"/>
        <item x="39"/>
        <item m="1" x="138"/>
        <item x="68"/>
        <item m="1" x="145"/>
        <item x="48"/>
        <item x="23"/>
        <item x="99"/>
        <item x="50"/>
        <item x="101"/>
        <item x="94"/>
        <item x="72"/>
        <item x="118"/>
        <item x="38"/>
        <item x="40"/>
        <item x="96"/>
        <item x="84"/>
        <item x="119"/>
        <item x="124"/>
        <item x="123"/>
        <item x="86"/>
        <item x="10"/>
        <item m="1" x="142"/>
        <item m="1" x="146"/>
        <item x="91"/>
        <item x="74"/>
        <item x="126"/>
        <item x="19"/>
        <item x="81"/>
        <item x="52"/>
        <item x="79"/>
        <item x="125"/>
        <item m="1" x="143"/>
        <item x="120"/>
        <item x="77"/>
        <item x="127"/>
        <item x="78"/>
        <item x="12"/>
        <item x="76"/>
        <item x="121"/>
        <item x="122"/>
        <item x="129"/>
        <item x="29"/>
        <item x="37"/>
        <item x="9"/>
        <item x="8"/>
        <item x="41"/>
        <item m="1" x="144"/>
        <item x="103"/>
        <item m="1" x="136"/>
        <item x="102"/>
        <item x="18"/>
        <item x="30"/>
        <item x="130"/>
        <item x="131"/>
        <item x="132"/>
        <item m="1" x="137"/>
        <item x="133"/>
        <item x="135"/>
        <item x="28"/>
        <item x="61"/>
        <item x="75"/>
        <item x="69"/>
        <item x="134"/>
        <item x="12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1">
        <item x="14"/>
        <item x="13"/>
        <item x="16"/>
        <item x="3"/>
        <item x="11"/>
        <item x="8"/>
        <item x="9"/>
        <item x="19"/>
        <item x="6"/>
        <item x="12"/>
        <item x="15"/>
        <item x="10"/>
        <item x="17"/>
        <item x="7"/>
        <item x="1"/>
        <item x="20"/>
        <item x="4"/>
        <item x="0"/>
        <item x="2"/>
        <item x="18"/>
        <item x="5"/>
      </items>
      <extLst>
        <ext xmlns:x14="http://schemas.microsoft.com/office/spreadsheetml/2009/9/main" uri="{2946ED86-A175-432a-8AC1-64E0C546D7DE}">
          <x14:pivotField fillDownLabels="1"/>
        </ext>
      </extLst>
    </pivotField>
    <pivotField axis="axisRow" compact="0" outline="0" showAll="0" defaultSubtotal="0">
      <items count="23">
        <item x="18"/>
        <item x="6"/>
        <item x="9"/>
        <item x="13"/>
        <item x="17"/>
        <item x="19"/>
        <item x="16"/>
        <item x="3"/>
        <item x="1"/>
        <item x="11"/>
        <item x="10"/>
        <item x="14"/>
        <item x="7"/>
        <item x="22"/>
        <item x="4"/>
        <item x="8"/>
        <item x="21"/>
        <item x="12"/>
        <item x="15"/>
        <item x="2"/>
        <item x="20"/>
        <item x="5"/>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7"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7"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7">
        <item x="8"/>
        <item x="4"/>
        <item x="13"/>
        <item x="33"/>
        <item x="34"/>
        <item x="10"/>
        <item x="3"/>
        <item x="31"/>
        <item x="12"/>
        <item x="20"/>
        <item x="2"/>
        <item x="29"/>
        <item x="17"/>
        <item x="24"/>
        <item x="27"/>
        <item m="1" x="46"/>
        <item x="28"/>
        <item x="14"/>
        <item x="9"/>
        <item x="26"/>
        <item x="11"/>
        <item x="6"/>
        <item x="5"/>
        <item x="7"/>
        <item x="18"/>
        <item x="30"/>
        <item x="0"/>
        <item x="25"/>
        <item m="1" x="44"/>
        <item x="35"/>
        <item m="1" x="42"/>
        <item x="32"/>
        <item m="1" x="38"/>
        <item x="15"/>
        <item x="23"/>
        <item m="1" x="36"/>
        <item x="16"/>
        <item x="19"/>
        <item x="22"/>
        <item x="21"/>
        <item m="1" x="45"/>
        <item m="1" x="43"/>
        <item m="1" x="41"/>
        <item m="1" x="40"/>
        <item m="1" x="39"/>
        <item m="1" x="37"/>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items count="37">
        <item m="1" x="26"/>
        <item x="19"/>
        <item m="1" x="30"/>
        <item m="1" x="34"/>
        <item m="1" x="29"/>
        <item x="4"/>
        <item x="6"/>
        <item x="1"/>
        <item m="1" x="21"/>
        <item m="1" x="22"/>
        <item x="10"/>
        <item x="2"/>
        <item m="1" x="31"/>
        <item m="1" x="23"/>
        <item m="1" x="36"/>
        <item m="1" x="32"/>
        <item x="13"/>
        <item x="0"/>
        <item m="1" x="35"/>
        <item m="1" x="25"/>
        <item m="1" x="24"/>
        <item m="1" x="27"/>
        <item x="11"/>
        <item x="12"/>
        <item x="3"/>
        <item m="1" x="28"/>
        <item m="1" x="33"/>
        <item x="5"/>
        <item x="9"/>
        <item x="8"/>
        <item x="16"/>
        <item x="14"/>
        <item x="7"/>
        <item x="18"/>
        <item x="17"/>
        <item x="15"/>
        <item x="2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numFmtId="38"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4">
    <field x="18"/>
    <field x="3"/>
    <field x="91"/>
    <field x="35"/>
  </rowFields>
  <rowItems count="184">
    <i>
      <x v="1"/>
      <x v="9"/>
      <x v="33"/>
      <x v="14"/>
    </i>
    <i r="2">
      <x v="36"/>
      <x v="22"/>
    </i>
    <i>
      <x v="3"/>
      <x v="1"/>
      <x v="37"/>
      <x v="12"/>
    </i>
    <i>
      <x v="4"/>
      <x v="4"/>
      <x v="21"/>
      <x v="7"/>
    </i>
    <i>
      <x v="5"/>
      <x v="5"/>
      <x v="5"/>
      <x v="10"/>
    </i>
    <i r="2">
      <x v="13"/>
      <x v="22"/>
    </i>
    <i r="1">
      <x v="12"/>
      <x v="34"/>
      <x v="22"/>
    </i>
    <i>
      <x v="6"/>
      <x v="6"/>
      <x v="46"/>
      <x v="8"/>
    </i>
    <i>
      <x v="8"/>
      <x v="8"/>
      <x v="27"/>
      <x v="17"/>
    </i>
    <i>
      <x v="11"/>
      <x v="9"/>
      <x v="24"/>
      <x v="13"/>
    </i>
    <i r="2">
      <x v="33"/>
      <x v="13"/>
    </i>
    <i>
      <x v="12"/>
      <x/>
      <x v="36"/>
      <x v="3"/>
    </i>
    <i>
      <x v="14"/>
      <x v="5"/>
      <x v="11"/>
      <x v="10"/>
    </i>
    <i r="2">
      <x v="39"/>
      <x v="10"/>
    </i>
    <i>
      <x v="15"/>
      <x v="5"/>
      <x v="27"/>
      <x v="9"/>
    </i>
    <i>
      <x v="17"/>
      <x v="2"/>
      <x v="37"/>
      <x v="4"/>
    </i>
    <i>
      <x v="18"/>
      <x v="9"/>
      <x v="24"/>
      <x v="13"/>
    </i>
    <i r="2">
      <x v="33"/>
      <x v="13"/>
    </i>
    <i>
      <x v="19"/>
      <x v="5"/>
      <x v="46"/>
      <x/>
    </i>
    <i r="1">
      <x v="25"/>
      <x v="5"/>
      <x v="22"/>
    </i>
    <i>
      <x v="20"/>
      <x v="5"/>
      <x v="38"/>
      <x v="2"/>
    </i>
    <i r="1">
      <x v="11"/>
      <x v="39"/>
      <x v="22"/>
    </i>
    <i>
      <x v="21"/>
      <x v="3"/>
      <x v="9"/>
      <x v="17"/>
    </i>
    <i>
      <x v="22"/>
      <x/>
      <x v="26"/>
      <x v="6"/>
    </i>
    <i>
      <x v="23"/>
      <x v="9"/>
      <x v="24"/>
      <x v="13"/>
    </i>
    <i r="2">
      <x v="33"/>
      <x v="13"/>
    </i>
    <i>
      <x v="25"/>
      <x v="9"/>
      <x v="10"/>
      <x v="19"/>
    </i>
    <i>
      <x v="26"/>
      <x v="11"/>
      <x v="11"/>
      <x v="20"/>
    </i>
    <i r="3">
      <x v="22"/>
    </i>
    <i>
      <x v="28"/>
      <x v="35"/>
      <x v="24"/>
      <x v="16"/>
    </i>
    <i r="2">
      <x v="33"/>
      <x v="16"/>
    </i>
    <i>
      <x v="29"/>
      <x v="9"/>
      <x v="26"/>
      <x v="5"/>
    </i>
    <i>
      <x v="30"/>
      <x v="1"/>
      <x v="26"/>
      <x v="22"/>
    </i>
    <i>
      <x v="32"/>
      <x v="1"/>
      <x v="26"/>
      <x v="22"/>
    </i>
    <i>
      <x v="33"/>
      <x/>
      <x v="19"/>
      <x v="22"/>
    </i>
    <i r="1">
      <x v="6"/>
      <x v="10"/>
      <x v="22"/>
    </i>
    <i>
      <x v="34"/>
      <x v="3"/>
      <x v="37"/>
      <x v="22"/>
    </i>
    <i>
      <x v="35"/>
      <x/>
      <x v="16"/>
      <x v="11"/>
    </i>
    <i>
      <x v="36"/>
      <x v="1"/>
      <x v="7"/>
      <x v="22"/>
    </i>
    <i>
      <x v="37"/>
      <x v="1"/>
      <x v="26"/>
      <x v="21"/>
    </i>
    <i>
      <x v="38"/>
      <x v="13"/>
      <x v="23"/>
      <x v="22"/>
    </i>
    <i>
      <x v="39"/>
      <x v="38"/>
      <x v="39"/>
      <x v="22"/>
    </i>
    <i r="1">
      <x v="48"/>
      <x v="10"/>
      <x v="22"/>
    </i>
    <i r="2">
      <x v="18"/>
      <x v="22"/>
    </i>
    <i>
      <x v="40"/>
      <x v="9"/>
      <x v="22"/>
      <x v="3"/>
    </i>
    <i>
      <x v="41"/>
      <x v="9"/>
      <x v="22"/>
      <x v="15"/>
    </i>
    <i>
      <x v="42"/>
      <x v="13"/>
      <x v="20"/>
      <x v="22"/>
    </i>
    <i>
      <x v="43"/>
      <x v="22"/>
      <x v="31"/>
      <x v="22"/>
    </i>
    <i>
      <x v="44"/>
      <x v="1"/>
      <x v="24"/>
      <x v="22"/>
    </i>
    <i>
      <x v="45"/>
      <x v="5"/>
      <x v="24"/>
      <x v="22"/>
    </i>
    <i>
      <x v="46"/>
      <x v="3"/>
      <x v="19"/>
      <x v="22"/>
    </i>
    <i>
      <x v="49"/>
      <x v="2"/>
      <x v="12"/>
      <x v="22"/>
    </i>
    <i r="1">
      <x v="43"/>
      <x v="18"/>
      <x v="22"/>
    </i>
    <i>
      <x v="51"/>
      <x v="22"/>
      <x v="19"/>
      <x v="22"/>
    </i>
    <i>
      <x v="52"/>
      <x v="13"/>
      <x v="5"/>
      <x v="22"/>
    </i>
    <i r="1">
      <x v="21"/>
      <x v="26"/>
      <x v="22"/>
    </i>
    <i r="1">
      <x v="25"/>
      <x v="18"/>
      <x v="22"/>
    </i>
    <i>
      <x v="53"/>
      <x v="15"/>
      <x v="14"/>
      <x v="22"/>
    </i>
    <i>
      <x v="55"/>
      <x v="2"/>
      <x v="31"/>
      <x v="19"/>
    </i>
    <i>
      <x v="58"/>
      <x v="15"/>
      <x v="9"/>
      <x v="22"/>
    </i>
    <i r="1">
      <x v="23"/>
      <x v="9"/>
      <x v="22"/>
    </i>
    <i>
      <x v="60"/>
      <x v="15"/>
      <x v="6"/>
      <x v="22"/>
    </i>
    <i>
      <x v="61"/>
      <x v="9"/>
      <x v="5"/>
      <x v="22"/>
    </i>
    <i>
      <x v="63"/>
      <x v="25"/>
      <x v="14"/>
      <x v="22"/>
    </i>
    <i r="1">
      <x v="42"/>
      <x v="5"/>
      <x v="22"/>
    </i>
    <i>
      <x v="64"/>
      <x v="13"/>
      <x v="9"/>
      <x v="22"/>
    </i>
    <i r="1">
      <x v="27"/>
      <x v="8"/>
      <x v="22"/>
    </i>
    <i r="1">
      <x v="30"/>
      <x v="8"/>
      <x v="22"/>
    </i>
    <i r="1">
      <x v="32"/>
      <x v="8"/>
      <x v="22"/>
    </i>
    <i r="1">
      <x v="33"/>
      <x v="14"/>
      <x v="22"/>
    </i>
    <i>
      <x v="67"/>
      <x/>
      <x v="18"/>
      <x v="22"/>
    </i>
    <i>
      <x v="68"/>
      <x v="8"/>
      <x v="11"/>
      <x v="22"/>
    </i>
    <i r="2">
      <x v="19"/>
      <x v="18"/>
    </i>
    <i>
      <x v="69"/>
      <x v="9"/>
      <x v="9"/>
      <x v="22"/>
    </i>
    <i>
      <x v="70"/>
      <x v="5"/>
      <x v="3"/>
      <x v="22"/>
    </i>
    <i r="2">
      <x v="5"/>
      <x v="22"/>
    </i>
    <i>
      <x v="71"/>
      <x/>
      <x v="8"/>
      <x v="22"/>
    </i>
    <i>
      <x v="72"/>
      <x v="1"/>
      <x v="5"/>
      <x v="22"/>
    </i>
    <i r="1">
      <x v="5"/>
      <x v="2"/>
      <x v="22"/>
    </i>
    <i>
      <x v="73"/>
      <x/>
      <x v="8"/>
      <x v="22"/>
    </i>
    <i>
      <x v="74"/>
      <x/>
      <x v="8"/>
      <x v="22"/>
    </i>
    <i>
      <x v="75"/>
      <x/>
      <x v="21"/>
      <x v="22"/>
    </i>
    <i>
      <x v="76"/>
      <x v="9"/>
      <x v="12"/>
      <x v="22"/>
    </i>
    <i r="2">
      <x v="23"/>
      <x v="22"/>
    </i>
    <i>
      <x v="77"/>
      <x v="5"/>
      <x v="6"/>
      <x v="22"/>
    </i>
    <i r="1">
      <x v="13"/>
      <x v="6"/>
      <x v="22"/>
    </i>
    <i r="2">
      <x v="18"/>
      <x v="22"/>
    </i>
    <i>
      <x v="78"/>
      <x v="40"/>
      <x v="5"/>
      <x v="22"/>
    </i>
    <i>
      <x v="79"/>
      <x v="25"/>
      <x v="5"/>
      <x v="22"/>
    </i>
    <i>
      <x v="80"/>
      <x v="40"/>
      <x v="3"/>
      <x v="22"/>
    </i>
    <i>
      <x v="82"/>
      <x/>
      <x v="18"/>
      <x v="22"/>
    </i>
    <i r="1">
      <x v="31"/>
      <x v="3"/>
      <x v="22"/>
    </i>
    <i>
      <x v="83"/>
      <x v="3"/>
      <x v="18"/>
      <x v="22"/>
    </i>
    <i r="1">
      <x v="34"/>
      <x v="26"/>
      <x v="22"/>
    </i>
    <i r="2">
      <x v="29"/>
      <x v="22"/>
    </i>
    <i>
      <x v="84"/>
      <x v="42"/>
      <x v="6"/>
      <x v="22"/>
    </i>
    <i>
      <x v="85"/>
      <x v="15"/>
      <x v="8"/>
      <x v="22"/>
    </i>
    <i>
      <x v="86"/>
      <x v="1"/>
      <x v="6"/>
      <x v="22"/>
    </i>
    <i r="1">
      <x v="6"/>
      <x v="22"/>
      <x v="22"/>
    </i>
    <i r="1">
      <x v="13"/>
      <x v="23"/>
      <x v="22"/>
    </i>
    <i>
      <x v="87"/>
      <x v="6"/>
      <x v="21"/>
      <x v="22"/>
    </i>
    <i r="1">
      <x v="13"/>
      <x v="23"/>
      <x v="22"/>
    </i>
    <i r="1">
      <x v="43"/>
      <x v="6"/>
      <x v="22"/>
    </i>
    <i>
      <x v="88"/>
      <x v="6"/>
      <x v="21"/>
      <x v="22"/>
    </i>
    <i r="1">
      <x v="13"/>
      <x v="23"/>
      <x v="22"/>
    </i>
    <i r="1">
      <x v="43"/>
      <x v="6"/>
      <x v="22"/>
    </i>
    <i r="1">
      <x v="49"/>
      <x v="1"/>
      <x v="22"/>
    </i>
    <i>
      <x v="89"/>
      <x v="6"/>
      <x v="21"/>
      <x v="22"/>
    </i>
    <i>
      <x v="90"/>
      <x v="13"/>
      <x v="23"/>
      <x v="22"/>
    </i>
    <i>
      <x v="91"/>
      <x/>
      <x v="5"/>
      <x v="22"/>
    </i>
    <i>
      <x v="92"/>
      <x v="13"/>
      <x v="8"/>
      <x v="22"/>
    </i>
    <i>
      <x v="93"/>
      <x v="24"/>
      <x v="8"/>
      <x v="22"/>
    </i>
    <i>
      <x v="94"/>
      <x v="2"/>
      <x v="18"/>
      <x v="22"/>
    </i>
    <i r="1">
      <x v="5"/>
      <x v="5"/>
      <x v="22"/>
    </i>
    <i r="2">
      <x v="9"/>
      <x v="22"/>
    </i>
    <i>
      <x v="95"/>
      <x v="15"/>
      <x v="9"/>
      <x v="22"/>
    </i>
    <i>
      <x v="96"/>
      <x v="1"/>
      <x v="14"/>
      <x v="22"/>
    </i>
    <i>
      <x v="97"/>
      <x v="44"/>
      <x v="18"/>
      <x v="22"/>
    </i>
    <i>
      <x v="98"/>
      <x/>
      <x v="7"/>
      <x v="22"/>
    </i>
    <i>
      <x v="99"/>
      <x v="42"/>
      <x v="8"/>
      <x v="22"/>
    </i>
    <i>
      <x v="100"/>
      <x v="1"/>
      <x v="14"/>
      <x v="22"/>
    </i>
    <i>
      <x v="101"/>
      <x v="45"/>
      <x v="5"/>
      <x v="22"/>
    </i>
    <i>
      <x v="103"/>
      <x v="37"/>
      <x v="11"/>
      <x v="22"/>
    </i>
    <i>
      <x v="105"/>
      <x/>
      <x v="10"/>
      <x v="22"/>
    </i>
    <i>
      <x v="106"/>
      <x v="3"/>
      <x v="17"/>
      <x v="22"/>
    </i>
    <i>
      <x v="107"/>
      <x v="39"/>
      <x v="4"/>
      <x v="22"/>
    </i>
    <i>
      <x v="108"/>
      <x/>
      <x v="5"/>
      <x v="22"/>
    </i>
    <i>
      <x v="109"/>
      <x v="11"/>
      <x v="4"/>
      <x v="22"/>
    </i>
    <i>
      <x v="110"/>
      <x/>
      <x v="26"/>
      <x v="22"/>
    </i>
    <i>
      <x v="111"/>
      <x v="38"/>
      <x v="17"/>
      <x v="22"/>
    </i>
    <i>
      <x v="112"/>
      <x v="40"/>
      <x v="2"/>
      <x v="22"/>
    </i>
    <i>
      <x v="113"/>
      <x v="21"/>
      <x v="17"/>
      <x v="22"/>
    </i>
    <i>
      <x v="114"/>
      <x v="5"/>
      <x v="17"/>
      <x v="22"/>
    </i>
    <i r="1">
      <x v="40"/>
      <x v="17"/>
      <x v="22"/>
    </i>
    <i>
      <x v="115"/>
      <x v="47"/>
      <x v="18"/>
      <x v="22"/>
    </i>
    <i>
      <x v="116"/>
      <x v="5"/>
      <x v="12"/>
      <x v="22"/>
    </i>
    <i>
      <x v="117"/>
      <x v="39"/>
      <x v="6"/>
      <x v="22"/>
    </i>
    <i>
      <x v="118"/>
      <x v="39"/>
      <x v="6"/>
      <x v="22"/>
    </i>
    <i>
      <x v="119"/>
      <x v="22"/>
      <x v="18"/>
      <x v="22"/>
    </i>
    <i>
      <x v="120"/>
      <x v="11"/>
      <x v="9"/>
      <x v="22"/>
    </i>
    <i>
      <x v="121"/>
      <x v="15"/>
      <x v="18"/>
      <x v="22"/>
    </i>
    <i>
      <x v="124"/>
      <x/>
      <x v="18"/>
      <x v="22"/>
    </i>
    <i>
      <x v="125"/>
      <x v="42"/>
      <x v="16"/>
      <x v="22"/>
    </i>
    <i>
      <x v="126"/>
      <x v="39"/>
      <x v="18"/>
      <x v="22"/>
    </i>
    <i>
      <x v="127"/>
      <x v="39"/>
      <x v="18"/>
      <x v="22"/>
    </i>
    <i>
      <x v="128"/>
      <x v="11"/>
      <x v="17"/>
      <x v="22"/>
    </i>
    <i>
      <x v="129"/>
      <x v="11"/>
      <x v="2"/>
      <x v="22"/>
    </i>
    <i r="1">
      <x v="34"/>
      <x v="17"/>
      <x v="22"/>
    </i>
    <i r="1">
      <x v="51"/>
      <x v="2"/>
      <x v="22"/>
    </i>
    <i>
      <x v="130"/>
      <x/>
      <x v="1"/>
      <x v="22"/>
    </i>
    <i>
      <x v="131"/>
      <x v="39"/>
      <x v="18"/>
      <x v="22"/>
    </i>
    <i>
      <x v="133"/>
      <x v="11"/>
      <x v="18"/>
      <x v="22"/>
    </i>
    <i>
      <x v="134"/>
      <x v="39"/>
      <x v="7"/>
      <x v="22"/>
    </i>
    <i>
      <x v="135"/>
      <x v="55"/>
      <x v="18"/>
      <x v="22"/>
    </i>
    <i>
      <x v="136"/>
      <x v="50"/>
      <x v="1"/>
      <x v="22"/>
    </i>
    <i>
      <x v="137"/>
      <x v="5"/>
      <x v="18"/>
      <x v="22"/>
    </i>
    <i>
      <x v="138"/>
      <x v="50"/>
      <x v="18"/>
      <x v="22"/>
    </i>
    <i>
      <x v="139"/>
      <x/>
      <x v="16"/>
      <x v="22"/>
    </i>
    <i>
      <x v="140"/>
      <x v="1"/>
      <x v="16"/>
      <x v="22"/>
    </i>
    <i>
      <x v="141"/>
      <x v="30"/>
      <x v="16"/>
      <x v="22"/>
    </i>
    <i>
      <x v="142"/>
      <x v="6"/>
      <x v="1"/>
      <x v="22"/>
    </i>
    <i r="1">
      <x v="13"/>
      <x v="2"/>
      <x v="22"/>
    </i>
    <i r="2">
      <x v="18"/>
      <x v="22"/>
    </i>
    <i>
      <x v="143"/>
      <x v="5"/>
      <x v="18"/>
      <x v="22"/>
    </i>
    <i r="1">
      <x v="39"/>
      <x v="18"/>
      <x v="22"/>
    </i>
    <i>
      <x v="144"/>
      <x v="13"/>
      <x v="18"/>
      <x v="22"/>
    </i>
    <i>
      <x v="145"/>
      <x v="13"/>
      <x/>
      <x v="22"/>
    </i>
    <i>
      <x v="146"/>
      <x v="45"/>
      <x v="18"/>
      <x v="22"/>
    </i>
    <i>
      <x v="148"/>
      <x v="52"/>
      <x v="18"/>
      <x v="22"/>
    </i>
    <i>
      <x v="150"/>
      <x v="30"/>
      <x/>
      <x v="22"/>
    </i>
    <i>
      <x v="151"/>
      <x/>
      <x v="18"/>
      <x v="22"/>
    </i>
    <i>
      <x v="152"/>
      <x v="13"/>
      <x/>
      <x v="22"/>
    </i>
    <i>
      <x v="153"/>
      <x/>
      <x v="6"/>
      <x v="22"/>
    </i>
    <i>
      <x v="154"/>
      <x v="25"/>
      <x v="3"/>
      <x v="22"/>
    </i>
    <i>
      <x v="155"/>
      <x/>
      <x v="16"/>
      <x v="22"/>
    </i>
    <i>
      <x v="157"/>
      <x/>
      <x v="1"/>
      <x v="22"/>
    </i>
    <i>
      <x v="158"/>
      <x v="54"/>
      <x v="18"/>
      <x v="22"/>
    </i>
    <i>
      <x v="159"/>
      <x v="13"/>
      <x v="36"/>
      <x v="1"/>
    </i>
    <i>
      <x v="160"/>
      <x v="39"/>
      <x v="25"/>
      <x v="22"/>
    </i>
    <i>
      <x v="161"/>
      <x v="3"/>
      <x v="18"/>
      <x v="22"/>
    </i>
    <i>
      <x v="162"/>
      <x v="24"/>
      <x v="2"/>
      <x v="22"/>
    </i>
    <i>
      <x v="163"/>
      <x v="1"/>
      <x v="18"/>
      <x v="22"/>
    </i>
    <i>
      <x v="164"/>
      <x v="53"/>
      <x v="16"/>
      <x v="22"/>
    </i>
    <i t="grand">
      <x/>
    </i>
  </rowItems>
  <colFields count="1">
    <field x="-2"/>
  </colFields>
  <colItems count="5">
    <i>
      <x/>
    </i>
    <i i="1">
      <x v="1"/>
    </i>
    <i i="2">
      <x v="2"/>
    </i>
    <i i="3">
      <x v="3"/>
    </i>
    <i i="4">
      <x v="4"/>
    </i>
  </colItems>
  <dataFields count="5">
    <dataField name="Unit Cost " fld="25" baseField="0" baseItem="0" numFmtId="165"/>
    <dataField name="Total Reagent Sales till date " fld="90" baseField="0" baseItem="0"/>
    <dataField name="Sum of Margin on Reagent sale" fld="98" baseField="0" baseItem="0"/>
    <dataField name="Per Month Reagent Commitment " fld="27" baseField="0" baseItem="0"/>
    <dataField name="Avg reagent Sales per month " fld="92" baseField="0" baseItem="0"/>
  </dataFields>
  <formats count="23">
    <format dxfId="394">
      <pivotArea outline="0" collapsedLevelsAreSubtotals="1" fieldPosition="0"/>
    </format>
    <format dxfId="393">
      <pivotArea field="18" type="button" dataOnly="0" labelOnly="1" outline="0" axis="axisRow" fieldPosition="0"/>
    </format>
    <format dxfId="392">
      <pivotArea field="3" type="button" dataOnly="0" labelOnly="1" outline="0" axis="axisRow" fieldPosition="1"/>
    </format>
    <format dxfId="391">
      <pivotArea field="91" type="button" dataOnly="0" labelOnly="1" outline="0" axis="axisRow" fieldPosition="2"/>
    </format>
    <format dxfId="390">
      <pivotArea field="95" type="button" dataOnly="0" labelOnly="1" outline="0"/>
    </format>
    <format dxfId="389">
      <pivotArea field="34" type="button" dataOnly="0" labelOnly="1" outline="0"/>
    </format>
    <format dxfId="388">
      <pivotArea field="35" type="button" dataOnly="0" labelOnly="1" outline="0" axis="axisRow" fieldPosition="3"/>
    </format>
    <format dxfId="387">
      <pivotArea dataOnly="0" labelOnly="1" outline="0" fieldPosition="0">
        <references count="1">
          <reference field="4294967294" count="5">
            <x v="0"/>
            <x v="1"/>
            <x v="2"/>
            <x v="3"/>
            <x v="4"/>
          </reference>
        </references>
      </pivotArea>
    </format>
    <format dxfId="386">
      <pivotArea field="18" type="button" dataOnly="0" labelOnly="1" outline="0" axis="axisRow" fieldPosition="0"/>
    </format>
    <format dxfId="385">
      <pivotArea field="3" type="button" dataOnly="0" labelOnly="1" outline="0" axis="axisRow" fieldPosition="1"/>
    </format>
    <format dxfId="384">
      <pivotArea field="91" type="button" dataOnly="0" labelOnly="1" outline="0" axis="axisRow" fieldPosition="2"/>
    </format>
    <format dxfId="383">
      <pivotArea field="95" type="button" dataOnly="0" labelOnly="1" outline="0"/>
    </format>
    <format dxfId="382">
      <pivotArea field="34" type="button" dataOnly="0" labelOnly="1" outline="0"/>
    </format>
    <format dxfId="381">
      <pivotArea field="35" type="button" dataOnly="0" labelOnly="1" outline="0" axis="axisRow" fieldPosition="3"/>
    </format>
    <format dxfId="380">
      <pivotArea dataOnly="0" labelOnly="1" outline="0" fieldPosition="0">
        <references count="1">
          <reference field="4294967294" count="5">
            <x v="0"/>
            <x v="1"/>
            <x v="2"/>
            <x v="3"/>
            <x v="4"/>
          </reference>
        </references>
      </pivotArea>
    </format>
    <format dxfId="379">
      <pivotArea field="18" type="button" dataOnly="0" labelOnly="1" outline="0" axis="axisRow" fieldPosition="0"/>
    </format>
    <format dxfId="378">
      <pivotArea field="3" type="button" dataOnly="0" labelOnly="1" outline="0" axis="axisRow" fieldPosition="1"/>
    </format>
    <format dxfId="377">
      <pivotArea field="91" type="button" dataOnly="0" labelOnly="1" outline="0" axis="axisRow" fieldPosition="2"/>
    </format>
    <format dxfId="376">
      <pivotArea field="95" type="button" dataOnly="0" labelOnly="1" outline="0"/>
    </format>
    <format dxfId="375">
      <pivotArea field="34" type="button" dataOnly="0" labelOnly="1" outline="0"/>
    </format>
    <format dxfId="374">
      <pivotArea field="35" type="button" dataOnly="0" labelOnly="1" outline="0" axis="axisRow" fieldPosition="3"/>
    </format>
    <format dxfId="373">
      <pivotArea dataOnly="0" labelOnly="1" outline="0" fieldPosition="0">
        <references count="1">
          <reference field="4294967294" count="5">
            <x v="0"/>
            <x v="1"/>
            <x v="2"/>
            <x v="3"/>
            <x v="4"/>
          </reference>
        </references>
      </pivotArea>
    </format>
    <format dxfId="372">
      <pivotArea dataOnly="0" labelOnly="1" outline="0" fieldPosition="0">
        <references count="1">
          <reference field="3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D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7">
    <pivotField showAll="0"/>
    <pivotField showAll="0"/>
    <pivotField axis="axisPage" showAll="0">
      <items count="13">
        <item x="4"/>
        <item x="3"/>
        <item x="0"/>
        <item x="1"/>
        <item x="2"/>
        <item x="5"/>
        <item x="6"/>
        <item x="7"/>
        <item x="8"/>
        <item x="9"/>
        <item x="10"/>
        <item x="11"/>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pageFields count="1">
    <pageField fld="2" hier="-1"/>
  </pageFields>
  <dataFields count="1">
    <dataField name="Sum of Total Reagent Sales till date Actual"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EDF28E-77DE-4848-AE1C-B36EB5A8C19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E7" firstHeaderRow="0" firstDataRow="1" firstDataCol="1" rowPageCount="1" colPageCount="1"/>
  <pivotFields count="10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m="1" x="15"/>
        <item h="1" x="2"/>
        <item h="1" x="3"/>
        <item x="5"/>
        <item m="1" x="17"/>
        <item x="0"/>
        <item h="1" m="1" x="14"/>
        <item h="1" x="1"/>
        <item h="1" m="1" x="18"/>
        <item h="1" m="1" x="19"/>
        <item h="1" m="1" x="16"/>
        <item h="1" m="1" x="11"/>
        <item h="1" m="1" x="12"/>
        <item h="1" m="1" x="10"/>
        <item h="1" x="7"/>
        <item x="8"/>
        <item m="1" x="13"/>
        <item x="4"/>
        <item h="1" x="6"/>
        <item h="1" m="1" x="9"/>
        <item t="default"/>
      </items>
    </pivotField>
    <pivotField axis="axisRow" showAll="0" sortType="descending">
      <items count="7">
        <item x="1"/>
        <item x="2"/>
        <item x="0"/>
        <item m="1" x="5"/>
        <item m="1"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dataField="1" numFmtId="167" showAll="0"/>
    <pivotField showAll="0"/>
  </pivotFields>
  <rowFields count="1">
    <field x="15"/>
  </rowFields>
  <rowItems count="4">
    <i>
      <x v="2"/>
    </i>
    <i>
      <x/>
    </i>
    <i>
      <x v="1"/>
    </i>
    <i t="grand">
      <x/>
    </i>
  </rowItems>
  <colFields count="1">
    <field x="-2"/>
  </colFields>
  <colItems count="4">
    <i>
      <x/>
    </i>
    <i i="1">
      <x v="1"/>
    </i>
    <i i="2">
      <x v="2"/>
    </i>
    <i i="3">
      <x v="3"/>
    </i>
  </colItems>
  <pageFields count="1">
    <pageField fld="14" hier="-1"/>
  </pageFields>
  <dataFields count="4">
    <dataField name="Number of Machines" fld="3" subtotal="count" baseField="0" baseItem="0"/>
    <dataField name="Total Investment" fld="25" baseField="3" baseItem="0" numFmtId="167"/>
    <dataField name="Total Reagent Sales till date Actual " fld="90" baseField="0" baseItem="0" numFmtId="167"/>
    <dataField name="Margin on Reagent sale " fld="98" baseField="0" baseItem="0" numFmtId="167"/>
  </dataFields>
  <formats count="28">
    <format dxfId="161">
      <pivotArea outline="0" collapsedLevelsAreSubtotals="1" fieldPosition="0">
        <references count="1">
          <reference field="4294967294" count="2" selected="0">
            <x v="1"/>
            <x v="2"/>
          </reference>
        </references>
      </pivotArea>
    </format>
    <format dxfId="160">
      <pivotArea field="15" type="button" dataOnly="0" labelOnly="1" outline="0" axis="axisRow" fieldPosition="0"/>
    </format>
    <format dxfId="159">
      <pivotArea dataOnly="0" labelOnly="1" outline="0" fieldPosition="0">
        <references count="1">
          <reference field="4294967294" count="3">
            <x v="0"/>
            <x v="1"/>
            <x v="2"/>
          </reference>
        </references>
      </pivotArea>
    </format>
    <format dxfId="158">
      <pivotArea field="15" type="button" dataOnly="0" labelOnly="1" outline="0" axis="axisRow" fieldPosition="0"/>
    </format>
    <format dxfId="157">
      <pivotArea dataOnly="0" labelOnly="1" outline="0" fieldPosition="0">
        <references count="1">
          <reference field="4294967294" count="3">
            <x v="0"/>
            <x v="1"/>
            <x v="2"/>
          </reference>
        </references>
      </pivotArea>
    </format>
    <format dxfId="156">
      <pivotArea field="15" type="button" dataOnly="0" labelOnly="1" outline="0" axis="axisRow" fieldPosition="0"/>
    </format>
    <format dxfId="155">
      <pivotArea dataOnly="0" labelOnly="1" outline="0" fieldPosition="0">
        <references count="1">
          <reference field="4294967294" count="3">
            <x v="0"/>
            <x v="1"/>
            <x v="2"/>
          </reference>
        </references>
      </pivotArea>
    </format>
    <format dxfId="154">
      <pivotArea dataOnly="0" labelOnly="1" outline="0" fieldPosition="0">
        <references count="1">
          <reference field="4294967294" count="1">
            <x v="3"/>
          </reference>
        </references>
      </pivotArea>
    </format>
    <format dxfId="153">
      <pivotArea outline="0" collapsedLevelsAreSubtotals="1" fieldPosition="0">
        <references count="1">
          <reference field="4294967294" count="1" selected="0">
            <x v="3"/>
          </reference>
        </references>
      </pivotArea>
    </format>
    <format dxfId="152">
      <pivotArea dataOnly="0" labelOnly="1" outline="0" fieldPosition="0">
        <references count="1">
          <reference field="4294967294" count="1">
            <x v="3"/>
          </reference>
        </references>
      </pivotArea>
    </format>
    <format dxfId="151">
      <pivotArea field="15" type="button" dataOnly="0" labelOnly="1" outline="0" axis="axisRow" fieldPosition="0"/>
    </format>
    <format dxfId="150">
      <pivotArea dataOnly="0" labelOnly="1" outline="0" fieldPosition="0">
        <references count="1">
          <reference field="4294967294" count="4">
            <x v="0"/>
            <x v="1"/>
            <x v="2"/>
            <x v="3"/>
          </reference>
        </references>
      </pivotArea>
    </format>
    <format dxfId="149">
      <pivotArea grandRow="1" outline="0" collapsedLevelsAreSubtotals="1" fieldPosition="0"/>
    </format>
    <format dxfId="148">
      <pivotArea dataOnly="0" labelOnly="1" grandRow="1" outline="0" fieldPosition="0"/>
    </format>
    <format dxfId="147">
      <pivotArea field="15" type="button" dataOnly="0" labelOnly="1" outline="0" axis="axisRow" fieldPosition="0"/>
    </format>
    <format dxfId="146">
      <pivotArea dataOnly="0" labelOnly="1" outline="0" fieldPosition="0">
        <references count="1">
          <reference field="4294967294" count="4">
            <x v="0"/>
            <x v="1"/>
            <x v="2"/>
            <x v="3"/>
          </reference>
        </references>
      </pivotArea>
    </format>
    <format dxfId="145">
      <pivotArea field="15" type="button" dataOnly="0" labelOnly="1" outline="0" axis="axisRow" fieldPosition="0"/>
    </format>
    <format dxfId="144">
      <pivotArea dataOnly="0" labelOnly="1" outline="0" fieldPosition="0">
        <references count="1">
          <reference field="4294967294" count="4">
            <x v="0"/>
            <x v="1"/>
            <x v="2"/>
            <x v="3"/>
          </reference>
        </references>
      </pivotArea>
    </format>
    <format dxfId="143">
      <pivotArea field="15" type="button" dataOnly="0" labelOnly="1" outline="0" axis="axisRow" fieldPosition="0"/>
    </format>
    <format dxfId="142">
      <pivotArea dataOnly="0" labelOnly="1" outline="0" fieldPosition="0">
        <references count="1">
          <reference field="4294967294" count="4">
            <x v="0"/>
            <x v="1"/>
            <x v="2"/>
            <x v="3"/>
          </reference>
        </references>
      </pivotArea>
    </format>
    <format dxfId="141">
      <pivotArea dataOnly="0" labelOnly="1" grandRow="1" outline="0" fieldPosition="0"/>
    </format>
    <format dxfId="140">
      <pivotArea grandRow="1" outline="0" collapsedLevelsAreSubtotals="1" fieldPosition="0"/>
    </format>
    <format dxfId="139">
      <pivotArea field="15" grandRow="1" outline="0" collapsedLevelsAreSubtotals="1" axis="axisRow" fieldPosition="0">
        <references count="1">
          <reference field="4294967294" count="3" selected="0">
            <x v="0"/>
            <x v="1"/>
            <x v="2"/>
          </reference>
        </references>
      </pivotArea>
    </format>
    <format dxfId="138">
      <pivotArea dataOnly="0" labelOnly="1" grandRow="1" outline="0" fieldPosition="0"/>
    </format>
    <format dxfId="137">
      <pivotArea field="15" grandRow="1" outline="0" collapsedLevelsAreSubtotals="1" axis="axisRow" fieldPosition="0">
        <references count="1">
          <reference field="4294967294" count="3" selected="0">
            <x v="0"/>
            <x v="1"/>
            <x v="2"/>
          </reference>
        </references>
      </pivotArea>
    </format>
    <format dxfId="136">
      <pivotArea dataOnly="0" labelOnly="1" grandRow="1" outline="0" fieldPosition="0"/>
    </format>
    <format dxfId="135">
      <pivotArea field="15" grandRow="1" outline="0" collapsedLevelsAreSubtotals="1" axis="axisRow" fieldPosition="0">
        <references count="1">
          <reference field="4294967294" count="3" selected="0">
            <x v="0"/>
            <x v="1"/>
            <x v="2"/>
          </reference>
        </references>
      </pivotArea>
    </format>
    <format dxfId="134">
      <pivotArea field="15" grandRow="1" outline="0" collapsedLevelsAreSubtotals="1" axis="axisRow"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674D41B-41C2-4CC6-ADB6-1DDCAE09DBA6}" name="PivotTable7"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A11:E21" firstHeaderRow="0" firstDataRow="1" firstDataCol="1" rowPageCount="1" colPageCount="1"/>
  <pivotFields count="100">
    <pivotField showAll="0"/>
    <pivotField showAll="0"/>
    <pivotField axis="axisRow" showAll="0" sortType="descending">
      <items count="13">
        <item sd="0" x="3"/>
        <item sd="0" m="1" x="11"/>
        <item sd="0" x="7"/>
        <item sd="0" x="6"/>
        <item sd="0" x="2"/>
        <item sd="0" x="0"/>
        <item sd="0" x="4"/>
        <item sd="0" x="1"/>
        <item sd="0" x="5"/>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x="0"/>
        <item m="1" x="15"/>
        <item h="1" x="2"/>
        <item h="1" x="3"/>
        <item m="1" x="17"/>
        <item x="5"/>
        <item h="1" m="1" x="14"/>
        <item h="1" x="1"/>
        <item h="1" m="1" x="18"/>
        <item h="1" m="1" x="19"/>
        <item h="1" m="1" x="16"/>
        <item h="1" m="1" x="11"/>
        <item m="1" x="12"/>
        <item h="1" m="1" x="10"/>
        <item h="1" x="7"/>
        <item x="8"/>
        <item m="1" x="13"/>
        <item x="4"/>
        <item h="1" x="6"/>
        <item h="1" m="1" x="9"/>
        <item t="default"/>
      </items>
    </pivotField>
    <pivotField showAll="0"/>
    <pivotField multipleItemSelectionAllowe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dataField="1" numFmtId="167" showAll="0"/>
    <pivotField showAll="0"/>
  </pivotFields>
  <rowFields count="1">
    <field x="2"/>
  </rowFields>
  <rowItems count="10">
    <i>
      <x v="4"/>
    </i>
    <i>
      <x v="5"/>
    </i>
    <i>
      <x v="7"/>
    </i>
    <i>
      <x v="6"/>
    </i>
    <i>
      <x/>
    </i>
    <i>
      <x v="2"/>
    </i>
    <i>
      <x v="8"/>
    </i>
    <i>
      <x v="3"/>
    </i>
    <i>
      <x v="10"/>
    </i>
    <i t="grand">
      <x/>
    </i>
  </rowItems>
  <colFields count="1">
    <field x="-2"/>
  </colFields>
  <colItems count="4">
    <i>
      <x/>
    </i>
    <i i="1">
      <x v="1"/>
    </i>
    <i i="2">
      <x v="2"/>
    </i>
    <i i="3">
      <x v="3"/>
    </i>
  </colItems>
  <pageFields count="1">
    <pageField fld="14" hier="-1"/>
  </pageFields>
  <dataFields count="4">
    <dataField name="Number of Machines" fld="3" subtotal="count" baseField="0" baseItem="0"/>
    <dataField name="Total Investment" fld="25" baseField="3" baseItem="0" numFmtId="167"/>
    <dataField name="Total Reagent Sales till date Actual  " fld="90" baseField="0" baseItem="0" numFmtId="167"/>
    <dataField name="Margin on Reagent sale " fld="98" baseField="0" baseItem="0" numFmtId="167"/>
  </dataFields>
  <formats count="26">
    <format dxfId="187">
      <pivotArea outline="0" collapsedLevelsAreSubtotals="1" fieldPosition="0">
        <references count="1">
          <reference field="4294967294" count="2" selected="0">
            <x v="1"/>
            <x v="2"/>
          </reference>
        </references>
      </pivotArea>
    </format>
    <format dxfId="186">
      <pivotArea field="2" type="button" dataOnly="0" labelOnly="1" outline="0" axis="axisRow" fieldPosition="0"/>
    </format>
    <format dxfId="185">
      <pivotArea dataOnly="0" labelOnly="1" outline="0" fieldPosition="0">
        <references count="1">
          <reference field="4294967294" count="3">
            <x v="0"/>
            <x v="1"/>
            <x v="2"/>
          </reference>
        </references>
      </pivotArea>
    </format>
    <format dxfId="184">
      <pivotArea field="2" type="button" dataOnly="0" labelOnly="1" outline="0" axis="axisRow" fieldPosition="0"/>
    </format>
    <format dxfId="183">
      <pivotArea dataOnly="0" labelOnly="1" outline="0" fieldPosition="0">
        <references count="1">
          <reference field="4294967294" count="3">
            <x v="0"/>
            <x v="1"/>
            <x v="2"/>
          </reference>
        </references>
      </pivotArea>
    </format>
    <format dxfId="182">
      <pivotArea field="2" type="button" dataOnly="0" labelOnly="1" outline="0" axis="axisRow" fieldPosition="0"/>
    </format>
    <format dxfId="181">
      <pivotArea dataOnly="0" labelOnly="1" outline="0" fieldPosition="0">
        <references count="1">
          <reference field="4294967294" count="3">
            <x v="0"/>
            <x v="1"/>
            <x v="2"/>
          </reference>
        </references>
      </pivotArea>
    </format>
    <format dxfId="180">
      <pivotArea dataOnly="0" labelOnly="1" outline="0" fieldPosition="0">
        <references count="1">
          <reference field="4294967294" count="1">
            <x v="3"/>
          </reference>
        </references>
      </pivotArea>
    </format>
    <format dxfId="179">
      <pivotArea outline="0" collapsedLevelsAreSubtotals="1" fieldPosition="0">
        <references count="1">
          <reference field="4294967294" count="1" selected="0">
            <x v="3"/>
          </reference>
        </references>
      </pivotArea>
    </format>
    <format dxfId="178">
      <pivotArea dataOnly="0" labelOnly="1" outline="0" fieldPosition="0">
        <references count="1">
          <reference field="4294967294" count="1">
            <x v="3"/>
          </reference>
        </references>
      </pivotArea>
    </format>
    <format dxfId="177">
      <pivotArea field="2" type="button" dataOnly="0" labelOnly="1" outline="0" axis="axisRow" fieldPosition="0"/>
    </format>
    <format dxfId="176">
      <pivotArea dataOnly="0" labelOnly="1" outline="0" fieldPosition="0">
        <references count="1">
          <reference field="4294967294" count="4">
            <x v="0"/>
            <x v="1"/>
            <x v="2"/>
            <x v="3"/>
          </reference>
        </references>
      </pivotArea>
    </format>
    <format dxfId="175">
      <pivotArea grandRow="1" outline="0" collapsedLevelsAreSubtotals="1" fieldPosition="0"/>
    </format>
    <format dxfId="174">
      <pivotArea dataOnly="0" labelOnly="1" grandRow="1" outline="0" fieldPosition="0"/>
    </format>
    <format dxfId="173">
      <pivotArea field="2" type="button" dataOnly="0" labelOnly="1" outline="0" axis="axisRow" fieldPosition="0"/>
    </format>
    <format dxfId="172">
      <pivotArea dataOnly="0" labelOnly="1" outline="0" fieldPosition="0">
        <references count="1">
          <reference field="4294967294" count="4">
            <x v="0"/>
            <x v="1"/>
            <x v="2"/>
            <x v="3"/>
          </reference>
        </references>
      </pivotArea>
    </format>
    <format dxfId="171">
      <pivotArea field="2" type="button" dataOnly="0" labelOnly="1" outline="0" axis="axisRow" fieldPosition="0"/>
    </format>
    <format dxfId="170">
      <pivotArea dataOnly="0" labelOnly="1" outline="0" fieldPosition="0">
        <references count="1">
          <reference field="4294967294" count="4">
            <x v="0"/>
            <x v="1"/>
            <x v="2"/>
            <x v="3"/>
          </reference>
        </references>
      </pivotArea>
    </format>
    <format dxfId="169">
      <pivotArea grandRow="1" outline="0" collapsedLevelsAreSubtotals="1" fieldPosition="0"/>
    </format>
    <format dxfId="168">
      <pivotArea dataOnly="0" labelOnly="1" grandRow="1" outline="0" fieldPosition="0"/>
    </format>
    <format dxfId="167">
      <pivotArea field="2" type="button" dataOnly="0" labelOnly="1" outline="0" axis="axisRow" fieldPosition="0"/>
    </format>
    <format dxfId="166">
      <pivotArea dataOnly="0" labelOnly="1" outline="0" fieldPosition="0">
        <references count="1">
          <reference field="4294967294" count="3">
            <x v="0"/>
            <x v="1"/>
            <x v="2"/>
          </reference>
        </references>
      </pivotArea>
    </format>
    <format dxfId="165">
      <pivotArea field="2" grandRow="1" outline="0" collapsedLevelsAreSubtotals="1" axis="axisRow" fieldPosition="0">
        <references count="1">
          <reference field="4294967294" count="3" selected="0">
            <x v="0"/>
            <x v="1"/>
            <x v="2"/>
          </reference>
        </references>
      </pivotArea>
    </format>
    <format dxfId="164">
      <pivotArea dataOnly="0" labelOnly="1" grandRow="1" outline="0" fieldPosition="0"/>
    </format>
    <format dxfId="163">
      <pivotArea field="2" grandRow="1" outline="0" collapsedLevelsAreSubtotals="1" axis="axisRow" fieldPosition="0">
        <references count="1">
          <reference field="4294967294" count="3" selected="0">
            <x v="0"/>
            <x v="1"/>
            <x v="2"/>
          </reference>
        </references>
      </pivotArea>
    </format>
    <format dxfId="16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CDBE29F-7A61-4BC2-925B-A723D6534EEB}" name="PivotTable5" cacheId="2"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Q3:AA7" firstHeaderRow="0" firstDataRow="1" firstDataCol="1" rowPageCount="1" colPageCount="1"/>
  <pivotFields count="87">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x="0"/>
        <item h="1" x="2"/>
        <item h="1" x="3"/>
        <item m="1" x="16"/>
        <item x="5"/>
        <item h="1" x="1"/>
        <item h="1" m="1" x="15"/>
        <item h="1" m="1" x="14"/>
        <item h="1" m="1" x="11"/>
        <item h="1" m="1" x="12"/>
        <item h="1" m="1" x="10"/>
        <item h="1" x="7"/>
        <item x="8"/>
        <item m="1" x="13"/>
        <item x="4"/>
        <item h="1" x="6"/>
        <item h="1" m="1" x="9"/>
        <item t="default"/>
      </items>
    </pivotField>
    <pivotField axis="axisRow" showAll="0" sortType="descending">
      <items count="6">
        <item x="1"/>
        <item x="2"/>
        <item x="0"/>
        <item m="1" x="4"/>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numFmtId="167" showAll="0"/>
    <pivotField showAll="0"/>
    <pivotField showAll="0"/>
    <pivotField showAll="0"/>
    <pivotField showAll="0"/>
    <pivotField numFmtId="167" showAll="0"/>
  </pivotFields>
  <rowFields count="1">
    <field x="14"/>
  </rowFields>
  <rowItems count="4">
    <i>
      <x v="2"/>
    </i>
    <i>
      <x/>
    </i>
    <i>
      <x v="1"/>
    </i>
    <i t="grand">
      <x/>
    </i>
  </rowItems>
  <colFields count="1">
    <field x="-2"/>
  </colFields>
  <colItems count="10">
    <i>
      <x/>
    </i>
    <i i="1">
      <x v="1"/>
    </i>
    <i i="2">
      <x v="2"/>
    </i>
    <i i="3">
      <x v="3"/>
    </i>
    <i i="4">
      <x v="4"/>
    </i>
    <i i="5">
      <x v="5"/>
    </i>
    <i i="6">
      <x v="6"/>
    </i>
    <i i="7">
      <x v="7"/>
    </i>
    <i i="8">
      <x v="8"/>
    </i>
    <i i="9">
      <x v="9"/>
    </i>
  </colItems>
  <pageFields count="1">
    <pageField fld="13" hier="-1"/>
  </pageFields>
  <dataFields count="10">
    <dataField name="No.of Machine Name" fld="2" subtotal="count" baseField="0" baseItem="0"/>
    <dataField name="Total Investment" fld="24" baseField="3" baseItem="0" numFmtId="167"/>
    <dataField name="Per Month Commitment" fld="26" baseField="0" baseItem="0" numFmtId="167"/>
    <dataField name="Mar'-25" fld="71" baseField="14" baseItem="2"/>
    <dataField name="Apr'-25" fld="72" baseField="0" baseItem="0"/>
    <dataField name="'May-25" fld="73" baseField="0" baseItem="0" numFmtId="3"/>
    <dataField name="'Jun-25" fld="74" baseField="14" baseItem="2"/>
    <dataField name="Jul'-25" fld="75" baseField="0" baseItem="0" numFmtId="3"/>
    <dataField name="Aug'-25" fld="76" baseField="14" baseItem="2" numFmtId="167"/>
    <dataField name="Sep'-25" fld="77" baseField="14" baseItem="2"/>
  </dataFields>
  <formats count="44">
    <format dxfId="231">
      <pivotArea outline="0" collapsedLevelsAreSubtotals="1" fieldPosition="0">
        <references count="1">
          <reference field="4294967294" count="1" selected="0">
            <x v="1"/>
          </reference>
        </references>
      </pivotArea>
    </format>
    <format dxfId="230">
      <pivotArea field="14" type="button" dataOnly="0" labelOnly="1" outline="0" axis="axisRow" fieldPosition="0"/>
    </format>
    <format dxfId="229">
      <pivotArea dataOnly="0" labelOnly="1" outline="0" fieldPosition="0">
        <references count="1">
          <reference field="4294967294" count="2">
            <x v="0"/>
            <x v="1"/>
          </reference>
        </references>
      </pivotArea>
    </format>
    <format dxfId="228">
      <pivotArea field="14" type="button" dataOnly="0" labelOnly="1" outline="0" axis="axisRow" fieldPosition="0"/>
    </format>
    <format dxfId="227">
      <pivotArea dataOnly="0" labelOnly="1" outline="0" fieldPosition="0">
        <references count="1">
          <reference field="4294967294" count="2">
            <x v="0"/>
            <x v="1"/>
          </reference>
        </references>
      </pivotArea>
    </format>
    <format dxfId="226">
      <pivotArea field="14" type="button" dataOnly="0" labelOnly="1" outline="0" axis="axisRow" fieldPosition="0"/>
    </format>
    <format dxfId="225">
      <pivotArea dataOnly="0" labelOnly="1" outline="0" fieldPosition="0">
        <references count="1">
          <reference field="4294967294" count="2">
            <x v="0"/>
            <x v="1"/>
          </reference>
        </references>
      </pivotArea>
    </format>
    <format dxfId="224">
      <pivotArea field="14" type="button" dataOnly="0" labelOnly="1" outline="0" axis="axisRow" fieldPosition="0"/>
    </format>
    <format dxfId="223">
      <pivotArea dataOnly="0" labelOnly="1" outline="0" fieldPosition="0">
        <references count="1">
          <reference field="4294967294" count="2">
            <x v="0"/>
            <x v="1"/>
          </reference>
        </references>
      </pivotArea>
    </format>
    <format dxfId="222">
      <pivotArea grandRow="1" outline="0" collapsedLevelsAreSubtotals="1" fieldPosition="0"/>
    </format>
    <format dxfId="221">
      <pivotArea dataOnly="0" labelOnly="1" grandRow="1" outline="0" fieldPosition="0"/>
    </format>
    <format dxfId="220">
      <pivotArea field="14" type="button" dataOnly="0" labelOnly="1" outline="0" axis="axisRow" fieldPosition="0"/>
    </format>
    <format dxfId="219">
      <pivotArea dataOnly="0" labelOnly="1" outline="0" fieldPosition="0">
        <references count="1">
          <reference field="4294967294" count="2">
            <x v="0"/>
            <x v="1"/>
          </reference>
        </references>
      </pivotArea>
    </format>
    <format dxfId="218">
      <pivotArea dataOnly="0" labelOnly="1" outline="0" fieldPosition="0">
        <references count="1">
          <reference field="4294967294" count="1">
            <x v="2"/>
          </reference>
        </references>
      </pivotArea>
    </format>
    <format dxfId="217">
      <pivotArea outline="0" collapsedLevelsAreSubtotals="1" fieldPosition="0">
        <references count="1">
          <reference field="4294967294" count="1" selected="0">
            <x v="2"/>
          </reference>
        </references>
      </pivotArea>
    </format>
    <format dxfId="216">
      <pivotArea field="14" type="button" dataOnly="0" labelOnly="1" outline="0" axis="axisRow" fieldPosition="0"/>
    </format>
    <format dxfId="215">
      <pivotArea dataOnly="0" labelOnly="1" outline="0" fieldPosition="0">
        <references count="1">
          <reference field="4294967294" count="3">
            <x v="0"/>
            <x v="1"/>
            <x v="2"/>
          </reference>
        </references>
      </pivotArea>
    </format>
    <format dxfId="214">
      <pivotArea grandRow="1" outline="0" collapsedLevelsAreSubtotals="1" fieldPosition="0"/>
    </format>
    <format dxfId="213">
      <pivotArea dataOnly="0" labelOnly="1" grandRow="1" outline="0" fieldPosition="0"/>
    </format>
    <format dxfId="212">
      <pivotArea field="14" type="button" dataOnly="0" labelOnly="1" outline="0" axis="axisRow" fieldPosition="0"/>
    </format>
    <format dxfId="211">
      <pivotArea dataOnly="0" labelOnly="1" outline="0" fieldPosition="0">
        <references count="1">
          <reference field="4294967294" count="4">
            <x v="0"/>
            <x v="1"/>
            <x v="2"/>
            <x v="5"/>
          </reference>
        </references>
      </pivotArea>
    </format>
    <format dxfId="210">
      <pivotArea grandRow="1" outline="0" collapsedLevelsAreSubtotals="1" fieldPosition="0"/>
    </format>
    <format dxfId="209">
      <pivotArea dataOnly="0" labelOnly="1" grandRow="1" outline="0" fieldPosition="0"/>
    </format>
    <format dxfId="208">
      <pivotArea dataOnly="0" labelOnly="1" outline="0" fieldPosition="0">
        <references count="1">
          <reference field="4294967294" count="1">
            <x v="5"/>
          </reference>
        </references>
      </pivotArea>
    </format>
    <format dxfId="207">
      <pivotArea outline="0" fieldPosition="0">
        <references count="1">
          <reference field="4294967294" count="1">
            <x v="5"/>
          </reference>
        </references>
      </pivotArea>
    </format>
    <format dxfId="206">
      <pivotArea dataOnly="0" labelOnly="1" outline="0" fieldPosition="0">
        <references count="1">
          <reference field="4294967294" count="1">
            <x v="6"/>
          </reference>
        </references>
      </pivotArea>
    </format>
    <format dxfId="205">
      <pivotArea collapsedLevelsAreSubtotals="1" fieldPosition="0">
        <references count="2">
          <reference field="4294967294" count="1" selected="0">
            <x v="6"/>
          </reference>
          <reference field="14" count="0"/>
        </references>
      </pivotArea>
    </format>
    <format dxfId="204">
      <pivotArea outline="0" collapsedLevelsAreSubtotals="1" fieldPosition="0">
        <references count="1">
          <reference field="4294967294" count="1" selected="0">
            <x v="7"/>
          </reference>
        </references>
      </pivotArea>
    </format>
    <format dxfId="203">
      <pivotArea dataOnly="0" labelOnly="1" outline="0" fieldPosition="0">
        <references count="1">
          <reference field="4294967294" count="1">
            <x v="7"/>
          </reference>
        </references>
      </pivotArea>
    </format>
    <format dxfId="202">
      <pivotArea collapsedLevelsAreSubtotals="1" fieldPosition="0">
        <references count="2">
          <reference field="4294967294" count="1" selected="0">
            <x v="7"/>
          </reference>
          <reference field="14" count="1">
            <x v="2"/>
          </reference>
        </references>
      </pivotArea>
    </format>
    <format dxfId="201">
      <pivotArea outline="0" fieldPosition="0">
        <references count="1">
          <reference field="4294967294" count="1">
            <x v="7"/>
          </reference>
        </references>
      </pivotArea>
    </format>
    <format dxfId="200">
      <pivotArea collapsedLevelsAreSubtotals="1" fieldPosition="0">
        <references count="2">
          <reference field="4294967294" count="1" selected="0">
            <x v="7"/>
          </reference>
          <reference field="14" count="1">
            <x v="0"/>
          </reference>
        </references>
      </pivotArea>
    </format>
    <format dxfId="199">
      <pivotArea collapsedLevelsAreSubtotals="1" fieldPosition="0">
        <references count="2">
          <reference field="4294967294" count="1" selected="0">
            <x v="7"/>
          </reference>
          <reference field="14" count="1">
            <x v="1"/>
          </reference>
        </references>
      </pivotArea>
    </format>
    <format dxfId="198">
      <pivotArea collapsedLevelsAreSubtotals="1" fieldPosition="0">
        <references count="2">
          <reference field="4294967294" count="1" selected="0">
            <x v="7"/>
          </reference>
          <reference field="14" count="2">
            <x v="0"/>
            <x v="1"/>
          </reference>
        </references>
      </pivotArea>
    </format>
    <format dxfId="197">
      <pivotArea dataOnly="0" labelOnly="1" outline="0" fieldPosition="0">
        <references count="1">
          <reference field="4294967294" count="1">
            <x v="8"/>
          </reference>
        </references>
      </pivotArea>
    </format>
    <format dxfId="196">
      <pivotArea dataOnly="0" labelOnly="1" outline="0" fieldPosition="0">
        <references count="1">
          <reference field="4294967294" count="1">
            <x v="3"/>
          </reference>
        </references>
      </pivotArea>
    </format>
    <format dxfId="195">
      <pivotArea dataOnly="0" labelOnly="1" outline="0" fieldPosition="0">
        <references count="1">
          <reference field="4294967294" count="1">
            <x v="4"/>
          </reference>
        </references>
      </pivotArea>
    </format>
    <format dxfId="194">
      <pivotArea outline="0" collapsedLevelsAreSubtotals="1" fieldPosition="0">
        <references count="1">
          <reference field="4294967294" count="1" selected="0">
            <x v="8"/>
          </reference>
        </references>
      </pivotArea>
    </format>
    <format dxfId="193">
      <pivotArea collapsedLevelsAreSubtotals="1" fieldPosition="0">
        <references count="2">
          <reference field="4294967294" count="2" selected="0">
            <x v="3"/>
            <x v="4"/>
          </reference>
          <reference field="14" count="0"/>
        </references>
      </pivotArea>
    </format>
    <format dxfId="192">
      <pivotArea dataOnly="0" labelOnly="1" outline="0" fieldPosition="0">
        <references count="1">
          <reference field="4294967294" count="1">
            <x v="3"/>
          </reference>
        </references>
      </pivotArea>
    </format>
    <format dxfId="191">
      <pivotArea dataOnly="0" labelOnly="1" outline="0" fieldPosition="0">
        <references count="1">
          <reference field="4294967294" count="1">
            <x v="3"/>
          </reference>
        </references>
      </pivotArea>
    </format>
    <format dxfId="190">
      <pivotArea dataOnly="0" labelOnly="1" outline="0" fieldPosition="0">
        <references count="1">
          <reference field="4294967294" count="1">
            <x v="3"/>
          </reference>
        </references>
      </pivotArea>
    </format>
    <format dxfId="189">
      <pivotArea dataOnly="0" labelOnly="1" outline="0" fieldPosition="0">
        <references count="1">
          <reference field="4294967294" count="1">
            <x v="9"/>
          </reference>
        </references>
      </pivotArea>
    </format>
    <format dxfId="188">
      <pivotArea collapsedLevelsAreSubtotals="1" fieldPosition="0">
        <references count="2">
          <reference field="4294967294" count="1" selected="0">
            <x v="9"/>
          </reference>
          <reference field="14" count="0"/>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B9E7D4E-96E2-4127-851F-0A4F74BC5304}" name="PivotTable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Q11:AA21" firstHeaderRow="0" firstDataRow="1" firstDataCol="1" rowPageCount="1" colPageCount="1"/>
  <pivotFields count="99">
    <pivotField showAll="0"/>
    <pivotField axis="axisRow" showAll="0" sortType="descending">
      <items count="12">
        <item sd="0" x="3"/>
        <item sd="0" x="7"/>
        <item sd="0" x="6"/>
        <item sd="0" x="2"/>
        <item sd="0" x="4"/>
        <item sd="0" x="0"/>
        <item sd="0" x="1"/>
        <item sd="0" x="5"/>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8">
        <item x="0"/>
        <item h="1" x="2"/>
        <item h="1" x="3"/>
        <item m="1" x="16"/>
        <item x="5"/>
        <item h="1" x="1"/>
        <item h="1" m="1" x="15"/>
        <item h="1" m="1" x="14"/>
        <item h="1" m="1" x="10"/>
        <item h="1" m="1" x="11"/>
        <item m="1" x="12"/>
        <item h="1" x="7"/>
        <item x="8"/>
        <item m="1" x="13"/>
        <item x="4"/>
        <item h="1" x="6"/>
        <item h="1" m="1" x="9"/>
        <item t="default"/>
      </items>
    </pivotField>
    <pivotField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multipleItemSelectionAllowed="1"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numFmtId="167" showAll="0"/>
    <pivotField showAll="0"/>
    <pivotField showAll="0"/>
    <pivotField showAll="0"/>
    <pivotField showAll="0"/>
    <pivotField numFmtId="167" showAll="0"/>
    <pivotField showAll="0"/>
    <pivotField showAll="0"/>
    <pivotField showAll="0"/>
    <pivotField showAll="0"/>
    <pivotField showAll="0"/>
    <pivotField showAll="0"/>
    <pivotField showAll="0"/>
    <pivotField numFmtId="167" showAll="0"/>
    <pivotField showAll="0"/>
    <pivotField numFmtId="167" showAll="0"/>
    <pivotField showAll="0"/>
  </pivotFields>
  <rowFields count="1">
    <field x="1"/>
  </rowFields>
  <rowItems count="10">
    <i>
      <x v="3"/>
    </i>
    <i>
      <x v="5"/>
    </i>
    <i>
      <x v="6"/>
    </i>
    <i>
      <x v="4"/>
    </i>
    <i>
      <x/>
    </i>
    <i>
      <x v="1"/>
    </i>
    <i>
      <x v="7"/>
    </i>
    <i>
      <x v="2"/>
    </i>
    <i>
      <x v="9"/>
    </i>
    <i t="grand">
      <x/>
    </i>
  </rowItems>
  <colFields count="1">
    <field x="-2"/>
  </colFields>
  <colItems count="10">
    <i>
      <x/>
    </i>
    <i i="1">
      <x v="1"/>
    </i>
    <i i="2">
      <x v="2"/>
    </i>
    <i i="3">
      <x v="3"/>
    </i>
    <i i="4">
      <x v="4"/>
    </i>
    <i i="5">
      <x v="5"/>
    </i>
    <i i="6">
      <x v="6"/>
    </i>
    <i i="7">
      <x v="7"/>
    </i>
    <i i="8">
      <x v="8"/>
    </i>
    <i i="9">
      <x v="9"/>
    </i>
  </colItems>
  <pageFields count="1">
    <pageField fld="13" hier="-1"/>
  </pageFields>
  <dataFields count="10">
    <dataField name="No.of Machine Name" fld="2" subtotal="count" baseField="0" baseItem="0"/>
    <dataField name="Total Investment" fld="24" baseField="3" baseItem="0" numFmtId="167"/>
    <dataField name="Per Month Commitment" fld="26" baseField="0" baseItem="0" numFmtId="167"/>
    <dataField name="Mar'-25" fld="72" baseField="1" baseItem="3"/>
    <dataField name="Apr'-25" fld="73" baseField="0" baseItem="0"/>
    <dataField name="'May-25" fld="74" baseField="0" baseItem="0" numFmtId="3"/>
    <dataField name="'Jun-25" fld="75" baseField="1" baseItem="3"/>
    <dataField name="Jul'-25" fld="76" baseField="0" baseItem="0" numFmtId="3"/>
    <dataField name="Aug'-25" fld="77" baseField="1" baseItem="3"/>
    <dataField name="Sep'-25" fld="78" baseField="1" baseItem="3"/>
  </dataFields>
  <formats count="40">
    <format dxfId="271">
      <pivotArea outline="0" collapsedLevelsAreSubtotals="1" fieldPosition="0">
        <references count="1">
          <reference field="4294967294" count="1" selected="0">
            <x v="1"/>
          </reference>
        </references>
      </pivotArea>
    </format>
    <format dxfId="270">
      <pivotArea field="14" type="button" dataOnly="0" labelOnly="1" outline="0"/>
    </format>
    <format dxfId="269">
      <pivotArea dataOnly="0" labelOnly="1" outline="0" fieldPosition="0">
        <references count="1">
          <reference field="4294967294" count="2">
            <x v="0"/>
            <x v="1"/>
          </reference>
        </references>
      </pivotArea>
    </format>
    <format dxfId="268">
      <pivotArea field="14" type="button" dataOnly="0" labelOnly="1" outline="0"/>
    </format>
    <format dxfId="267">
      <pivotArea dataOnly="0" labelOnly="1" outline="0" fieldPosition="0">
        <references count="1">
          <reference field="4294967294" count="2">
            <x v="0"/>
            <x v="1"/>
          </reference>
        </references>
      </pivotArea>
    </format>
    <format dxfId="266">
      <pivotArea field="14" type="button" dataOnly="0" labelOnly="1" outline="0"/>
    </format>
    <format dxfId="265">
      <pivotArea dataOnly="0" labelOnly="1" outline="0" fieldPosition="0">
        <references count="1">
          <reference field="4294967294" count="2">
            <x v="0"/>
            <x v="1"/>
          </reference>
        </references>
      </pivotArea>
    </format>
    <format dxfId="264">
      <pivotArea outline="0" collapsedLevelsAreSubtotals="1" fieldPosition="0">
        <references count="1">
          <reference field="4294967294" count="1" selected="0">
            <x v="2"/>
          </reference>
        </references>
      </pivotArea>
    </format>
    <format dxfId="263">
      <pivotArea dataOnly="0" labelOnly="1" outline="0" fieldPosition="0">
        <references count="1">
          <reference field="4294967294" count="1">
            <x v="2"/>
          </reference>
        </references>
      </pivotArea>
    </format>
    <format dxfId="262">
      <pivotArea dataOnly="0" labelOnly="1" outline="0" fieldPosition="0">
        <references count="1">
          <reference field="4294967294" count="1">
            <x v="2"/>
          </reference>
        </references>
      </pivotArea>
    </format>
    <format dxfId="261">
      <pivotArea dataOnly="0" labelOnly="1" outline="0" fieldPosition="0">
        <references count="1">
          <reference field="4294967294" count="1">
            <x v="2"/>
          </reference>
        </references>
      </pivotArea>
    </format>
    <format dxfId="260">
      <pivotArea dataOnly="0" labelOnly="1" outline="0" fieldPosition="0">
        <references count="1">
          <reference field="4294967294" count="1">
            <x v="2"/>
          </reference>
        </references>
      </pivotArea>
    </format>
    <format dxfId="259">
      <pivotArea field="14" type="button" dataOnly="0" labelOnly="1" outline="0"/>
    </format>
    <format dxfId="258">
      <pivotArea dataOnly="0" labelOnly="1" outline="0" fieldPosition="0">
        <references count="1">
          <reference field="4294967294" count="3">
            <x v="0"/>
            <x v="1"/>
            <x v="2"/>
          </reference>
        </references>
      </pivotArea>
    </format>
    <format dxfId="257">
      <pivotArea grandRow="1" outline="0" collapsedLevelsAreSubtotals="1" fieldPosition="0"/>
    </format>
    <format dxfId="256">
      <pivotArea dataOnly="0" labelOnly="1" grandRow="1" outline="0" fieldPosition="0"/>
    </format>
    <format dxfId="255">
      <pivotArea field="1" type="button" dataOnly="0" labelOnly="1" outline="0" axis="axisRow" fieldPosition="0"/>
    </format>
    <format dxfId="254">
      <pivotArea field="1" type="button" dataOnly="0" labelOnly="1" outline="0" axis="axisRow" fieldPosition="0"/>
    </format>
    <format dxfId="253">
      <pivotArea dataOnly="0" labelOnly="1" outline="0" fieldPosition="0">
        <references count="1">
          <reference field="4294967294" count="3">
            <x v="0"/>
            <x v="1"/>
            <x v="2"/>
          </reference>
        </references>
      </pivotArea>
    </format>
    <format dxfId="252">
      <pivotArea field="1" type="button" dataOnly="0" labelOnly="1" outline="0" axis="axisRow" fieldPosition="0"/>
    </format>
    <format dxfId="251">
      <pivotArea dataOnly="0" labelOnly="1" outline="0" fieldPosition="0">
        <references count="1">
          <reference field="4294967294" count="3">
            <x v="0"/>
            <x v="1"/>
            <x v="2"/>
          </reference>
        </references>
      </pivotArea>
    </format>
    <format dxfId="250">
      <pivotArea dataOnly="0" labelOnly="1" grandRow="1" outline="0" fieldPosition="0"/>
    </format>
    <format dxfId="249">
      <pivotArea grandRow="1" outline="0" collapsedLevelsAreSubtotals="1" fieldPosition="0"/>
    </format>
    <format dxfId="248">
      <pivotArea field="1" type="button" dataOnly="0" labelOnly="1" outline="0" axis="axisRow" fieldPosition="0"/>
    </format>
    <format dxfId="247">
      <pivotArea dataOnly="0" labelOnly="1" outline="0" fieldPosition="0">
        <references count="1">
          <reference field="4294967294" count="4">
            <x v="0"/>
            <x v="1"/>
            <x v="2"/>
            <x v="5"/>
          </reference>
        </references>
      </pivotArea>
    </format>
    <format dxfId="246">
      <pivotArea dataOnly="0" labelOnly="1" grandRow="1" outline="0" fieldPosition="0"/>
    </format>
    <format dxfId="245">
      <pivotArea dataOnly="0" labelOnly="1" outline="0" fieldPosition="0">
        <references count="1">
          <reference field="4294967294" count="1">
            <x v="5"/>
          </reference>
        </references>
      </pivotArea>
    </format>
    <format dxfId="244">
      <pivotArea outline="0" fieldPosition="0">
        <references count="1">
          <reference field="4294967294" count="1">
            <x v="5"/>
          </reference>
        </references>
      </pivotArea>
    </format>
    <format dxfId="243">
      <pivotArea grandRow="1" outline="0" collapsedLevelsAreSubtotals="1" fieldPosition="0"/>
    </format>
    <format dxfId="242">
      <pivotArea grandRow="1" outline="0" collapsedLevelsAreSubtotals="1" fieldPosition="0"/>
    </format>
    <format dxfId="241">
      <pivotArea dataOnly="0" labelOnly="1" outline="0" fieldPosition="0">
        <references count="1">
          <reference field="4294967294" count="1">
            <x v="6"/>
          </reference>
        </references>
      </pivotArea>
    </format>
    <format dxfId="240">
      <pivotArea collapsedLevelsAreSubtotals="1" fieldPosition="0">
        <references count="2">
          <reference field="4294967294" count="1" selected="0">
            <x v="6"/>
          </reference>
          <reference field="1" count="8">
            <x v="0"/>
            <x v="1"/>
            <x v="2"/>
            <x v="3"/>
            <x v="4"/>
            <x v="5"/>
            <x v="6"/>
            <x v="7"/>
          </reference>
        </references>
      </pivotArea>
    </format>
    <format dxfId="239">
      <pivotArea dataOnly="0" labelOnly="1" outline="0" fieldPosition="0">
        <references count="1">
          <reference field="4294967294" count="1">
            <x v="7"/>
          </reference>
        </references>
      </pivotArea>
    </format>
    <format dxfId="238">
      <pivotArea outline="0" fieldPosition="0">
        <references count="1">
          <reference field="4294967294" count="1">
            <x v="7"/>
          </reference>
        </references>
      </pivotArea>
    </format>
    <format dxfId="237">
      <pivotArea dataOnly="0" labelOnly="1" outline="0" fieldPosition="0">
        <references count="1">
          <reference field="4294967294" count="1">
            <x v="8"/>
          </reference>
        </references>
      </pivotArea>
    </format>
    <format dxfId="236">
      <pivotArea dataOnly="0" labelOnly="1" outline="0" fieldPosition="0">
        <references count="1">
          <reference field="4294967294" count="2">
            <x v="3"/>
            <x v="4"/>
          </reference>
        </references>
      </pivotArea>
    </format>
    <format dxfId="235">
      <pivotArea collapsedLevelsAreSubtotals="1" fieldPosition="0">
        <references count="2">
          <reference field="4294967294" count="2" selected="0">
            <x v="3"/>
            <x v="4"/>
          </reference>
          <reference field="1" count="8">
            <x v="0"/>
            <x v="1"/>
            <x v="2"/>
            <x v="3"/>
            <x v="4"/>
            <x v="5"/>
            <x v="6"/>
            <x v="7"/>
          </reference>
        </references>
      </pivotArea>
    </format>
    <format dxfId="234">
      <pivotArea collapsedLevelsAreSubtotals="1" fieldPosition="0">
        <references count="2">
          <reference field="4294967294" count="1" selected="0">
            <x v="8"/>
          </reference>
          <reference field="1" count="9">
            <x v="0"/>
            <x v="1"/>
            <x v="2"/>
            <x v="3"/>
            <x v="4"/>
            <x v="5"/>
            <x v="6"/>
            <x v="7"/>
            <x v="9"/>
          </reference>
        </references>
      </pivotArea>
    </format>
    <format dxfId="233">
      <pivotArea dataOnly="0" labelOnly="1" outline="0" fieldPosition="0">
        <references count="1">
          <reference field="4294967294" count="1">
            <x v="9"/>
          </reference>
        </references>
      </pivotArea>
    </format>
    <format dxfId="232">
      <pivotArea collapsedLevelsAreSubtotals="1" fieldPosition="0">
        <references count="2">
          <reference field="4294967294" count="1" selected="0">
            <x v="9"/>
          </reference>
          <reference field="1" count="9">
            <x v="0"/>
            <x v="1"/>
            <x v="2"/>
            <x v="3"/>
            <x v="4"/>
            <x v="5"/>
            <x v="6"/>
            <x v="7"/>
            <x v="9"/>
          </reference>
        </references>
      </pivotArea>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42C5F7A-FF89-4BB5-BFD7-9EA48306D3F8}" name="PivotTable3" cacheId="4" applyNumberFormats="0" applyBorderFormats="0" applyFontFormats="0" applyPatternFormats="0" applyAlignmentFormats="0" applyWidthHeightFormats="1" dataCaption="Values" grandTotalCaption="Total" updatedVersion="8" minRefreshableVersion="3" useAutoFormatting="1" itemPrintTitles="1" createdVersion="8" indent="0" compact="0" compactData="0" multipleFieldFilters="0" rowHeaderCaption="Supplier Name">
  <location ref="Q25:AA45" firstHeaderRow="0" firstDataRow="1" firstDataCol="1" rowPageCount="2" colPageCount="1"/>
  <pivotFields count="99">
    <pivotField compact="0" outline="0" showAll="0"/>
    <pivotField axis="axisPage" compact="0" outline="0" multipleItemSelectionAllowed="1" showAll="0" sortType="descending">
      <items count="12">
        <item h="1" sd="0" x="3"/>
        <item h="1" sd="0" x="7"/>
        <item h="1" sd="0" x="6"/>
        <item sd="0" x="2"/>
        <item h="1" sd="0" x="4"/>
        <item h="1" sd="0" x="0"/>
        <item h="1" sd="0" x="1"/>
        <item h="1" sd="0" x="5"/>
        <item m="1" x="10"/>
        <item h="1" x="8"/>
        <item h="1" x="9"/>
        <item t="default" sd="0"/>
      </items>
      <autoSortScope>
        <pivotArea dataOnly="0" outline="0" fieldPosition="0">
          <references count="1">
            <reference field="4294967294" count="1" selected="0">
              <x v="1"/>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8">
        <item x="0"/>
        <item h="1" x="2"/>
        <item h="1" x="3"/>
        <item m="1" x="16"/>
        <item x="5"/>
        <item h="1" x="1"/>
        <item h="1" m="1" x="15"/>
        <item h="1" m="1" x="14"/>
        <item h="1" m="1" x="10"/>
        <item h="1" m="1" x="11"/>
        <item m="1" x="12"/>
        <item h="1" x="7"/>
        <item x="8"/>
        <item m="1" x="13"/>
        <item x="4"/>
        <item h="1" x="6"/>
        <item h="1" m="1" x="9"/>
        <item t="default"/>
      </items>
    </pivotField>
    <pivotField compact="0" outline="0" showAll="0" sortType="descending">
      <items count="5">
        <item x="1"/>
        <item x="2"/>
        <item x="0"/>
        <item x="3"/>
        <item t="default"/>
      </items>
      <autoSortScope>
        <pivotArea dataOnly="0" outline="0" fieldPosition="0">
          <references count="1">
            <reference field="4294967294" count="1" selected="0">
              <x v="1"/>
            </reference>
          </references>
        </pivotArea>
      </autoSortScope>
    </pivotField>
    <pivotField compact="0" outline="0" multipleItemSelectionAllowed="1" showAll="0"/>
    <pivotField compact="0" outline="0" showAll="0"/>
    <pivotField axis="axisRow" compact="0" outline="0" showAll="0" sortType="descending" defaultSubtotal="0">
      <items count="147">
        <item x="82"/>
        <item x="98"/>
        <item m="1" x="143"/>
        <item x="26"/>
        <item x="56"/>
        <item x="27"/>
        <item m="1" x="139"/>
        <item x="15"/>
        <item x="24"/>
        <item x="39"/>
        <item x="34"/>
        <item m="1" x="138"/>
        <item x="68"/>
        <item m="1" x="145"/>
        <item m="1" x="140"/>
        <item x="31"/>
        <item x="63"/>
        <item x="74"/>
        <item x="83"/>
        <item x="48"/>
        <item x="25"/>
        <item x="47"/>
        <item x="16"/>
        <item x="110"/>
        <item x="42"/>
        <item x="59"/>
        <item x="60"/>
        <item x="0"/>
        <item x="11"/>
        <item x="1"/>
        <item m="1" x="146"/>
        <item x="113"/>
        <item x="23"/>
        <item x="44"/>
        <item x="124"/>
        <item x="99"/>
        <item x="119"/>
        <item x="54"/>
        <item x="107"/>
        <item x="50"/>
        <item x="49"/>
        <item x="123"/>
        <item x="111"/>
        <item x="21"/>
        <item x="92"/>
        <item x="52"/>
        <item x="2"/>
        <item x="22"/>
        <item x="35"/>
        <item x="106"/>
        <item x="88"/>
        <item x="100"/>
        <item x="101"/>
        <item x="94"/>
        <item x="89"/>
        <item x="104"/>
        <item x="105"/>
        <item x="72"/>
        <item x="57"/>
        <item x="58"/>
        <item x="118"/>
        <item x="46"/>
        <item x="93"/>
        <item x="114"/>
        <item m="1" x="141"/>
        <item x="38"/>
        <item x="53"/>
        <item x="65"/>
        <item x="64"/>
        <item x="45"/>
        <item x="79"/>
        <item x="19"/>
        <item x="17"/>
        <item x="10"/>
        <item x="55"/>
        <item x="67"/>
        <item x="40"/>
        <item x="71"/>
        <item x="73"/>
        <item x="70"/>
        <item x="43"/>
        <item x="66"/>
        <item x="33"/>
        <item x="32"/>
        <item x="13"/>
        <item x="14"/>
        <item x="80"/>
        <item x="115"/>
        <item x="108"/>
        <item x="109"/>
        <item x="96"/>
        <item x="95"/>
        <item x="117"/>
        <item x="86"/>
        <item x="84"/>
        <item x="3"/>
        <item x="4"/>
        <item x="6"/>
        <item x="7"/>
        <item x="5"/>
        <item x="87"/>
        <item x="81"/>
        <item x="85"/>
        <item x="97"/>
        <item x="112"/>
        <item x="126"/>
        <item x="90"/>
        <item x="91"/>
        <item m="1" x="142"/>
        <item x="36"/>
        <item x="51"/>
        <item x="125"/>
        <item x="20"/>
        <item x="62"/>
        <item x="116"/>
        <item x="120"/>
        <item x="77"/>
        <item x="127"/>
        <item x="78"/>
        <item x="12"/>
        <item x="76"/>
        <item x="121"/>
        <item x="122"/>
        <item x="129"/>
        <item x="29"/>
        <item x="37"/>
        <item x="9"/>
        <item x="8"/>
        <item x="41"/>
        <item m="1" x="144"/>
        <item x="103"/>
        <item m="1" x="136"/>
        <item x="102"/>
        <item x="18"/>
        <item x="30"/>
        <item x="130"/>
        <item x="131"/>
        <item x="132"/>
        <item m="1" x="137"/>
        <item x="133"/>
        <item x="135"/>
        <item x="28"/>
        <item x="61"/>
        <item x="75"/>
        <item x="69"/>
        <item x="134"/>
        <item x="128"/>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numFmtId="167" outline="0" showAll="0"/>
    <pivotField compact="0" outline="0" showAll="0"/>
  </pivotFields>
  <rowFields count="1">
    <field x="17"/>
  </rowFields>
  <rowItems count="20">
    <i>
      <x v="125"/>
    </i>
    <i>
      <x v="3"/>
    </i>
    <i>
      <x v="88"/>
    </i>
    <i>
      <x v="116"/>
    </i>
    <i>
      <x v="26"/>
    </i>
    <i>
      <x v="34"/>
    </i>
    <i>
      <x v="36"/>
    </i>
    <i>
      <x v="65"/>
    </i>
    <i>
      <x v="63"/>
    </i>
    <i>
      <x v="87"/>
    </i>
    <i>
      <x v="83"/>
    </i>
    <i>
      <x v="114"/>
    </i>
    <i>
      <x v="31"/>
    </i>
    <i>
      <x v="89"/>
    </i>
    <i>
      <x v="72"/>
    </i>
    <i>
      <x v="76"/>
    </i>
    <i>
      <x v="142"/>
    </i>
    <i>
      <x v="8"/>
    </i>
    <i>
      <x v="67"/>
    </i>
    <i t="grand">
      <x/>
    </i>
  </rowItems>
  <colFields count="1">
    <field x="-2"/>
  </colFields>
  <colItems count="10">
    <i>
      <x/>
    </i>
    <i i="1">
      <x v="1"/>
    </i>
    <i i="2">
      <x v="2"/>
    </i>
    <i i="3">
      <x v="3"/>
    </i>
    <i i="4">
      <x v="4"/>
    </i>
    <i i="5">
      <x v="5"/>
    </i>
    <i i="6">
      <x v="6"/>
    </i>
    <i i="7">
      <x v="7"/>
    </i>
    <i i="8">
      <x v="8"/>
    </i>
    <i i="9">
      <x v="9"/>
    </i>
  </colItems>
  <pageFields count="2">
    <pageField fld="13" hier="-1"/>
    <pageField fld="1" hier="-1"/>
  </pageFields>
  <dataFields count="10">
    <dataField name="No.of Machine Name" fld="2" subtotal="count" baseField="0" baseItem="0"/>
    <dataField name="Total Investment" fld="24" baseField="3" baseItem="0" numFmtId="167"/>
    <dataField name="Per Month Commitment" fld="26" baseField="0" baseItem="0" numFmtId="167"/>
    <dataField name="Mar'-25" fld="72" baseField="1" baseItem="3"/>
    <dataField name="Apr'-25" fld="73" baseField="0" baseItem="0"/>
    <dataField name="'May-25" fld="74" baseField="0" baseItem="0" numFmtId="3"/>
    <dataField name="'Jun-25" fld="75" baseField="1" baseItem="3"/>
    <dataField name="Jul'-25" fld="76" baseField="0" baseItem="0" numFmtId="3"/>
    <dataField name="Aug'-25" fld="77" baseField="1" baseItem="3"/>
    <dataField name="Sep'-25" fld="78" baseField="1" baseItem="3"/>
  </dataFields>
  <formats count="38">
    <format dxfId="309">
      <pivotArea outline="0" collapsedLevelsAreSubtotals="1" fieldPosition="0">
        <references count="1">
          <reference field="4294967294" count="1" selected="0">
            <x v="1"/>
          </reference>
        </references>
      </pivotArea>
    </format>
    <format dxfId="308">
      <pivotArea field="14" type="button" dataOnly="0" labelOnly="1" outline="0"/>
    </format>
    <format dxfId="307">
      <pivotArea dataOnly="0" labelOnly="1" outline="0" fieldPosition="0">
        <references count="1">
          <reference field="4294967294" count="2">
            <x v="0"/>
            <x v="1"/>
          </reference>
        </references>
      </pivotArea>
    </format>
    <format dxfId="306">
      <pivotArea field="14" type="button" dataOnly="0" labelOnly="1" outline="0"/>
    </format>
    <format dxfId="305">
      <pivotArea dataOnly="0" labelOnly="1" outline="0" fieldPosition="0">
        <references count="1">
          <reference field="4294967294" count="2">
            <x v="0"/>
            <x v="1"/>
          </reference>
        </references>
      </pivotArea>
    </format>
    <format dxfId="304">
      <pivotArea field="14" type="button" dataOnly="0" labelOnly="1" outline="0"/>
    </format>
    <format dxfId="303">
      <pivotArea dataOnly="0" labelOnly="1" outline="0" fieldPosition="0">
        <references count="1">
          <reference field="4294967294" count="2">
            <x v="0"/>
            <x v="1"/>
          </reference>
        </references>
      </pivotArea>
    </format>
    <format dxfId="302">
      <pivotArea outline="0" collapsedLevelsAreSubtotals="1" fieldPosition="0">
        <references count="1">
          <reference field="4294967294" count="1" selected="0">
            <x v="2"/>
          </reference>
        </references>
      </pivotArea>
    </format>
    <format dxfId="301">
      <pivotArea dataOnly="0" labelOnly="1" outline="0" fieldPosition="0">
        <references count="1">
          <reference field="4294967294" count="1">
            <x v="2"/>
          </reference>
        </references>
      </pivotArea>
    </format>
    <format dxfId="300">
      <pivotArea dataOnly="0" labelOnly="1" outline="0" fieldPosition="0">
        <references count="1">
          <reference field="4294967294" count="1">
            <x v="2"/>
          </reference>
        </references>
      </pivotArea>
    </format>
    <format dxfId="299">
      <pivotArea dataOnly="0" labelOnly="1" outline="0" fieldPosition="0">
        <references count="1">
          <reference field="4294967294" count="1">
            <x v="2"/>
          </reference>
        </references>
      </pivotArea>
    </format>
    <format dxfId="298">
      <pivotArea dataOnly="0" labelOnly="1" outline="0" fieldPosition="0">
        <references count="1">
          <reference field="4294967294" count="1">
            <x v="2"/>
          </reference>
        </references>
      </pivotArea>
    </format>
    <format dxfId="297">
      <pivotArea field="14" type="button" dataOnly="0" labelOnly="1" outline="0"/>
    </format>
    <format dxfId="296">
      <pivotArea dataOnly="0" labelOnly="1" outline="0" fieldPosition="0">
        <references count="1">
          <reference field="4294967294" count="3">
            <x v="0"/>
            <x v="1"/>
            <x v="2"/>
          </reference>
        </references>
      </pivotArea>
    </format>
    <format dxfId="295">
      <pivotArea grandRow="1" outline="0" collapsedLevelsAreSubtotals="1" fieldPosition="0"/>
    </format>
    <format dxfId="294">
      <pivotArea dataOnly="0" labelOnly="1" grandRow="1" outline="0" fieldPosition="0"/>
    </format>
    <format dxfId="293">
      <pivotArea field="1" type="button" dataOnly="0" labelOnly="1" outline="0" axis="axisPage" fieldPosition="1"/>
    </format>
    <format dxfId="292">
      <pivotArea field="1" type="button" dataOnly="0" labelOnly="1" outline="0" axis="axisPage" fieldPosition="1"/>
    </format>
    <format dxfId="291">
      <pivotArea dataOnly="0" labelOnly="1" outline="0" fieldPosition="0">
        <references count="1">
          <reference field="4294967294" count="3">
            <x v="0"/>
            <x v="1"/>
            <x v="2"/>
          </reference>
        </references>
      </pivotArea>
    </format>
    <format dxfId="290">
      <pivotArea field="1" type="button" dataOnly="0" labelOnly="1" outline="0" axis="axisPage" fieldPosition="1"/>
    </format>
    <format dxfId="289">
      <pivotArea dataOnly="0" labelOnly="1" outline="0" fieldPosition="0">
        <references count="1">
          <reference field="4294967294" count="3">
            <x v="0"/>
            <x v="1"/>
            <x v="2"/>
          </reference>
        </references>
      </pivotArea>
    </format>
    <format dxfId="288">
      <pivotArea dataOnly="0" labelOnly="1" grandRow="1" outline="0" fieldPosition="0"/>
    </format>
    <format dxfId="287">
      <pivotArea grandRow="1" outline="0" collapsedLevelsAreSubtotals="1" fieldPosition="0"/>
    </format>
    <format dxfId="286">
      <pivotArea field="1" type="button" dataOnly="0" labelOnly="1" outline="0" axis="axisPage" fieldPosition="1"/>
    </format>
    <format dxfId="285">
      <pivotArea dataOnly="0" labelOnly="1" outline="0" fieldPosition="0">
        <references count="1">
          <reference field="4294967294" count="4">
            <x v="0"/>
            <x v="1"/>
            <x v="2"/>
            <x v="5"/>
          </reference>
        </references>
      </pivotArea>
    </format>
    <format dxfId="284">
      <pivotArea dataOnly="0" labelOnly="1" grandRow="1" outline="0" fieldPosition="0"/>
    </format>
    <format dxfId="283">
      <pivotArea dataOnly="0" labelOnly="1" outline="0" fieldPosition="0">
        <references count="1">
          <reference field="4294967294" count="1">
            <x v="5"/>
          </reference>
        </references>
      </pivotArea>
    </format>
    <format dxfId="282">
      <pivotArea outline="0" fieldPosition="0">
        <references count="1">
          <reference field="4294967294" count="1">
            <x v="5"/>
          </reference>
        </references>
      </pivotArea>
    </format>
    <format dxfId="281">
      <pivotArea grandRow="1" outline="0" collapsedLevelsAreSubtotals="1" fieldPosition="0"/>
    </format>
    <format dxfId="280">
      <pivotArea grandRow="1" outline="0" collapsedLevelsAreSubtotals="1" fieldPosition="0"/>
    </format>
    <format dxfId="279">
      <pivotArea dataOnly="0" labelOnly="1" outline="0" fieldPosition="0">
        <references count="1">
          <reference field="4294967294" count="1">
            <x v="6"/>
          </reference>
        </references>
      </pivotArea>
    </format>
    <format dxfId="278">
      <pivotArea dataOnly="0" labelOnly="1" outline="0" fieldPosition="0">
        <references count="1">
          <reference field="4294967294" count="1">
            <x v="7"/>
          </reference>
        </references>
      </pivotArea>
    </format>
    <format dxfId="277">
      <pivotArea outline="0" fieldPosition="0">
        <references count="1">
          <reference field="4294967294" count="1">
            <x v="7"/>
          </reference>
        </references>
      </pivotArea>
    </format>
    <format dxfId="276">
      <pivotArea dataOnly="0" labelOnly="1" outline="0" fieldPosition="0">
        <references count="1">
          <reference field="4294967294" count="1">
            <x v="8"/>
          </reference>
        </references>
      </pivotArea>
    </format>
    <format dxfId="275">
      <pivotArea dataOnly="0" labelOnly="1" outline="0" fieldPosition="0">
        <references count="1">
          <reference field="4294967294" count="2">
            <x v="3"/>
            <x v="4"/>
          </reference>
        </references>
      </pivotArea>
    </format>
    <format dxfId="274">
      <pivotArea dataOnly="0" labelOnly="1" outline="0" fieldPosition="0">
        <references count="1">
          <reference field="4294967294" count="1">
            <x v="9"/>
          </reference>
        </references>
      </pivotArea>
    </format>
    <format dxfId="273">
      <pivotArea collapsedLevelsAreSubtotals="1" fieldPosition="0">
        <references count="2">
          <reference field="4294967294" count="9" selected="0">
            <x v="1"/>
            <x v="2"/>
            <x v="3"/>
            <x v="4"/>
            <x v="5"/>
            <x v="6"/>
            <x v="7"/>
            <x v="8"/>
            <x v="9"/>
          </reference>
          <reference field="17" count="83">
            <x v="0"/>
            <x v="1"/>
            <x v="3"/>
            <x v="4"/>
            <x v="5"/>
            <x v="6"/>
            <x v="7"/>
            <x v="8"/>
            <x v="9"/>
            <x v="10"/>
            <x v="11"/>
            <x v="12"/>
            <x v="14"/>
            <x v="16"/>
            <x v="18"/>
            <x v="19"/>
            <x v="20"/>
            <x v="21"/>
            <x v="23"/>
            <x v="24"/>
            <x v="25"/>
            <x v="26"/>
            <x v="27"/>
            <x v="28"/>
            <x v="29"/>
            <x v="31"/>
            <x v="32"/>
            <x v="33"/>
            <x v="35"/>
            <x v="36"/>
            <x v="37"/>
            <x v="38"/>
            <x v="39"/>
            <x v="42"/>
            <x v="44"/>
            <x v="45"/>
            <x v="47"/>
            <x v="48"/>
            <x v="51"/>
            <x v="52"/>
            <x v="53"/>
            <x v="55"/>
            <x v="57"/>
            <x v="60"/>
            <x v="61"/>
            <x v="63"/>
            <x v="64"/>
            <x v="65"/>
            <x v="66"/>
            <x v="67"/>
            <x v="68"/>
            <x v="69"/>
            <x v="72"/>
            <x v="73"/>
            <x v="74"/>
            <x v="76"/>
            <x v="77"/>
            <x v="79"/>
            <x v="81"/>
            <x v="83"/>
            <x v="84"/>
            <x v="86"/>
            <x v="87"/>
            <x v="88"/>
            <x v="89"/>
            <x v="91"/>
            <x v="92"/>
            <x v="93"/>
            <x v="94"/>
            <x v="95"/>
            <x v="96"/>
            <x v="97"/>
            <x v="98"/>
            <x v="99"/>
            <x v="100"/>
            <x v="101"/>
            <x v="102"/>
            <x v="103"/>
            <x v="104"/>
            <x v="106"/>
            <x v="109"/>
            <x v="112"/>
            <x v="114"/>
          </reference>
        </references>
      </pivotArea>
    </format>
    <format dxfId="272">
      <pivotArea field="17" type="button" dataOnly="0" labelOnly="1" outline="0" axis="axisRow"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3E1ECE9-D692-4219-A101-0CD2AFA86550}" name="PivotTable1"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upplier Name">
  <location ref="A25:E35" firstHeaderRow="0" firstDataRow="1" firstDataCol="1" rowPageCount="1" colPageCount="1"/>
  <pivotFields count="100">
    <pivotField showAll="0"/>
    <pivotField showAll="0"/>
    <pivotField axis="axisRow" showAll="0" sortType="descending">
      <items count="13">
        <item sd="0" x="3"/>
        <item sd="0" m="1" x="11"/>
        <item sd="0" x="7"/>
        <item sd="0" x="6"/>
        <item sd="0" x="2"/>
        <item sd="0" x="0"/>
        <item sd="0" x="4"/>
        <item sd="0" x="1"/>
        <item sd="0" x="5"/>
        <item m="1" x="10"/>
        <item x="8"/>
        <item x="9"/>
        <item t="default" sd="0"/>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
        <item x="0"/>
        <item m="1" x="15"/>
        <item h="1" x="2"/>
        <item h="1" x="3"/>
        <item m="1" x="17"/>
        <item x="5"/>
        <item h="1" m="1" x="14"/>
        <item h="1" x="1"/>
        <item h="1" m="1" x="18"/>
        <item h="1" m="1" x="19"/>
        <item h="1" m="1" x="16"/>
        <item h="1" m="1" x="11"/>
        <item m="1" x="12"/>
        <item h="1" m="1" x="10"/>
        <item h="1" x="7"/>
        <item x="8"/>
        <item m="1" x="13"/>
        <item x="4"/>
        <item h="1" x="6"/>
        <item h="1" m="1" x="9"/>
        <item t="default"/>
      </items>
    </pivotField>
    <pivotField showAll="0"/>
    <pivotField multipleItemSelectionAllowe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dataField="1" showAll="0"/>
    <pivotField showAll="0"/>
    <pivotField showAll="0"/>
    <pivotField showAll="0"/>
    <pivotField showAll="0"/>
    <pivotField showAll="0"/>
    <pivotField numFmtId="167" showAll="0"/>
    <pivotField showAll="0"/>
    <pivotField dataField="1" numFmtId="167" showAll="0"/>
    <pivotField showAll="0"/>
  </pivotFields>
  <rowFields count="1">
    <field x="2"/>
  </rowFields>
  <rowItems count="10">
    <i>
      <x v="4"/>
    </i>
    <i>
      <x v="5"/>
    </i>
    <i>
      <x v="7"/>
    </i>
    <i>
      <x v="6"/>
    </i>
    <i>
      <x/>
    </i>
    <i>
      <x v="2"/>
    </i>
    <i>
      <x v="8"/>
    </i>
    <i>
      <x v="3"/>
    </i>
    <i>
      <x v="10"/>
    </i>
    <i t="grand">
      <x/>
    </i>
  </rowItems>
  <colFields count="1">
    <field x="-2"/>
  </colFields>
  <colItems count="4">
    <i>
      <x/>
    </i>
    <i i="1">
      <x v="1"/>
    </i>
    <i i="2">
      <x v="2"/>
    </i>
    <i i="3">
      <x v="3"/>
    </i>
  </colItems>
  <pageFields count="1">
    <pageField fld="14" hier="-1"/>
  </pageFields>
  <dataFields count="4">
    <dataField name="Number of Machines" fld="3" subtotal="count" baseField="0" baseItem="0"/>
    <dataField name="Total Investment" fld="25" baseField="3" baseItem="0" numFmtId="167"/>
    <dataField name="Total Reagent Sales till date Actual  " fld="90" baseField="0" baseItem="0" numFmtId="167"/>
    <dataField name="Margin on Reagent sale " fld="98" baseField="0" baseItem="0" numFmtId="167"/>
  </dataFields>
  <formats count="26">
    <format dxfId="335">
      <pivotArea outline="0" collapsedLevelsAreSubtotals="1" fieldPosition="0">
        <references count="1">
          <reference field="4294967294" count="2" selected="0">
            <x v="1"/>
            <x v="2"/>
          </reference>
        </references>
      </pivotArea>
    </format>
    <format dxfId="334">
      <pivotArea field="2" type="button" dataOnly="0" labelOnly="1" outline="0" axis="axisRow" fieldPosition="0"/>
    </format>
    <format dxfId="333">
      <pivotArea dataOnly="0" labelOnly="1" outline="0" fieldPosition="0">
        <references count="1">
          <reference field="4294967294" count="3">
            <x v="0"/>
            <x v="1"/>
            <x v="2"/>
          </reference>
        </references>
      </pivotArea>
    </format>
    <format dxfId="332">
      <pivotArea field="2" type="button" dataOnly="0" labelOnly="1" outline="0" axis="axisRow" fieldPosition="0"/>
    </format>
    <format dxfId="331">
      <pivotArea dataOnly="0" labelOnly="1" outline="0" fieldPosition="0">
        <references count="1">
          <reference field="4294967294" count="3">
            <x v="0"/>
            <x v="1"/>
            <x v="2"/>
          </reference>
        </references>
      </pivotArea>
    </format>
    <format dxfId="330">
      <pivotArea field="2" type="button" dataOnly="0" labelOnly="1" outline="0" axis="axisRow" fieldPosition="0"/>
    </format>
    <format dxfId="329">
      <pivotArea dataOnly="0" labelOnly="1" outline="0" fieldPosition="0">
        <references count="1">
          <reference field="4294967294" count="3">
            <x v="0"/>
            <x v="1"/>
            <x v="2"/>
          </reference>
        </references>
      </pivotArea>
    </format>
    <format dxfId="328">
      <pivotArea dataOnly="0" labelOnly="1" outline="0" fieldPosition="0">
        <references count="1">
          <reference field="4294967294" count="1">
            <x v="3"/>
          </reference>
        </references>
      </pivotArea>
    </format>
    <format dxfId="327">
      <pivotArea outline="0" collapsedLevelsAreSubtotals="1" fieldPosition="0">
        <references count="1">
          <reference field="4294967294" count="1" selected="0">
            <x v="3"/>
          </reference>
        </references>
      </pivotArea>
    </format>
    <format dxfId="326">
      <pivotArea dataOnly="0" labelOnly="1" outline="0" fieldPosition="0">
        <references count="1">
          <reference field="4294967294" count="1">
            <x v="3"/>
          </reference>
        </references>
      </pivotArea>
    </format>
    <format dxfId="325">
      <pivotArea field="2" type="button" dataOnly="0" labelOnly="1" outline="0" axis="axisRow" fieldPosition="0"/>
    </format>
    <format dxfId="324">
      <pivotArea dataOnly="0" labelOnly="1" outline="0" fieldPosition="0">
        <references count="1">
          <reference field="4294967294" count="4">
            <x v="0"/>
            <x v="1"/>
            <x v="2"/>
            <x v="3"/>
          </reference>
        </references>
      </pivotArea>
    </format>
    <format dxfId="323">
      <pivotArea grandRow="1" outline="0" collapsedLevelsAreSubtotals="1" fieldPosition="0"/>
    </format>
    <format dxfId="322">
      <pivotArea dataOnly="0" labelOnly="1" grandRow="1" outline="0" fieldPosition="0"/>
    </format>
    <format dxfId="321">
      <pivotArea field="2" type="button" dataOnly="0" labelOnly="1" outline="0" axis="axisRow" fieldPosition="0"/>
    </format>
    <format dxfId="320">
      <pivotArea dataOnly="0" labelOnly="1" outline="0" fieldPosition="0">
        <references count="1">
          <reference field="4294967294" count="4">
            <x v="0"/>
            <x v="1"/>
            <x v="2"/>
            <x v="3"/>
          </reference>
        </references>
      </pivotArea>
    </format>
    <format dxfId="319">
      <pivotArea field="2" type="button" dataOnly="0" labelOnly="1" outline="0" axis="axisRow" fieldPosition="0"/>
    </format>
    <format dxfId="318">
      <pivotArea dataOnly="0" labelOnly="1" outline="0" fieldPosition="0">
        <references count="1">
          <reference field="4294967294" count="4">
            <x v="0"/>
            <x v="1"/>
            <x v="2"/>
            <x v="3"/>
          </reference>
        </references>
      </pivotArea>
    </format>
    <format dxfId="317">
      <pivotArea grandRow="1" outline="0" collapsedLevelsAreSubtotals="1" fieldPosition="0"/>
    </format>
    <format dxfId="316">
      <pivotArea dataOnly="0" labelOnly="1" grandRow="1" outline="0" fieldPosition="0"/>
    </format>
    <format dxfId="315">
      <pivotArea field="2" type="button" dataOnly="0" labelOnly="1" outline="0" axis="axisRow" fieldPosition="0"/>
    </format>
    <format dxfId="314">
      <pivotArea dataOnly="0" labelOnly="1" outline="0" fieldPosition="0">
        <references count="1">
          <reference field="4294967294" count="3">
            <x v="0"/>
            <x v="1"/>
            <x v="2"/>
          </reference>
        </references>
      </pivotArea>
    </format>
    <format dxfId="313">
      <pivotArea field="2" grandRow="1" outline="0" collapsedLevelsAreSubtotals="1" axis="axisRow" fieldPosition="0">
        <references count="1">
          <reference field="4294967294" count="3" selected="0">
            <x v="0"/>
            <x v="1"/>
            <x v="2"/>
          </reference>
        </references>
      </pivotArea>
    </format>
    <format dxfId="312">
      <pivotArea dataOnly="0" labelOnly="1" grandRow="1" outline="0" fieldPosition="0"/>
    </format>
    <format dxfId="311">
      <pivotArea field="2" grandRow="1" outline="0" collapsedLevelsAreSubtotals="1" axis="axisRow" fieldPosition="0">
        <references count="1">
          <reference field="4294967294" count="3" selected="0">
            <x v="0"/>
            <x v="1"/>
            <x v="2"/>
          </reference>
        </references>
      </pivotArea>
    </format>
    <format dxfId="31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00000000-0013-0000-FFFF-FFFF01000000}" sourceName="Supplier name">
  <pivotTables>
    <pivotTable tabId="9" name="PivotTable2"/>
  </pivotTables>
  <data>
    <tabular pivotCacheId="1727196831">
      <items count="12">
        <i x="3" s="1"/>
        <i x="5" s="1"/>
        <i x="7" s="1"/>
        <i x="9" s="1"/>
        <i x="6" s="1"/>
        <i x="2" s="1"/>
        <i x="4" s="1"/>
        <i x="1" s="1"/>
        <i x="0" s="1"/>
        <i x="8" s="1"/>
        <i x="11"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Name3" xr10:uid="{00000000-0013-0000-FFFF-FFFF02000000}" sourceName="Machine Name">
  <pivotTables>
    <pivotTable tabId="9" name="PivotTable2"/>
  </pivotTables>
  <data>
    <tabular pivotCacheId="1727196831">
      <items count="56">
        <i x="7" s="1"/>
        <i x="33" s="1"/>
        <i x="16" s="1"/>
        <i x="34" s="1"/>
        <i x="31" s="1"/>
        <i x="19" s="1"/>
        <i x="37" s="1"/>
        <i x="32" s="1"/>
        <i x="12" s="1"/>
        <i x="0" s="1"/>
        <i x="25" s="1"/>
        <i x="3" s="1"/>
        <i x="41" s="1"/>
        <i x="4" s="1"/>
        <i x="21" s="1"/>
        <i x="35" s="1"/>
        <i x="15" s="1"/>
        <i x="36" s="1"/>
        <i x="23" s="1"/>
        <i x="24" s="1"/>
        <i x="10" s="1"/>
        <i x="8" s="1"/>
        <i x="27" s="1"/>
        <i x="1" s="1"/>
        <i x="26" s="1"/>
        <i x="28" s="1"/>
        <i x="30" s="1"/>
        <i x="6" s="1"/>
        <i x="22" s="1"/>
        <i x="39" s="1"/>
        <i x="9" s="1"/>
        <i x="29" s="1"/>
        <i x="5" s="1"/>
        <i x="14" s="1"/>
        <i x="40" s="1"/>
        <i x="20" s="1"/>
        <i x="13" s="1"/>
        <i x="18" s="1"/>
        <i x="38" s="1"/>
        <i x="2" s="1"/>
        <i x="11" s="1"/>
        <i x="17" s="1"/>
        <i x="55" s="1" nd="1"/>
        <i x="49" s="1" nd="1"/>
        <i x="51" s="1" nd="1"/>
        <i x="48" s="1" nd="1"/>
        <i x="45" s="1" nd="1"/>
        <i x="54" s="1" nd="1"/>
        <i x="53" s="1" nd="1"/>
        <i x="47" s="1" nd="1"/>
        <i x="42" s="1" nd="1"/>
        <i x="52" s="1" nd="1"/>
        <i x="46" s="1" nd="1"/>
        <i x="43" s="1" nd="1"/>
        <i x="50" s="1" nd="1"/>
        <i x="4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00000000-0013-0000-FFFF-FFFF03000000}" sourceName="Region">
  <pivotTables>
    <pivotTable tabId="9" name="PivotTable2"/>
  </pivotTables>
  <data>
    <tabular pivotCacheId="1727196831">
      <items count="6">
        <i x="1" s="1"/>
        <i x="2" s="1"/>
        <i x="0" s="1"/>
        <i x="4" s="1" nd="1"/>
        <i x="5"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0000000-0013-0000-FFFF-FFFF04000000}" sourceName="Region">
  <extLst>
    <x:ext xmlns:x15="http://schemas.microsoft.com/office/spreadsheetml/2010/11/main" uri="{2F2917AC-EB37-4324-AD4E-5DD8C200BD13}">
      <x15:tableSlicerCache tableId="2" column="1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Name1" xr10:uid="{00000000-0013-0000-FFFF-FFFF05000000}" sourceName="Machine Name">
  <extLst>
    <x:ext xmlns:x15="http://schemas.microsoft.com/office/spreadsheetml/2010/11/main" uri="{2F2917AC-EB37-4324-AD4E-5DD8C200BD13}">
      <x15:tableSlicerCache tableId="2"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0000000-0013-0000-FFFF-FFFF06000000}" sourceName="Region">
  <extLst>
    <x:ext xmlns:x15="http://schemas.microsoft.com/office/spreadsheetml/2010/11/main" uri="{2F2917AC-EB37-4324-AD4E-5DD8C200BD13}">
      <x15:tableSlicerCache tableId="3" column="1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0000000-0013-0000-FFFF-FFFF07000000}" sourceName="Supplier name">
  <extLst>
    <x:ext xmlns:x15="http://schemas.microsoft.com/office/spreadsheetml/2010/11/main" uri="{2F2917AC-EB37-4324-AD4E-5DD8C200BD13}">
      <x15:tableSlicerCache tableId="3" column="4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0000000-0014-0000-FFFF-FFFF01000000}" cache="Slicer_Region2" caption="Region" columnCount="3" style="SlicerStyleLight4" rowHeight="234950"/>
  <slicer name="Supplier name" xr10:uid="{00000000-0014-0000-FFFF-FFFF02000000}" cache="Slicer_Supplier_name" caption="Supplier name" columnCount="6" style="SlicerStyleLigh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name 1" xr10:uid="{00000000-0014-0000-FFFF-FFFF03000000}" cache="Slicer_Supplier_name1" caption="Supplier name" columnCount="6" rowHeight="234950"/>
  <slicer name="Machine Name 3" xr10:uid="{00000000-0014-0000-FFFF-FFFF04000000}" cache="Slicer_Machine_Name3" caption="Machine Name" columnCount="6" rowHeight="234950"/>
  <slicer name="Region 3" xr10:uid="{00000000-0014-0000-FFFF-FFFF05000000}" cache="Slicer_Region3" caption="Region"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6000000}" cache="Slicer_Region1" caption="Region" columnCount="3" style="SlicerStyleLight4" rowHeight="234950"/>
  <slicer name="Machine Name 1" xr10:uid="{00000000-0014-0000-FFFF-FFFF07000000}" cache="Slicer_Machine_Name1" caption="Machine Name" columnCount="9"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4" displayName="Table14" ref="A7:CV207" totalsRowShown="0" headerRowDxfId="496" dataDxfId="494" headerRowBorderDxfId="495" headerRowCellStyle="Comma">
  <autoFilter ref="A7:CV207" xr:uid="{00000000-0009-0000-0100-000003000000}"/>
  <tableColumns count="100">
    <tableColumn id="2" xr3:uid="{00000000-0010-0000-0000-000002000000}" name="Sales Manager" dataDxfId="493"/>
    <tableColumn id="78" xr3:uid="{00000000-0010-0000-0000-00004E000000}" name="Businesst Managers" dataDxfId="492"/>
    <tableColumn id="40" xr3:uid="{00000000-0010-0000-0000-000028000000}" name="Supplier name" dataDxfId="491"/>
    <tableColumn id="3" xr3:uid="{00000000-0010-0000-0000-000003000000}" name="Machine Name" dataDxfId="490"/>
    <tableColumn id="4" xr3:uid="{00000000-0010-0000-0000-000004000000}" name="SAP Material No" dataDxfId="489"/>
    <tableColumn id="5" xr3:uid="{00000000-0010-0000-0000-000005000000}" name="Machine type" dataDxfId="488"/>
    <tableColumn id="34" xr3:uid="{00000000-0010-0000-0000-000022000000}" name="Asset Number " dataDxfId="487"/>
    <tableColumn id="52" xr3:uid="{00000000-0010-0000-0000-000034000000}" name="Transfer" dataDxfId="486"/>
    <tableColumn id="6" xr3:uid="{00000000-0010-0000-0000-000006000000}" name="MachineSerial No." dataDxfId="485"/>
    <tableColumn id="7" xr3:uid="{00000000-0010-0000-0000-000007000000}" name="Machine Issue Date" dataDxfId="484"/>
    <tableColumn id="8" xr3:uid="{00000000-0010-0000-0000-000008000000}" name="Agreement Date" dataDxfId="483"/>
    <tableColumn id="9" xr3:uid="{00000000-0010-0000-0000-000009000000}" name="Approval Date" dataDxfId="482"/>
    <tableColumn id="57" xr3:uid="{00000000-0010-0000-0000-000039000000}" name="Business Case" dataDxfId="481"/>
    <tableColumn id="87" xr3:uid="{EEEB9A2D-27E2-490E-8EF4-4AD49258E6BF}" name="Remarks" dataDxfId="480"/>
    <tableColumn id="11" xr3:uid="{00000000-0010-0000-0000-00000B000000}" name="Status" dataDxfId="479"/>
    <tableColumn id="12" xr3:uid="{00000000-0010-0000-0000-00000C000000}" name="Region" dataDxfId="478"/>
    <tableColumn id="13" xr3:uid="{00000000-0010-0000-0000-00000D000000}" name="City" dataDxfId="477"/>
    <tableColumn id="14" xr3:uid="{00000000-0010-0000-0000-00000E000000}" name="Customer No." dataDxfId="476"/>
    <tableColumn id="15" xr3:uid="{00000000-0010-0000-0000-00000F000000}" name="Customer Name" dataDxfId="475"/>
    <tableColumn id="16" xr3:uid="{00000000-0010-0000-0000-000010000000}" name="Owner" dataDxfId="474"/>
    <tableColumn id="17" xr3:uid="{00000000-0010-0000-0000-000011000000}" name="Adresss" dataDxfId="473"/>
    <tableColumn id="18" xr3:uid="{00000000-0010-0000-0000-000012000000}" name="Phone" dataDxfId="472"/>
    <tableColumn id="19" xr3:uid="{00000000-0010-0000-0000-000013000000}" name="Email" dataDxfId="471"/>
    <tableColumn id="20" xr3:uid="{00000000-0010-0000-0000-000014000000}" name="NTN / STN" dataDxfId="470"/>
    <tableColumn id="22" xr3:uid="{00000000-0010-0000-0000-000016000000}" name="CNIC" dataDxfId="469"/>
    <tableColumn id="23" xr3:uid="{00000000-0010-0000-0000-000017000000}" name="Unit Cost" dataDxfId="468" dataCellStyle="Comma"/>
    <tableColumn id="25" xr3:uid="{00000000-0010-0000-0000-000019000000}" name="Payback Period Approved in months" dataDxfId="467"/>
    <tableColumn id="24" xr3:uid="{00000000-0010-0000-0000-000018000000}" name="Per Month Reagent Commitment" dataDxfId="466" dataCellStyle="Comma"/>
    <tableColumn id="26" xr3:uid="{00000000-0010-0000-0000-00001A000000}" name="Comments by Business (Aug22)" dataDxfId="465"/>
    <tableColumn id="10" xr3:uid="{00000000-0010-0000-0000-00000A000000}" name="Comments by Business (Sep22)" dataDxfId="464"/>
    <tableColumn id="32" xr3:uid="{00000000-0010-0000-0000-000020000000}" name="Comments by Business (Feb23)" dataDxfId="463"/>
    <tableColumn id="35" xr3:uid="{00000000-0010-0000-0000-000023000000}" name="Comments by Business (Mar23)" dataDxfId="462"/>
    <tableColumn id="37" xr3:uid="{00000000-0010-0000-0000-000025000000}" name="Comments by Business (Jun23)" dataDxfId="461"/>
    <tableColumn id="38" xr3:uid="{00000000-0010-0000-0000-000026000000}" name="Action Plan (Jun23)" dataDxfId="460"/>
    <tableColumn id="39" xr3:uid="{00000000-0010-0000-0000-000027000000}" name="Comments by Business (July2023)" dataDxfId="459"/>
    <tableColumn id="36" xr3:uid="{00000000-0010-0000-0000-000024000000}" name="Action Plan (July23)" dataDxfId="458"/>
    <tableColumn id="45" xr3:uid="{00000000-0010-0000-0000-00002D000000}" name="Comments by Business (Aug2023)" dataDxfId="457"/>
    <tableColumn id="44" xr3:uid="{00000000-0010-0000-0000-00002C000000}" name="Action Plan (Aug23)" dataDxfId="456"/>
    <tableColumn id="47" xr3:uid="{00000000-0010-0000-0000-00002F000000}" name="Comments by Business (Sep2023)" dataDxfId="455"/>
    <tableColumn id="49" xr3:uid="{00000000-0010-0000-0000-000031000000}" name="Action Plan (Sep23)" dataDxfId="454"/>
    <tableColumn id="48" xr3:uid="{00000000-0010-0000-0000-000030000000}" name="Comments by Business (Oct 2023)" dataDxfId="453"/>
    <tableColumn id="46" xr3:uid="{00000000-0010-0000-0000-00002E000000}" name="Action Plan (Oct 23)" dataDxfId="452"/>
    <tableColumn id="51" xr3:uid="{00000000-0010-0000-0000-000033000000}" name="Comments by Business (Nov 2023)" dataDxfId="451"/>
    <tableColumn id="54" xr3:uid="{00000000-0010-0000-0000-000036000000}" name="Action Plan (Nov 23)" dataDxfId="450"/>
    <tableColumn id="53" xr3:uid="{00000000-0010-0000-0000-000035000000}" name="Comments by Business (Dec 2023)" dataDxfId="449"/>
    <tableColumn id="50" xr3:uid="{00000000-0010-0000-0000-000032000000}" name="Action Plan (Dec 23)" dataDxfId="448"/>
    <tableColumn id="59" xr3:uid="{00000000-0010-0000-0000-00003B000000}" name="Comments by Business (Feb 2024)" dataDxfId="447"/>
    <tableColumn id="55" xr3:uid="{00000000-0010-0000-0000-000037000000}" name="Action Plan (Feb 24)" dataDxfId="446"/>
    <tableColumn id="21" xr3:uid="{00000000-0010-0000-0000-000015000000}" name="Comments by Business (Mar 2024)" dataDxfId="445"/>
    <tableColumn id="60" xr3:uid="{00000000-0010-0000-0000-00003C000000}" name="Comments by Business (April 2024)" dataDxfId="444"/>
    <tableColumn id="68" xr3:uid="{00000000-0010-0000-0000-000044000000}" name="Comments by Business (May 2024)" dataDxfId="443"/>
    <tableColumn id="70" xr3:uid="{00000000-0010-0000-0000-000046000000}" name="Finance Comments July" dataDxfId="442"/>
    <tableColumn id="67" xr3:uid="{00000000-0010-0000-0000-000043000000}" name="Comments by Business (Jun 2024)" dataDxfId="441"/>
    <tableColumn id="86" xr3:uid="{00000000-0010-0000-0000-000056000000}" name="Comments by Business (Jan 2025)" dataDxfId="440"/>
    <tableColumn id="80" xr3:uid="{00000000-0010-0000-0000-000050000000}" name="Comments by Business (Feb 2026)" dataDxfId="439" dataCellStyle="Comma"/>
    <tableColumn id="100" xr3:uid="{C775DF03-398E-4FD4-BF09-BDD6CD8F0AC8}" name="Comments by Business (Mar 2026)"/>
    <tableColumn id="94" xr3:uid="{A610449D-008A-4EEE-93CB-693C725760A0}" name="Column2" dataDxfId="438" dataCellStyle="Comma"/>
    <tableColumn id="93" xr3:uid="{B4233602-3CA8-49A4-82E7-65334AFC001E}" name="Comments by Business" dataDxfId="437" dataCellStyle="Comma"/>
    <tableColumn id="61" xr3:uid="{00000000-0010-0000-0000-00003D000000}" name="Jan-24" dataDxfId="436" dataCellStyle="Comma"/>
    <tableColumn id="58" xr3:uid="{00000000-0010-0000-0000-00003A000000}" name="Feb-24" dataDxfId="435" dataCellStyle="Comma"/>
    <tableColumn id="56" xr3:uid="{00000000-0010-0000-0000-000038000000}" name="Mar-24" dataDxfId="434" dataCellStyle="Comma"/>
    <tableColumn id="62" xr3:uid="{00000000-0010-0000-0000-00003E000000}" name="Apr-24" dataDxfId="433"/>
    <tableColumn id="66" xr3:uid="{00000000-0010-0000-0000-000042000000}" name="May-24" dataDxfId="432" dataCellStyle="Comma">
      <calculatedColumnFormula>8550000/5</calculatedColumnFormula>
    </tableColumn>
    <tableColumn id="69" xr3:uid="{00000000-0010-0000-0000-000045000000}" name="Jun-24" dataDxfId="431" dataCellStyle="Comma"/>
    <tableColumn id="71" xr3:uid="{00000000-0010-0000-0000-000047000000}" name="Jul-24" dataDxfId="430" dataCellStyle="Comma"/>
    <tableColumn id="73" xr3:uid="{00000000-0010-0000-0000-000049000000}" name="Aug-24" dataDxfId="429" dataCellStyle="Comma"/>
    <tableColumn id="75" xr3:uid="{00000000-0010-0000-0000-00004B000000}" name="Sep-24" dataDxfId="428"/>
    <tableColumn id="74" xr3:uid="{00000000-0010-0000-0000-00004A000000}" name="Oct-24" dataDxfId="427" dataCellStyle="Comma"/>
    <tableColumn id="81" xr3:uid="{00000000-0010-0000-0000-000051000000}" name="Nov-24" dataDxfId="426" dataCellStyle="Comma"/>
    <tableColumn id="82" xr3:uid="{00000000-0010-0000-0000-000052000000}" name="Dec-24" dataDxfId="425" dataCellStyle="Comma"/>
    <tableColumn id="1" xr3:uid="{00000000-0010-0000-0000-000001000000}" name="YTD 2024" dataDxfId="424" dataCellStyle="Comma">
      <calculatedColumnFormula>SUM(Table14[[#This Row],[Jan-24]:[Dec-24]])</calculatedColumnFormula>
    </tableColumn>
    <tableColumn id="85" xr3:uid="{00000000-0010-0000-0000-000055000000}" name="Jan-25" dataDxfId="423" dataCellStyle="Comma"/>
    <tableColumn id="76" xr3:uid="{00000000-0010-0000-0000-00004C000000}" name="Feb-25" dataDxfId="422" dataCellStyle="Comma"/>
    <tableColumn id="72" xr3:uid="{00000000-0010-0000-0000-000048000000}" name="Mar-25" dataDxfId="421" dataCellStyle="Comma"/>
    <tableColumn id="77" xr3:uid="{CC50DC7A-BE44-4140-A415-5B6A89753C96}" name="Apr-25" dataDxfId="420" dataCellStyle="Comma"/>
    <tableColumn id="79" xr3:uid="{905E8D27-E5A7-4432-9469-C536D592F5A2}" name="May-25" dataDxfId="419" dataCellStyle="Comma"/>
    <tableColumn id="83" xr3:uid="{AEDF89AD-7F8E-4BB8-8585-BDE905D6C398}" name="Jun-25" dataDxfId="418" dataCellStyle="Comma"/>
    <tableColumn id="88" xr3:uid="{FBF6CED5-D99D-4F47-A2F4-C39BD2611F40}" name="Jul-25" dataDxfId="417" dataCellStyle="Comma"/>
    <tableColumn id="89" xr3:uid="{C38C8AFD-596E-4548-9B25-A76CAB8ACA31}" name="Aug-25" dataDxfId="416" dataCellStyle="Comma"/>
    <tableColumn id="91" xr3:uid="{BDEE548C-D9B4-48CD-8A3B-6C59C70D9597}" name="Sep-25" dataDxfId="415" dataCellStyle="Comma"/>
    <tableColumn id="90" xr3:uid="{50D7ACC9-BFEB-4DEE-9D93-3C4D82C8CF15}" name="Oct-25" dataDxfId="414" dataCellStyle="Comma"/>
    <tableColumn id="92" xr3:uid="{2FDD3358-7E63-4FB2-8884-EB00316D90B4}" name="Nov-25" dataDxfId="413"/>
    <tableColumn id="95" xr3:uid="{5F228684-91FD-430A-9831-5503274B133F}" name="Dec-25" dataDxfId="412" dataCellStyle="Comma"/>
    <tableColumn id="84" xr3:uid="{00000000-0010-0000-0000-000054000000}" name="YTD 2025" dataDxfId="411" dataCellStyle="Comma">
      <calculatedColumnFormula>SUM(Table14[[#This Row],[Jan-25]:[Dec-25]])</calculatedColumnFormula>
    </tableColumn>
    <tableColumn id="96" xr3:uid="{A278A684-05CE-47D2-B81D-EC0F7207EE21}" name="Jan-26" dataDxfId="410" dataCellStyle="Comma"/>
    <tableColumn id="97" xr3:uid="{6ABCCFF9-79FD-4FA5-A429-32819FA9A45B}" name="Feb-26" dataDxfId="409" dataCellStyle="Comma"/>
    <tableColumn id="99" xr3:uid="{6E353408-D409-4CC3-95DB-F1BA1F0E882F}" name="Mar-26" dataDxfId="408" dataCellStyle="Comma"/>
    <tableColumn id="98" xr3:uid="{25ED4298-F9C7-49F6-8A64-6D5EF727FBDB}" name="YTD 2026" dataDxfId="407" dataCellStyle="Comma">
      <calculatedColumnFormula>SUM(Table14[[#This Row],[Jan-26]:[Mar-26]])</calculatedColumnFormula>
    </tableColumn>
    <tableColumn id="64" xr3:uid="{00000000-0010-0000-0000-000040000000}" name="Last Six Month Avg" dataDxfId="406" dataCellStyle="Comma">
      <calculatedColumnFormula>IFERROR(SUM(Table14[[#This Row],[Oct-25]:[Dec-25]],Table14[[#This Row],[Jan-26]:[Mar-26]])/COUNT(Table14[[#This Row],[Oct-25]:[Dec-25]],Table14[[#This Row],[Jan-26]:[Mar-26]]),0)</calculatedColumnFormula>
    </tableColumn>
    <tableColumn id="63" xr3:uid="{00000000-0010-0000-0000-00003F000000}" name="Finance Comments for YTD" dataDxfId="405"/>
    <tableColumn id="27" xr3:uid="{00000000-0010-0000-0000-00001B000000}" name="Total Reagent Sales till date Actual" dataDxfId="404" dataCellStyle="Comma">
      <calculatedColumnFormula>Table14[[#This Row],[YTD 2024]]+Table14[[#This Row],[YTD 2025]]+Table14[[#This Row],[YTD 2026]]</calculatedColumnFormula>
    </tableColumn>
    <tableColumn id="28" xr3:uid="{00000000-0010-0000-0000-00001C000000}" name="Months" dataDxfId="403"/>
    <tableColumn id="29" xr3:uid="{00000000-0010-0000-0000-00001D000000}" name="Avg reagent Sales per month Actual" dataDxfId="402" dataCellStyle="Comma">
      <calculatedColumnFormula>CM8/CN8</calculatedColumnFormula>
    </tableColumn>
    <tableColumn id="30" xr3:uid="{00000000-0010-0000-0000-00001E000000}" name="Payback remaining estimate" dataDxfId="401" dataCellStyle="Comma"/>
    <tableColumn id="33" xr3:uid="{00000000-0010-0000-0000-000021000000}" name="On Track / (behind) (avg per month)" dataDxfId="400" dataCellStyle="Comma">
      <calculatedColumnFormula>Table14[[#This Row],[Avg reagent Sales per month Actual]]-Table14[[#This Row],[Per Month Reagent Commitment]]</calculatedColumnFormula>
    </tableColumn>
    <tableColumn id="31" xr3:uid="{00000000-0010-0000-0000-00001F000000}" name="Finance Comments" dataDxfId="399"/>
    <tableColumn id="41" xr3:uid="{00000000-0010-0000-0000-000029000000}" name="Deficit/Cost covered" dataDxfId="398" dataCellStyle="Comma">
      <calculatedColumnFormula>Table14[[#This Row],[On Track / (behind) (avg per month)]]/Table14[[#This Row],[Months]]</calculatedColumnFormula>
    </tableColumn>
    <tableColumn id="43" xr3:uid="{00000000-0010-0000-0000-00002B000000}" name="Margin %" dataDxfId="397"/>
    <tableColumn id="42" xr3:uid="{00000000-0010-0000-0000-00002A000000}" name="Margin on Reagent sale" dataDxfId="396" dataCellStyle="Comma">
      <calculatedColumnFormula>Table14[[#This Row],[Total Reagent Sales till date Actual]]*Table14[[#This Row],[Margin %]]</calculatedColumnFormula>
    </tableColumn>
    <tableColumn id="65" xr3:uid="{00000000-0010-0000-0000-000041000000}" name="Column1" dataDxfId="395">
      <calculatedColumnFormula>CT8</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3" displayName="Table13" ref="A5:AI33" totalsRowShown="0" headerRowDxfId="371" dataDxfId="370" headerRowCellStyle="Comma">
  <autoFilter ref="A5:AI33" xr:uid="{00000000-0009-0000-0100-000002000000}"/>
  <tableColumns count="35">
    <tableColumn id="1" xr3:uid="{00000000-0010-0000-0200-000001000000}" name="S.No." dataDxfId="369"/>
    <tableColumn id="2" xr3:uid="{00000000-0010-0000-0200-000002000000}" name="Sales Manager" dataDxfId="368"/>
    <tableColumn id="3" xr3:uid="{00000000-0010-0000-0200-000003000000}" name="Machine Name" dataDxfId="367"/>
    <tableColumn id="4" xr3:uid="{00000000-0010-0000-0200-000004000000}" name="SAP Material No" dataDxfId="366"/>
    <tableColumn id="5" xr3:uid="{00000000-0010-0000-0200-000005000000}" name="Machine type" dataDxfId="365"/>
    <tableColumn id="34" xr3:uid="{00000000-0010-0000-0200-000022000000}" name="Asset Number " dataDxfId="364"/>
    <tableColumn id="6" xr3:uid="{00000000-0010-0000-0200-000006000000}" name="MachineSerial No." dataDxfId="363"/>
    <tableColumn id="7" xr3:uid="{00000000-0010-0000-0200-000007000000}" name="Machine Issue Date" dataDxfId="362"/>
    <tableColumn id="8" xr3:uid="{00000000-0010-0000-0200-000008000000}" name="Agreement Date" dataDxfId="361"/>
    <tableColumn id="9" xr3:uid="{00000000-0010-0000-0200-000009000000}" name="Approval Date" dataDxfId="360"/>
    <tableColumn id="11" xr3:uid="{00000000-0010-0000-0200-00000B000000}" name="Status" dataDxfId="359"/>
    <tableColumn id="12" xr3:uid="{00000000-0010-0000-0200-00000C000000}" name="Region" dataDxfId="358"/>
    <tableColumn id="13" xr3:uid="{00000000-0010-0000-0200-00000D000000}" name="City" dataDxfId="357"/>
    <tableColumn id="14" xr3:uid="{00000000-0010-0000-0200-00000E000000}" name="Customer No." dataDxfId="356"/>
    <tableColumn id="15" xr3:uid="{00000000-0010-0000-0200-00000F000000}" name="Customer Name" dataDxfId="355"/>
    <tableColumn id="16" xr3:uid="{00000000-0010-0000-0200-000010000000}" name="Owner" dataDxfId="354"/>
    <tableColumn id="17" xr3:uid="{00000000-0010-0000-0200-000011000000}" name="Adresss" dataDxfId="353"/>
    <tableColumn id="18" xr3:uid="{00000000-0010-0000-0200-000012000000}" name="Phone" dataDxfId="352"/>
    <tableColumn id="19" xr3:uid="{00000000-0010-0000-0200-000013000000}" name="Email" dataDxfId="351"/>
    <tableColumn id="20" xr3:uid="{00000000-0010-0000-0200-000014000000}" name="NTN" dataDxfId="350"/>
    <tableColumn id="21" xr3:uid="{00000000-0010-0000-0200-000015000000}" name="STN" dataDxfId="349"/>
    <tableColumn id="22" xr3:uid="{00000000-0010-0000-0200-000016000000}" name="CNIC" dataDxfId="348"/>
    <tableColumn id="23" xr3:uid="{00000000-0010-0000-0200-000017000000}" name="Unit Cost" dataDxfId="347" dataCellStyle="Comma"/>
    <tableColumn id="24" xr3:uid="{00000000-0010-0000-0200-000018000000}" name="Per Month Reagent Commitment" dataDxfId="346" dataCellStyle="Comma"/>
    <tableColumn id="25" xr3:uid="{00000000-0010-0000-0200-000019000000}" name="Payback Period Approved in months" dataDxfId="345"/>
    <tableColumn id="26" xr3:uid="{00000000-0010-0000-0200-00001A000000}" name="Comments by Business (Aug22)" dataDxfId="344"/>
    <tableColumn id="10" xr3:uid="{00000000-0010-0000-0200-00000A000000}" name="Comments by Business (Sep22)" dataDxfId="343"/>
    <tableColumn id="32" xr3:uid="{00000000-0010-0000-0200-000020000000}" name="Comments by Business (Feb23)"/>
    <tableColumn id="35" xr3:uid="{00000000-0010-0000-0200-000023000000}" name="Comments by Business (Mar23)" dataDxfId="342"/>
    <tableColumn id="27" xr3:uid="{00000000-0010-0000-0200-00001B000000}" name="Total Reagent Sales till date Actual" dataDxfId="341" dataCellStyle="Comma"/>
    <tableColumn id="28" xr3:uid="{00000000-0010-0000-0200-00001C000000}" name="Months" dataDxfId="340"/>
    <tableColumn id="29" xr3:uid="{00000000-0010-0000-0200-00001D000000}" name="Avg reagent Sales per month Actual" dataDxfId="339" dataCellStyle="Comma"/>
    <tableColumn id="30" xr3:uid="{00000000-0010-0000-0200-00001E000000}" name="Payback remaining estimate" dataDxfId="338" dataCellStyle="Comma"/>
    <tableColumn id="33" xr3:uid="{00000000-0010-0000-0200-000021000000}" name="On Track / behind" dataDxfId="337" dataCellStyle="Comma">
      <calculatedColumnFormula>Table13[[#This Row],[Avg reagent Sales per month Actual]]-Table13[[#This Row],[Per Month Reagent Commitment]]</calculatedColumnFormula>
    </tableColumn>
    <tableColumn id="31" xr3:uid="{00000000-0010-0000-0200-00001F000000}" name="Finance Comments" dataDxfId="336"/>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7" dT="2025-09-26T11:00:02.20" personId="{3453C376-EC41-47DD-8437-7D38DC5542FD}" id="{A6C131D2-1D59-4F0E-8B98-2E22444B3582}">
    <text>Previously 4077</text>
  </threadedComment>
  <threadedComment ref="CN61" dT="2024-04-01T08:50:40.55" personId="{54040AB9-2A2A-4655-95C3-CA38927883BE}" id="{E00BC084-4279-4703-83EA-FFE1A675EBA6}">
    <text>Revised to 2months, start from January 2024</text>
  </threadedComment>
  <threadedComment ref="BZ186" dT="2025-09-12T05:24:26.84" personId="{3453C376-EC41-47DD-8437-7D38DC5542FD}" id="{49ADB690-70BC-4016-BFC7-DC6D9FA8D189}">
    <text>Sales in IQ and C&amp;M</text>
  </threadedComment>
</ThreadedComments>
</file>

<file path=xl/threadedComments/threadedComment2.xml><?xml version="1.0" encoding="utf-8"?>
<ThreadedComments xmlns="http://schemas.microsoft.com/office/spreadsheetml/2018/threadedcomments" xmlns:x="http://schemas.openxmlformats.org/spreadsheetml/2006/main">
  <threadedComment ref="E81" dT="2025-09-26T11:00:02.20" personId="{3453C376-EC41-47DD-8437-7D38DC5542FD}" id="{533E1067-4A8A-461C-9CFD-70A111E05B3C}">
    <text>Previously 4077</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1.bin"/><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rinterSettings" Target="../printerSettings/printerSettings2.bin"/><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6" Type="http://schemas.openxmlformats.org/officeDocument/2006/relationships/hyperlink" Target="mailto:enterprisesojal@gmail.com" TargetMode="External"/><Relationship Id="rId21" Type="http://schemas.openxmlformats.org/officeDocument/2006/relationships/hyperlink" Target="mailto:mursaleem.nicvd@gmail.com" TargetMode="External"/><Relationship Id="rId42" Type="http://schemas.openxmlformats.org/officeDocument/2006/relationships/hyperlink" Target="mailto:muhammad.imran@rimc.edu.pk" TargetMode="External"/><Relationship Id="rId47" Type="http://schemas.openxmlformats.org/officeDocument/2006/relationships/hyperlink" Target="mailto:aliaslam2420@gmail.com" TargetMode="External"/><Relationship Id="rId63" Type="http://schemas.openxmlformats.org/officeDocument/2006/relationships/hyperlink" Target="mailto:info.establishment@gamc.edu.pk" TargetMode="External"/><Relationship Id="rId68" Type="http://schemas.openxmlformats.org/officeDocument/2006/relationships/hyperlink" Target="mailto:gulabdevi@hotmail.com" TargetMode="External"/><Relationship Id="rId84" Type="http://schemas.openxmlformats.org/officeDocument/2006/relationships/vmlDrawing" Target="../drawings/vmlDrawing1.vml"/><Relationship Id="rId16" Type="http://schemas.openxmlformats.org/officeDocument/2006/relationships/hyperlink" Target="mailto:zain.mansoor@aku.edu" TargetMode="External"/><Relationship Id="rId11" Type="http://schemas.openxmlformats.org/officeDocument/2006/relationships/hyperlink" Target="mailto:fehandio@gmail.com" TargetMode="External"/><Relationship Id="rId32" Type="http://schemas.openxmlformats.org/officeDocument/2006/relationships/hyperlink" Target="mailto:fehandio@gmail.com" TargetMode="External"/><Relationship Id="rId37" Type="http://schemas.openxmlformats.org/officeDocument/2006/relationships/hyperlink" Target="mailto:faraz786.hbb@gmail.com" TargetMode="External"/><Relationship Id="rId53" Type="http://schemas.openxmlformats.org/officeDocument/2006/relationships/hyperlink" Target="mailto:shaffat.hussain@fauji.org.pk" TargetMode="External"/><Relationship Id="rId58" Type="http://schemas.openxmlformats.org/officeDocument/2006/relationships/hyperlink" Target="mailto:unsa.sajjad@tih.org.pk" TargetMode="External"/><Relationship Id="rId74" Type="http://schemas.openxmlformats.org/officeDocument/2006/relationships/hyperlink" Target="mailto:janmarketingservices@gmail.com" TargetMode="External"/><Relationship Id="rId79" Type="http://schemas.openxmlformats.org/officeDocument/2006/relationships/hyperlink" Target="mailto:sheeza.tariq94@gmail.com" TargetMode="External"/><Relationship Id="rId5" Type="http://schemas.openxmlformats.org/officeDocument/2006/relationships/hyperlink" Target="mailto:psghospital123@gamil.com" TargetMode="External"/><Relationship Id="rId19" Type="http://schemas.openxmlformats.org/officeDocument/2006/relationships/hyperlink" Target="mailto:medciagnostic19@gmail.com" TargetMode="External"/><Relationship Id="rId14" Type="http://schemas.openxmlformats.org/officeDocument/2006/relationships/hyperlink" Target="mailto:info.iih@smcs.edu.pk" TargetMode="External"/><Relationship Id="rId22" Type="http://schemas.openxmlformats.org/officeDocument/2006/relationships/hyperlink" Target="mailto:ahmed_ullah26@yahoo.com" TargetMode="External"/><Relationship Id="rId27" Type="http://schemas.openxmlformats.org/officeDocument/2006/relationships/hyperlink" Target="mailto:enterprisesojal@gmail.com" TargetMode="External"/><Relationship Id="rId30" Type="http://schemas.openxmlformats.org/officeDocument/2006/relationships/hyperlink" Target="mailto:zain.mansoor@aku.edu" TargetMode="External"/><Relationship Id="rId35" Type="http://schemas.openxmlformats.org/officeDocument/2006/relationships/hyperlink" Target="mailto:mursaleem.nicvd@gmail.com" TargetMode="External"/><Relationship Id="rId43" Type="http://schemas.openxmlformats.org/officeDocument/2006/relationships/hyperlink" Target="mailto:enterprisesojal@gmail.com" TargetMode="External"/><Relationship Id="rId48" Type="http://schemas.openxmlformats.org/officeDocument/2006/relationships/hyperlink" Target="mailto:chfsdpk@gmail.com" TargetMode="External"/><Relationship Id="rId56" Type="http://schemas.openxmlformats.org/officeDocument/2006/relationships/hyperlink" Target="mailto:ahashmani@cyber.net.pk" TargetMode="External"/><Relationship Id="rId64" Type="http://schemas.openxmlformats.org/officeDocument/2006/relationships/hyperlink" Target="mailto:shafique.abbasi@imdcollege.edu.pk" TargetMode="External"/><Relationship Id="rId69" Type="http://schemas.openxmlformats.org/officeDocument/2006/relationships/hyperlink" Target="mailto:bilal.chishti@ahf.com.pk" TargetMode="External"/><Relationship Id="rId77" Type="http://schemas.openxmlformats.org/officeDocument/2006/relationships/hyperlink" Target="mailto:fawad_sad@hotmail.com" TargetMode="External"/><Relationship Id="rId8" Type="http://schemas.openxmlformats.org/officeDocument/2006/relationships/hyperlink" Target="mailto:info@masoodhospital.com" TargetMode="External"/><Relationship Id="rId51" Type="http://schemas.openxmlformats.org/officeDocument/2006/relationships/hyperlink" Target="mailto:sheeza.tariq94@gmail.com" TargetMode="External"/><Relationship Id="rId72" Type="http://schemas.openxmlformats.org/officeDocument/2006/relationships/hyperlink" Target="mailto:amir@alamgirwelfaretrust.com.pk" TargetMode="External"/><Relationship Id="rId80" Type="http://schemas.openxmlformats.org/officeDocument/2006/relationships/hyperlink" Target="mailto:unsa.sajjad@tih.org.pk" TargetMode="External"/><Relationship Id="rId85" Type="http://schemas.openxmlformats.org/officeDocument/2006/relationships/table" Target="../tables/table1.xml"/><Relationship Id="rId3" Type="http://schemas.openxmlformats.org/officeDocument/2006/relationships/hyperlink" Target="mailto:hanif.baig@amdtrust.org" TargetMode="External"/><Relationship Id="rId12" Type="http://schemas.openxmlformats.org/officeDocument/2006/relationships/hyperlink" Target="mailto:zubairee786@gmail.com" TargetMode="External"/><Relationship Id="rId17" Type="http://schemas.openxmlformats.org/officeDocument/2006/relationships/hyperlink" Target="mailto:sohailenterprisesqta@gmail.com" TargetMode="External"/><Relationship Id="rId25" Type="http://schemas.openxmlformats.org/officeDocument/2006/relationships/hyperlink" Target="mailto:enterprisesojal@gmail.com" TargetMode="External"/><Relationship Id="rId33" Type="http://schemas.openxmlformats.org/officeDocument/2006/relationships/hyperlink" Target="mailto:fehandio@gmail.com" TargetMode="External"/><Relationship Id="rId38" Type="http://schemas.openxmlformats.org/officeDocument/2006/relationships/hyperlink" Target="mailto:hsmedicalsolution@gmail.com" TargetMode="External"/><Relationship Id="rId46" Type="http://schemas.openxmlformats.org/officeDocument/2006/relationships/hyperlink" Target="mailto:fehandio@gmail.com" TargetMode="External"/><Relationship Id="rId59" Type="http://schemas.openxmlformats.org/officeDocument/2006/relationships/hyperlink" Target="mailto:raazihospital@gmail.com" TargetMode="External"/><Relationship Id="rId67" Type="http://schemas.openxmlformats.org/officeDocument/2006/relationships/hyperlink" Target="mailto:smch@brain.net.pk" TargetMode="External"/><Relationship Id="rId20" Type="http://schemas.openxmlformats.org/officeDocument/2006/relationships/hyperlink" Target="mailto:noor.lab.surgical@gmail.com" TargetMode="External"/><Relationship Id="rId41" Type="http://schemas.openxmlformats.org/officeDocument/2006/relationships/hyperlink" Target="mailto:junaid@aih.net.pk" TargetMode="External"/><Relationship Id="rId54" Type="http://schemas.openxmlformats.org/officeDocument/2006/relationships/hyperlink" Target="mailto:hr@ghurkitrust.org.pk" TargetMode="External"/><Relationship Id="rId62" Type="http://schemas.openxmlformats.org/officeDocument/2006/relationships/hyperlink" Target="mailto:enterprisesojal@gmail.com" TargetMode="External"/><Relationship Id="rId70" Type="http://schemas.openxmlformats.org/officeDocument/2006/relationships/hyperlink" Target="mailto:kihd@cdgk@gmail.com" TargetMode="External"/><Relationship Id="rId75" Type="http://schemas.openxmlformats.org/officeDocument/2006/relationships/hyperlink" Target="mailto:mjunaidpirzada@gmail.com" TargetMode="External"/><Relationship Id="rId83" Type="http://schemas.openxmlformats.org/officeDocument/2006/relationships/drawing" Target="../drawings/drawing2.xml"/><Relationship Id="rId88" Type="http://schemas.microsoft.com/office/2017/10/relationships/threadedComment" Target="../threadedComments/threadedComment1.xml"/><Relationship Id="rId1" Type="http://schemas.openxmlformats.org/officeDocument/2006/relationships/hyperlink" Target="mailto:ssmtci@yahoo.com" TargetMode="External"/><Relationship Id="rId6" Type="http://schemas.openxmlformats.org/officeDocument/2006/relationships/hyperlink" Target="mailto:gbanklesaria.nursing.home@gmail.com" TargetMode="External"/><Relationship Id="rId15" Type="http://schemas.openxmlformats.org/officeDocument/2006/relationships/hyperlink" Target="mailto:rubina.sabir@lcmddsh.com.pk" TargetMode="External"/><Relationship Id="rId23" Type="http://schemas.openxmlformats.org/officeDocument/2006/relationships/hyperlink" Target="mailto:ahmed_ullah26@yahoo.com" TargetMode="External"/><Relationship Id="rId28" Type="http://schemas.openxmlformats.org/officeDocument/2006/relationships/hyperlink" Target="mailto:noor.lab.surgical@gmail.com" TargetMode="External"/><Relationship Id="rId36" Type="http://schemas.openxmlformats.org/officeDocument/2006/relationships/hyperlink" Target="mailto:faraz786.hbb@gmail.com" TargetMode="External"/><Relationship Id="rId49" Type="http://schemas.openxmlformats.org/officeDocument/2006/relationships/hyperlink" Target="mailto:waseem.abbas@admin.uol.edu.pk" TargetMode="External"/><Relationship Id="rId57" Type="http://schemas.openxmlformats.org/officeDocument/2006/relationships/hyperlink" Target="mailto:asad.tufail@ahf.com.pk" TargetMode="External"/><Relationship Id="rId10" Type="http://schemas.openxmlformats.org/officeDocument/2006/relationships/hyperlink" Target="mailto:zeenatlaboratory@gmail.com" TargetMode="External"/><Relationship Id="rId31" Type="http://schemas.openxmlformats.org/officeDocument/2006/relationships/hyperlink" Target="mailto:psghospital123@gamil.com" TargetMode="External"/><Relationship Id="rId44" Type="http://schemas.openxmlformats.org/officeDocument/2006/relationships/hyperlink" Target="mailto:ahmed_ullah26@yahoo.com" TargetMode="External"/><Relationship Id="rId52" Type="http://schemas.openxmlformats.org/officeDocument/2006/relationships/hyperlink" Target="mailto:mursaleem.nicvd@gmail.com" TargetMode="External"/><Relationship Id="rId60" Type="http://schemas.openxmlformats.org/officeDocument/2006/relationships/hyperlink" Target="mailto:sheeza.tariq94@gmail.com" TargetMode="External"/><Relationship Id="rId65" Type="http://schemas.openxmlformats.org/officeDocument/2006/relationships/hyperlink" Target="mailto:dmadeemikram@gmail.com" TargetMode="External"/><Relationship Id="rId73" Type="http://schemas.openxmlformats.org/officeDocument/2006/relationships/hyperlink" Target="mailto:mian.muhsaeed@gmail.com" TargetMode="External"/><Relationship Id="rId78" Type="http://schemas.openxmlformats.org/officeDocument/2006/relationships/hyperlink" Target="mailto:punjab.cardiology@gmail.com" TargetMode="External"/><Relationship Id="rId81" Type="http://schemas.openxmlformats.org/officeDocument/2006/relationships/hyperlink" Target="mailto:unsa.sajjad@tih.org.pk" TargetMode="External"/><Relationship Id="rId86" Type="http://schemas.microsoft.com/office/2007/relationships/slicer" Target="../slicers/slicer1.xml"/><Relationship Id="rId4" Type="http://schemas.openxmlformats.org/officeDocument/2006/relationships/hyperlink" Target="mailto:sanzsoomro34@gmail.com" TargetMode="External"/><Relationship Id="rId9" Type="http://schemas.openxmlformats.org/officeDocument/2006/relationships/hyperlink" Target="mailto:gulabdevi@hotmail.com" TargetMode="External"/><Relationship Id="rId13" Type="http://schemas.openxmlformats.org/officeDocument/2006/relationships/hyperlink" Target="mailto:info@citi-lab.com" TargetMode="External"/><Relationship Id="rId18" Type="http://schemas.openxmlformats.org/officeDocument/2006/relationships/hyperlink" Target="mailto:fareed.nmcz.net@gmail.com" TargetMode="External"/><Relationship Id="rId39" Type="http://schemas.openxmlformats.org/officeDocument/2006/relationships/hyperlink" Target="mailto:info@kemu.edu.pk" TargetMode="External"/><Relationship Id="rId34" Type="http://schemas.openxmlformats.org/officeDocument/2006/relationships/hyperlink" Target="mailto:mursaleem.nicvd@gmail.com" TargetMode="External"/><Relationship Id="rId50" Type="http://schemas.openxmlformats.org/officeDocument/2006/relationships/hyperlink" Target="mailto:ssmtci@yahoo.com" TargetMode="External"/><Relationship Id="rId55" Type="http://schemas.openxmlformats.org/officeDocument/2006/relationships/hyperlink" Target="mailto:unsa.sajjad@tih.org.pk" TargetMode="External"/><Relationship Id="rId76" Type="http://schemas.openxmlformats.org/officeDocument/2006/relationships/hyperlink" Target="mailto:ceo@nhsdiagnostics.com" TargetMode="External"/><Relationship Id="rId7" Type="http://schemas.openxmlformats.org/officeDocument/2006/relationships/hyperlink" Target="mailto:healthcarecare204@gmail.com" TargetMode="External"/><Relationship Id="rId71" Type="http://schemas.openxmlformats.org/officeDocument/2006/relationships/hyperlink" Target="mailto:raees.ahmed@rmi.edu.pk" TargetMode="External"/><Relationship Id="rId2" Type="http://schemas.openxmlformats.org/officeDocument/2006/relationships/hyperlink" Target="mailto:ltcdrasgharali@gmail.com" TargetMode="External"/><Relationship Id="rId29" Type="http://schemas.openxmlformats.org/officeDocument/2006/relationships/hyperlink" Target="mailto:fareed.nmcz.net@gmail.com" TargetMode="External"/><Relationship Id="rId24" Type="http://schemas.openxmlformats.org/officeDocument/2006/relationships/hyperlink" Target="mailto:vmedintertrade@yahoo.com" TargetMode="External"/><Relationship Id="rId40" Type="http://schemas.openxmlformats.org/officeDocument/2006/relationships/hyperlink" Target="mailto:info@kemu.edu.pk" TargetMode="External"/><Relationship Id="rId45" Type="http://schemas.openxmlformats.org/officeDocument/2006/relationships/hyperlink" Target="mailto:hanif.baig@amdtrust.org" TargetMode="External"/><Relationship Id="rId66" Type="http://schemas.openxmlformats.org/officeDocument/2006/relationships/hyperlink" Target="mailto:unsa.sajjad@tih.org.pk" TargetMode="External"/><Relationship Id="rId87" Type="http://schemas.openxmlformats.org/officeDocument/2006/relationships/comments" Target="../comments1.xml"/><Relationship Id="rId61" Type="http://schemas.openxmlformats.org/officeDocument/2006/relationships/hyperlink" Target="mailto:support@testzone.com.pk" TargetMode="External"/><Relationship Id="rId82"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mailto:fareed.nmcz.net@gmail.com" TargetMode="External"/><Relationship Id="rId2" Type="http://schemas.openxmlformats.org/officeDocument/2006/relationships/hyperlink" Target="mailto:zain.mansoor@aku.edu" TargetMode="External"/><Relationship Id="rId1" Type="http://schemas.openxmlformats.org/officeDocument/2006/relationships/hyperlink" Target="mailto:psghospital123@gamil.com"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17.xml"/><Relationship Id="rId4" Type="http://schemas.microsoft.com/office/2007/relationships/slicer" Target="../slicers/slicer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8.xml.rels><?xml version="1.0" encoding="UTF-8" standalone="yes"?>
<Relationships xmlns="http://schemas.openxmlformats.org/package/2006/relationships"><Relationship Id="rId8" Type="http://schemas.openxmlformats.org/officeDocument/2006/relationships/hyperlink" Target="mailto:scm@advancedhealth.com.pk" TargetMode="External"/><Relationship Id="rId13" Type="http://schemas.openxmlformats.org/officeDocument/2006/relationships/hyperlink" Target="mailto:info@masoodhospital.com" TargetMode="External"/><Relationship Id="rId18" Type="http://schemas.microsoft.com/office/2007/relationships/slicer" Target="../slicers/slicer3.xml"/><Relationship Id="rId3" Type="http://schemas.openxmlformats.org/officeDocument/2006/relationships/hyperlink" Target="mailto:gbanklesaria.nursing.home@gmail.com" TargetMode="External"/><Relationship Id="rId7" Type="http://schemas.openxmlformats.org/officeDocument/2006/relationships/hyperlink" Target="mailto:ssmtci@yahoo.com" TargetMode="External"/><Relationship Id="rId12" Type="http://schemas.openxmlformats.org/officeDocument/2006/relationships/hyperlink" Target="mailto:hanif.baig@amdtrust.org" TargetMode="External"/><Relationship Id="rId17" Type="http://schemas.openxmlformats.org/officeDocument/2006/relationships/table" Target="../tables/table2.xml"/><Relationship Id="rId2" Type="http://schemas.openxmlformats.org/officeDocument/2006/relationships/hyperlink" Target="mailto:info@citi-lab.com" TargetMode="External"/><Relationship Id="rId16" Type="http://schemas.openxmlformats.org/officeDocument/2006/relationships/drawing" Target="../drawings/drawing4.xml"/><Relationship Id="rId1" Type="http://schemas.openxmlformats.org/officeDocument/2006/relationships/hyperlink" Target="mailto:noor.lab.surgical@gmail.com" TargetMode="External"/><Relationship Id="rId6" Type="http://schemas.openxmlformats.org/officeDocument/2006/relationships/hyperlink" Target="mailto:healthcarecare204@gmail.com" TargetMode="External"/><Relationship Id="rId11" Type="http://schemas.openxmlformats.org/officeDocument/2006/relationships/hyperlink" Target="mailto:karachixrays@yahoo.com" TargetMode="External"/><Relationship Id="rId5" Type="http://schemas.openxmlformats.org/officeDocument/2006/relationships/hyperlink" Target="mailto:medciagnostic19@gmail.com" TargetMode="External"/><Relationship Id="rId15" Type="http://schemas.openxmlformats.org/officeDocument/2006/relationships/customProperty" Target="../customProperty1.bin"/><Relationship Id="rId10" Type="http://schemas.openxmlformats.org/officeDocument/2006/relationships/hyperlink" Target="mailto:sanzsoomro34@gmail.com" TargetMode="External"/><Relationship Id="rId4" Type="http://schemas.openxmlformats.org/officeDocument/2006/relationships/hyperlink" Target="mailto:psghospital123@gamil.com" TargetMode="External"/><Relationship Id="rId9" Type="http://schemas.openxmlformats.org/officeDocument/2006/relationships/hyperlink" Target="mailto:ltcdrasgharali@gmail.com" TargetMode="External"/><Relationship Id="rId14"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printerSettings" Target="../printerSettings/printerSettings8.bin"/><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showGridLines="0" topLeftCell="A2" workbookViewId="0">
      <selection activeCell="H2" sqref="H2"/>
    </sheetView>
  </sheetViews>
  <sheetFormatPr defaultRowHeight="14.4" x14ac:dyDescent="0.3"/>
  <cols>
    <col min="1" max="1" width="23.44140625" customWidth="1"/>
    <col min="2" max="2" width="17.6640625" bestFit="1" customWidth="1"/>
    <col min="3" max="4" width="15.44140625" bestFit="1" customWidth="1"/>
    <col min="5" max="5" width="14.44140625" style="107" bestFit="1" customWidth="1"/>
    <col min="6" max="6" width="11.44140625" hidden="1" customWidth="1"/>
    <col min="7" max="7" width="12" bestFit="1" customWidth="1"/>
    <col min="8" max="8" width="12" customWidth="1"/>
    <col min="9" max="9" width="14.44140625" bestFit="1" customWidth="1"/>
    <col min="10" max="10" width="17.6640625" bestFit="1" customWidth="1"/>
    <col min="11" max="11" width="12.5546875" bestFit="1" customWidth="1"/>
    <col min="12" max="12" width="21.33203125" bestFit="1" customWidth="1"/>
    <col min="13" max="13" width="17.5546875" style="107" bestFit="1" customWidth="1"/>
    <col min="14" max="14" width="7.5546875" bestFit="1" customWidth="1"/>
  </cols>
  <sheetData>
    <row r="1" spans="1:14" hidden="1" x14ac:dyDescent="0.3">
      <c r="A1" t="s">
        <v>0</v>
      </c>
      <c r="B1" t="s">
        <v>1</v>
      </c>
      <c r="I1" t="s">
        <v>0</v>
      </c>
      <c r="J1" t="s">
        <v>1</v>
      </c>
    </row>
    <row r="2" spans="1:14" s="104" customFormat="1" ht="24.75" customHeight="1" x14ac:dyDescent="0.4">
      <c r="A2" s="118" t="s">
        <v>2</v>
      </c>
      <c r="B2"/>
      <c r="C2"/>
      <c r="D2"/>
      <c r="E2"/>
      <c r="I2"/>
      <c r="J2"/>
      <c r="K2"/>
      <c r="L2"/>
      <c r="M2"/>
    </row>
    <row r="3" spans="1:14" ht="43.2" x14ac:dyDescent="0.3">
      <c r="A3" s="104" t="s">
        <v>3</v>
      </c>
      <c r="B3" s="104" t="s">
        <v>4</v>
      </c>
      <c r="C3" s="104" t="s">
        <v>5</v>
      </c>
      <c r="D3" s="104" t="s">
        <v>6</v>
      </c>
      <c r="E3" s="146" t="s">
        <v>7</v>
      </c>
      <c r="F3" s="147" t="s">
        <v>8</v>
      </c>
      <c r="G3" s="148" t="s">
        <v>9</v>
      </c>
      <c r="H3" s="148" t="s">
        <v>10</v>
      </c>
      <c r="I3" s="104" t="s">
        <v>3</v>
      </c>
      <c r="J3" s="104" t="s">
        <v>11</v>
      </c>
      <c r="K3" s="104" t="s">
        <v>5</v>
      </c>
      <c r="L3" s="146" t="s">
        <v>12</v>
      </c>
      <c r="M3" s="146" t="s">
        <v>13</v>
      </c>
      <c r="N3" s="148" t="s">
        <v>14</v>
      </c>
    </row>
    <row r="4" spans="1:14" x14ac:dyDescent="0.3">
      <c r="A4" s="43" t="s">
        <v>15</v>
      </c>
      <c r="B4">
        <v>27</v>
      </c>
      <c r="C4" s="115">
        <v>152954856</v>
      </c>
      <c r="D4" s="115">
        <v>129860321.56</v>
      </c>
      <c r="E4" s="115">
        <v>39576630.517499998</v>
      </c>
      <c r="F4" s="107">
        <f>C4/(E4/12)</f>
        <v>46.377325406426323</v>
      </c>
      <c r="G4" s="108">
        <f>+E4/C4</f>
        <v>0.25874713332082766</v>
      </c>
      <c r="H4" s="108">
        <f>C4/$C$17</f>
        <v>0.72243143913494168</v>
      </c>
      <c r="I4" s="43" t="s">
        <v>16</v>
      </c>
      <c r="J4">
        <v>10</v>
      </c>
      <c r="K4" s="115">
        <v>53683913</v>
      </c>
      <c r="L4" s="115">
        <v>7306003</v>
      </c>
      <c r="M4" s="115">
        <v>3020090.700450799</v>
      </c>
      <c r="N4" s="108">
        <f>-(L4-M4)/L4</f>
        <v>-0.58662887211368531</v>
      </c>
    </row>
    <row r="5" spans="1:14" x14ac:dyDescent="0.3">
      <c r="A5" s="43" t="s">
        <v>16</v>
      </c>
      <c r="B5">
        <v>10</v>
      </c>
      <c r="C5" s="115">
        <v>53683913</v>
      </c>
      <c r="D5" s="115">
        <v>43099312.239999995</v>
      </c>
      <c r="E5" s="115">
        <v>18252093.169999998</v>
      </c>
      <c r="F5" s="107">
        <f>C5/(E5/12)</f>
        <v>35.294963158463872</v>
      </c>
      <c r="G5" s="108">
        <f>+E5/C5</f>
        <v>0.33999185510191848</v>
      </c>
      <c r="H5" s="108">
        <f>C5/$C$17</f>
        <v>0.25355812519600557</v>
      </c>
      <c r="I5" s="43" t="s">
        <v>17</v>
      </c>
      <c r="J5">
        <v>2</v>
      </c>
      <c r="K5" s="115">
        <v>5083545</v>
      </c>
      <c r="L5" s="115">
        <v>1241688</v>
      </c>
      <c r="M5" s="115">
        <v>1499136.9681249999</v>
      </c>
      <c r="N5" s="108">
        <f>-(L5-M5)/L5</f>
        <v>0.20733788852352594</v>
      </c>
    </row>
    <row r="6" spans="1:14" x14ac:dyDescent="0.3">
      <c r="A6" s="43" t="s">
        <v>17</v>
      </c>
      <c r="B6">
        <v>2</v>
      </c>
      <c r="C6" s="115">
        <v>5083545</v>
      </c>
      <c r="D6" s="115">
        <v>6640803.4900000002</v>
      </c>
      <c r="E6" s="115">
        <v>2324281.2215</v>
      </c>
      <c r="F6" s="107">
        <f>C6/(E6/12)</f>
        <v>26.245765544941825</v>
      </c>
      <c r="G6" s="108">
        <f>+E6/C6</f>
        <v>0.45721661193124091</v>
      </c>
      <c r="H6" s="108">
        <f>C6/$C$17</f>
        <v>2.4010435669052813E-2</v>
      </c>
      <c r="I6" s="43" t="s">
        <v>15</v>
      </c>
      <c r="J6">
        <v>27</v>
      </c>
      <c r="K6" s="115">
        <v>152954856</v>
      </c>
      <c r="L6" s="115">
        <v>21340782.785714287</v>
      </c>
      <c r="M6" s="115">
        <v>12360183.50758378</v>
      </c>
      <c r="N6" s="108">
        <f>-(L6-M6)/L6</f>
        <v>-0.42081864420372628</v>
      </c>
    </row>
    <row r="7" spans="1:14" x14ac:dyDescent="0.3">
      <c r="A7" s="43" t="s">
        <v>18</v>
      </c>
      <c r="B7">
        <v>39</v>
      </c>
      <c r="C7" s="115">
        <v>211722314.00000003</v>
      </c>
      <c r="D7" s="115">
        <v>179600437.28999996</v>
      </c>
      <c r="E7" s="115">
        <v>60153004.908999994</v>
      </c>
      <c r="F7" s="149">
        <f>C7/(E7/12)</f>
        <v>42.236755617504819</v>
      </c>
      <c r="G7" s="150">
        <f>+E7/C7</f>
        <v>0.28411273130615788</v>
      </c>
      <c r="H7" s="150">
        <f>C7/$C$17</f>
        <v>1.0000000000000002</v>
      </c>
      <c r="I7" s="43" t="s">
        <v>18</v>
      </c>
      <c r="J7">
        <v>39</v>
      </c>
      <c r="K7" s="115">
        <v>211722314.00000003</v>
      </c>
      <c r="L7" s="115">
        <v>29888473.785714276</v>
      </c>
      <c r="M7" s="115">
        <v>16879411.176159579</v>
      </c>
      <c r="N7" s="150">
        <f>-(L7-M7)/L7</f>
        <v>-0.43525349279536008</v>
      </c>
    </row>
    <row r="8" spans="1:14" x14ac:dyDescent="0.3">
      <c r="A8" s="43"/>
      <c r="C8" s="115"/>
      <c r="D8" s="115"/>
      <c r="E8" s="115"/>
    </row>
    <row r="9" spans="1:14" hidden="1" x14ac:dyDescent="0.3">
      <c r="A9" t="s">
        <v>0</v>
      </c>
      <c r="B9" t="s">
        <v>1</v>
      </c>
      <c r="C9" s="115"/>
      <c r="D9" s="115"/>
      <c r="E9" s="115"/>
      <c r="I9" t="s">
        <v>0</v>
      </c>
      <c r="J9" t="s">
        <v>1</v>
      </c>
    </row>
    <row r="10" spans="1:14" ht="28.5" customHeight="1" x14ac:dyDescent="0.3"/>
    <row r="11" spans="1:14" s="104" customFormat="1" ht="43.2" x14ac:dyDescent="0.3">
      <c r="A11" s="104" t="s">
        <v>19</v>
      </c>
      <c r="B11" s="104" t="s">
        <v>4</v>
      </c>
      <c r="C11" s="104" t="s">
        <v>5</v>
      </c>
      <c r="D11" s="104" t="s">
        <v>20</v>
      </c>
      <c r="E11" s="146" t="s">
        <v>7</v>
      </c>
      <c r="F11" s="147" t="s">
        <v>8</v>
      </c>
      <c r="G11" s="148" t="s">
        <v>9</v>
      </c>
      <c r="H11" s="148" t="s">
        <v>10</v>
      </c>
      <c r="I11" s="151" t="s">
        <v>19</v>
      </c>
      <c r="J11" s="104" t="s">
        <v>11</v>
      </c>
      <c r="K11" s="104" t="s">
        <v>5</v>
      </c>
      <c r="L11" s="146" t="s">
        <v>12</v>
      </c>
      <c r="M11" s="146" t="s">
        <v>13</v>
      </c>
      <c r="N11" s="148" t="s">
        <v>14</v>
      </c>
    </row>
    <row r="12" spans="1:14" x14ac:dyDescent="0.3">
      <c r="A12" s="43" t="s">
        <v>21</v>
      </c>
      <c r="B12">
        <v>13</v>
      </c>
      <c r="C12" s="115">
        <v>147476553</v>
      </c>
      <c r="D12" s="115">
        <v>87104025.480000004</v>
      </c>
      <c r="E12" s="115">
        <v>19328370.096000001</v>
      </c>
      <c r="F12" s="107">
        <f t="shared" ref="F12:F17" si="0">C12/(E12/12)</f>
        <v>91.560676208608115</v>
      </c>
      <c r="G12" s="108">
        <f t="shared" ref="G12:G17" si="1">+E12/C12</f>
        <v>0.13106063101434165</v>
      </c>
      <c r="H12" s="108">
        <f t="shared" ref="H12:H17" si="2">C12/$C$17</f>
        <v>0.69655649522137753</v>
      </c>
      <c r="I12" s="43" t="s">
        <v>22</v>
      </c>
      <c r="J12">
        <v>7</v>
      </c>
      <c r="K12" s="115">
        <v>7618193</v>
      </c>
      <c r="L12" s="115">
        <v>1556794</v>
      </c>
      <c r="M12" s="115">
        <v>2993028.3928571427</v>
      </c>
      <c r="N12" s="108">
        <f t="shared" ref="N12:N17" si="3">-(L12-M12)/L12</f>
        <v>0.92255904946777978</v>
      </c>
    </row>
    <row r="13" spans="1:14" x14ac:dyDescent="0.3">
      <c r="A13" s="43" t="s">
        <v>23</v>
      </c>
      <c r="B13">
        <v>6</v>
      </c>
      <c r="C13" s="115">
        <v>25126758</v>
      </c>
      <c r="D13" s="115">
        <v>32079797</v>
      </c>
      <c r="E13" s="115">
        <v>15204379.669499999</v>
      </c>
      <c r="F13" s="107">
        <f t="shared" si="0"/>
        <v>19.831200124846369</v>
      </c>
      <c r="G13" s="108">
        <f t="shared" si="1"/>
        <v>0.60510710014797764</v>
      </c>
      <c r="H13" s="108">
        <f t="shared" si="2"/>
        <v>0.11867789240202617</v>
      </c>
      <c r="I13" s="43" t="s">
        <v>23</v>
      </c>
      <c r="J13">
        <v>6</v>
      </c>
      <c r="K13" s="115">
        <v>25126758</v>
      </c>
      <c r="L13" s="115">
        <v>3651543</v>
      </c>
      <c r="M13" s="115">
        <v>1805475.7622220588</v>
      </c>
      <c r="N13" s="108">
        <f t="shared" si="3"/>
        <v>-0.5055581264626875</v>
      </c>
    </row>
    <row r="14" spans="1:14" x14ac:dyDescent="0.3">
      <c r="A14" s="43" t="s">
        <v>24</v>
      </c>
      <c r="B14">
        <v>8</v>
      </c>
      <c r="C14" s="115">
        <v>23461100</v>
      </c>
      <c r="D14" s="115">
        <v>25372454.009999998</v>
      </c>
      <c r="E14" s="115">
        <v>8880358.9034999982</v>
      </c>
      <c r="F14" s="107">
        <f t="shared" si="0"/>
        <v>31.702907850834709</v>
      </c>
      <c r="G14" s="108">
        <f t="shared" si="1"/>
        <v>0.3785141746763791</v>
      </c>
      <c r="H14" s="108">
        <f t="shared" si="2"/>
        <v>0.11081071029669551</v>
      </c>
      <c r="I14" s="43" t="s">
        <v>25</v>
      </c>
      <c r="J14">
        <v>5</v>
      </c>
      <c r="K14" s="115">
        <v>8039710</v>
      </c>
      <c r="L14" s="115">
        <v>1669145</v>
      </c>
      <c r="M14" s="115">
        <v>394993.4</v>
      </c>
      <c r="N14" s="108">
        <f t="shared" si="3"/>
        <v>-0.76335584985127125</v>
      </c>
    </row>
    <row r="15" spans="1:14" x14ac:dyDescent="0.3">
      <c r="A15" s="43" t="s">
        <v>25</v>
      </c>
      <c r="B15">
        <v>5</v>
      </c>
      <c r="C15" s="115">
        <v>8039710</v>
      </c>
      <c r="D15" s="115">
        <v>3910920.8</v>
      </c>
      <c r="E15" s="115">
        <v>1173276.24</v>
      </c>
      <c r="F15" s="107">
        <f t="shared" si="0"/>
        <v>82.228307972894768</v>
      </c>
      <c r="G15" s="108">
        <f t="shared" si="1"/>
        <v>0.14593514442685121</v>
      </c>
      <c r="H15" s="108">
        <f t="shared" si="2"/>
        <v>3.7972898784773342E-2</v>
      </c>
      <c r="I15" s="43" t="s">
        <v>21</v>
      </c>
      <c r="J15">
        <v>13</v>
      </c>
      <c r="K15" s="115">
        <v>147476553</v>
      </c>
      <c r="L15" s="115">
        <v>18597712.285714287</v>
      </c>
      <c r="M15" s="115">
        <v>7978745.7051037848</v>
      </c>
      <c r="N15" s="108">
        <f t="shared" si="3"/>
        <v>-0.57098240995842231</v>
      </c>
    </row>
    <row r="16" spans="1:14" x14ac:dyDescent="0.3">
      <c r="A16" s="43" t="s">
        <v>22</v>
      </c>
      <c r="B16">
        <v>7</v>
      </c>
      <c r="C16" s="115">
        <v>7618193</v>
      </c>
      <c r="D16" s="115">
        <v>31133240</v>
      </c>
      <c r="E16" s="115">
        <v>15566620</v>
      </c>
      <c r="F16" s="107">
        <f t="shared" si="0"/>
        <v>5.8727145648830641</v>
      </c>
      <c r="G16" s="108">
        <f t="shared" si="1"/>
        <v>2.0433480747993653</v>
      </c>
      <c r="H16" s="108">
        <f t="shared" si="2"/>
        <v>3.5982003295127407E-2</v>
      </c>
      <c r="I16" s="43" t="s">
        <v>24</v>
      </c>
      <c r="J16">
        <v>8</v>
      </c>
      <c r="K16" s="115">
        <v>23461100</v>
      </c>
      <c r="L16" s="115">
        <v>4413279.5</v>
      </c>
      <c r="M16" s="115">
        <v>3707167.9159765928</v>
      </c>
      <c r="N16" s="108">
        <f t="shared" si="3"/>
        <v>-0.15999702353395184</v>
      </c>
    </row>
    <row r="17" spans="1:14" x14ac:dyDescent="0.3">
      <c r="A17" s="43" t="s">
        <v>18</v>
      </c>
      <c r="B17">
        <v>39</v>
      </c>
      <c r="C17" s="115">
        <v>211722314</v>
      </c>
      <c r="D17" s="115">
        <v>179600437.29000002</v>
      </c>
      <c r="E17" s="115">
        <v>60153004.908999994</v>
      </c>
      <c r="F17" s="149">
        <f t="shared" si="0"/>
        <v>42.236755617504812</v>
      </c>
      <c r="G17" s="150">
        <f t="shared" si="1"/>
        <v>0.28411273130615788</v>
      </c>
      <c r="H17" s="150">
        <f t="shared" si="2"/>
        <v>1</v>
      </c>
      <c r="I17" s="43" t="s">
        <v>18</v>
      </c>
      <c r="J17">
        <v>39</v>
      </c>
      <c r="K17" s="115">
        <v>211722314</v>
      </c>
      <c r="L17" s="115">
        <v>29888473.785714284</v>
      </c>
      <c r="M17" s="115">
        <v>16879411.176159583</v>
      </c>
      <c r="N17" s="150">
        <f t="shared" si="3"/>
        <v>-0.43525349279536008</v>
      </c>
    </row>
    <row r="18" spans="1:14" x14ac:dyDescent="0.3">
      <c r="E18"/>
      <c r="F18" s="152"/>
      <c r="M18"/>
      <c r="N18" s="153"/>
    </row>
    <row r="19" spans="1:14" x14ac:dyDescent="0.3">
      <c r="A19" s="43"/>
      <c r="C19" s="115"/>
      <c r="D19" s="115"/>
      <c r="E19" s="115"/>
      <c r="F19" s="154"/>
      <c r="I19" s="43"/>
      <c r="K19" s="115"/>
      <c r="L19" s="115"/>
      <c r="M19" s="115"/>
      <c r="N19" s="155"/>
    </row>
    <row r="20" spans="1:14" hidden="1" x14ac:dyDescent="0.3">
      <c r="A20" t="s">
        <v>26</v>
      </c>
      <c r="B20" t="s">
        <v>1</v>
      </c>
      <c r="C20" s="115"/>
      <c r="D20" s="115"/>
      <c r="E20" s="115"/>
      <c r="F20" s="154"/>
      <c r="I20" s="43"/>
      <c r="K20" s="115"/>
      <c r="L20" s="115"/>
      <c r="M20" s="115"/>
      <c r="N20" s="155"/>
    </row>
    <row r="21" spans="1:14" x14ac:dyDescent="0.3">
      <c r="M21"/>
      <c r="N21" s="156"/>
    </row>
    <row r="22" spans="1:14" s="104" customFormat="1" ht="43.2" x14ac:dyDescent="0.3">
      <c r="A22" s="104" t="s">
        <v>27</v>
      </c>
      <c r="B22" s="104" t="s">
        <v>4</v>
      </c>
      <c r="C22" s="104" t="s">
        <v>5</v>
      </c>
      <c r="D22" s="104" t="s">
        <v>6</v>
      </c>
      <c r="E22" s="146" t="s">
        <v>7</v>
      </c>
      <c r="F22" s="147" t="s">
        <v>8</v>
      </c>
      <c r="G22" s="148" t="s">
        <v>9</v>
      </c>
      <c r="H22" s="148" t="s">
        <v>10</v>
      </c>
      <c r="I22"/>
      <c r="J22"/>
      <c r="K22"/>
      <c r="L22"/>
      <c r="M22"/>
      <c r="N22" s="157"/>
    </row>
    <row r="23" spans="1:14" x14ac:dyDescent="0.3">
      <c r="A23" s="43" t="s">
        <v>28</v>
      </c>
      <c r="B23">
        <v>10</v>
      </c>
      <c r="C23" s="115">
        <v>103918387</v>
      </c>
      <c r="D23" s="115">
        <v>71497336.480000004</v>
      </c>
      <c r="E23" s="115">
        <v>16207032.296</v>
      </c>
      <c r="F23" s="107">
        <f>C23/(E23/12)</f>
        <v>76.943182516380418</v>
      </c>
      <c r="G23" s="108">
        <f t="shared" ref="G23:G34" si="4">+E23/C23</f>
        <v>0.15595923651124416</v>
      </c>
      <c r="H23" s="108">
        <f>C23/$C$34</f>
        <v>0.49082397144025164</v>
      </c>
      <c r="M23"/>
    </row>
    <row r="24" spans="1:14" x14ac:dyDescent="0.3">
      <c r="A24" s="43" t="s">
        <v>29</v>
      </c>
      <c r="B24">
        <v>3</v>
      </c>
      <c r="C24" s="115">
        <v>43558166</v>
      </c>
      <c r="D24" s="115">
        <v>15606689</v>
      </c>
      <c r="E24" s="115">
        <v>3121337.8</v>
      </c>
      <c r="F24" s="107">
        <f t="shared" ref="F24:F34" si="5">C24/(E24/12)</f>
        <v>167.45960401978923</v>
      </c>
      <c r="G24" s="108">
        <f t="shared" si="4"/>
        <v>7.1659073065656623E-2</v>
      </c>
      <c r="H24" s="108">
        <f t="shared" ref="H24:H34" si="6">C24/$C$34</f>
        <v>0.20573252378112586</v>
      </c>
      <c r="M24"/>
    </row>
    <row r="25" spans="1:14" x14ac:dyDescent="0.3">
      <c r="A25" s="43" t="s">
        <v>30</v>
      </c>
      <c r="B25">
        <v>5</v>
      </c>
      <c r="C25" s="115">
        <v>22520275</v>
      </c>
      <c r="D25" s="115">
        <v>26956656.870000001</v>
      </c>
      <c r="E25" s="115">
        <v>12130495.591499999</v>
      </c>
      <c r="F25" s="107">
        <f t="shared" si="5"/>
        <v>22.278009827509692</v>
      </c>
      <c r="G25" s="108">
        <f t="shared" si="4"/>
        <v>0.53864775592216341</v>
      </c>
      <c r="H25" s="108">
        <f t="shared" si="6"/>
        <v>0.1063670360224761</v>
      </c>
      <c r="M25"/>
    </row>
    <row r="26" spans="1:14" x14ac:dyDescent="0.3">
      <c r="A26" s="43" t="s">
        <v>31</v>
      </c>
      <c r="B26">
        <v>4</v>
      </c>
      <c r="C26" s="115">
        <v>11195635</v>
      </c>
      <c r="D26" s="115">
        <v>13332698.140000001</v>
      </c>
      <c r="E26" s="115">
        <v>4666444.3489999995</v>
      </c>
      <c r="F26" s="107">
        <f t="shared" si="5"/>
        <v>28.790147262506228</v>
      </c>
      <c r="G26" s="108">
        <f t="shared" si="4"/>
        <v>0.41680926084139036</v>
      </c>
      <c r="H26" s="108">
        <f t="shared" si="6"/>
        <v>5.2878861885101061E-2</v>
      </c>
      <c r="M26"/>
    </row>
    <row r="27" spans="1:14" x14ac:dyDescent="0.3">
      <c r="A27" s="43" t="s">
        <v>32</v>
      </c>
      <c r="B27">
        <v>2</v>
      </c>
      <c r="C27" s="115">
        <v>8203465</v>
      </c>
      <c r="D27" s="115">
        <v>6221720</v>
      </c>
      <c r="E27" s="115">
        <v>2177602</v>
      </c>
      <c r="F27" s="107">
        <f t="shared" si="5"/>
        <v>45.206415130037534</v>
      </c>
      <c r="G27" s="108">
        <f t="shared" si="4"/>
        <v>0.26544905110218669</v>
      </c>
      <c r="H27" s="108">
        <f t="shared" si="6"/>
        <v>3.8746341115466924E-2</v>
      </c>
      <c r="M27"/>
    </row>
    <row r="28" spans="1:14" x14ac:dyDescent="0.3">
      <c r="A28" s="43" t="s">
        <v>33</v>
      </c>
      <c r="B28">
        <v>7</v>
      </c>
      <c r="C28" s="115">
        <v>7618193</v>
      </c>
      <c r="D28" s="115">
        <v>31133240</v>
      </c>
      <c r="E28" s="115">
        <v>15566620</v>
      </c>
      <c r="F28" s="107">
        <f t="shared" si="5"/>
        <v>5.8727145648830641</v>
      </c>
      <c r="G28" s="108">
        <f t="shared" si="4"/>
        <v>2.0433480747993653</v>
      </c>
      <c r="H28" s="108">
        <f t="shared" si="6"/>
        <v>3.5982003295127407E-2</v>
      </c>
      <c r="M28"/>
    </row>
    <row r="29" spans="1:14" x14ac:dyDescent="0.3">
      <c r="A29" s="43" t="s">
        <v>34</v>
      </c>
      <c r="B29">
        <v>2</v>
      </c>
      <c r="C29" s="115">
        <v>5778744</v>
      </c>
      <c r="D29" s="115">
        <v>2259790.7999999998</v>
      </c>
      <c r="E29" s="115">
        <v>677937.24</v>
      </c>
      <c r="F29" s="107">
        <f t="shared" si="5"/>
        <v>102.28812330769733</v>
      </c>
      <c r="G29" s="108">
        <f t="shared" si="4"/>
        <v>0.11731567274826502</v>
      </c>
      <c r="H29" s="108">
        <f t="shared" si="6"/>
        <v>2.7293977147822026E-2</v>
      </c>
    </row>
    <row r="30" spans="1:14" x14ac:dyDescent="0.3">
      <c r="A30" s="43" t="s">
        <v>35</v>
      </c>
      <c r="B30">
        <v>2</v>
      </c>
      <c r="C30" s="115">
        <v>4062000</v>
      </c>
      <c r="D30" s="115">
        <v>5818035.8700000001</v>
      </c>
      <c r="E30" s="115">
        <v>2036312.5545000001</v>
      </c>
      <c r="F30" s="107">
        <f t="shared" si="5"/>
        <v>23.937386179877819</v>
      </c>
      <c r="G30" s="108">
        <f t="shared" si="4"/>
        <v>0.50130786669128513</v>
      </c>
      <c r="H30" s="108">
        <f t="shared" si="6"/>
        <v>1.9185507296127509E-2</v>
      </c>
    </row>
    <row r="31" spans="1:14" x14ac:dyDescent="0.3">
      <c r="A31" s="43" t="s">
        <v>36</v>
      </c>
      <c r="B31">
        <v>1</v>
      </c>
      <c r="C31" s="115">
        <v>2606483</v>
      </c>
      <c r="D31" s="115">
        <v>5123140.129999999</v>
      </c>
      <c r="E31" s="115">
        <v>3073884.0779999993</v>
      </c>
      <c r="F31" s="107">
        <f t="shared" si="5"/>
        <v>10.175333619070852</v>
      </c>
      <c r="G31" s="108">
        <f t="shared" si="4"/>
        <v>1.1793225115989627</v>
      </c>
      <c r="H31" s="108">
        <f t="shared" si="6"/>
        <v>1.2310856379550053E-2</v>
      </c>
    </row>
    <row r="32" spans="1:14" x14ac:dyDescent="0.3">
      <c r="A32" s="43" t="s">
        <v>37</v>
      </c>
      <c r="B32">
        <v>1</v>
      </c>
      <c r="C32" s="115">
        <v>1375572</v>
      </c>
      <c r="D32" s="115">
        <v>846130</v>
      </c>
      <c r="E32" s="115">
        <v>253839</v>
      </c>
      <c r="F32" s="107">
        <f t="shared" si="5"/>
        <v>65.028872631865084</v>
      </c>
      <c r="G32" s="108">
        <f t="shared" si="4"/>
        <v>0.18453341591716027</v>
      </c>
      <c r="H32" s="108">
        <f t="shared" si="6"/>
        <v>6.49705727285788E-3</v>
      </c>
    </row>
    <row r="33" spans="1:13" x14ac:dyDescent="0.3">
      <c r="A33" s="43" t="s">
        <v>38</v>
      </c>
      <c r="B33">
        <v>2</v>
      </c>
      <c r="C33" s="115">
        <v>885394</v>
      </c>
      <c r="D33" s="115">
        <v>805000</v>
      </c>
      <c r="E33" s="115">
        <v>241500</v>
      </c>
      <c r="F33" s="107">
        <f t="shared" si="5"/>
        <v>43.994732919254659</v>
      </c>
      <c r="G33" s="108">
        <f t="shared" si="4"/>
        <v>0.27275992383052067</v>
      </c>
      <c r="H33" s="108">
        <f t="shared" si="6"/>
        <v>4.181864364093432E-3</v>
      </c>
    </row>
    <row r="34" spans="1:13" x14ac:dyDescent="0.3">
      <c r="A34" s="43" t="s">
        <v>18</v>
      </c>
      <c r="B34">
        <v>39</v>
      </c>
      <c r="C34" s="115">
        <v>211722314.00000003</v>
      </c>
      <c r="D34" s="115">
        <v>179600437.29000002</v>
      </c>
      <c r="E34" s="115">
        <v>60153004.909000002</v>
      </c>
      <c r="F34" s="149">
        <f t="shared" si="5"/>
        <v>42.236755617504812</v>
      </c>
      <c r="G34" s="150">
        <f t="shared" si="4"/>
        <v>0.28411273130615788</v>
      </c>
      <c r="H34" s="150">
        <f t="shared" si="6"/>
        <v>1</v>
      </c>
      <c r="M34" s="149"/>
    </row>
    <row r="35" spans="1:13" x14ac:dyDescent="0.3">
      <c r="E35"/>
      <c r="F35" s="1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X17:AC22"/>
  <sheetViews>
    <sheetView workbookViewId="0">
      <selection activeCell="N19" sqref="N19"/>
    </sheetView>
  </sheetViews>
  <sheetFormatPr defaultRowHeight="14.4" x14ac:dyDescent="0.3"/>
  <sheetData>
    <row r="17" spans="24:29" x14ac:dyDescent="0.3">
      <c r="Z17" s="107"/>
      <c r="AB17" s="216"/>
      <c r="AC17" s="216"/>
    </row>
    <row r="18" spans="24:29" x14ac:dyDescent="0.3">
      <c r="X18" s="115"/>
      <c r="Y18" s="115"/>
      <c r="Z18" s="115"/>
    </row>
    <row r="19" spans="24:29" x14ac:dyDescent="0.3">
      <c r="Z19" s="214"/>
    </row>
    <row r="20" spans="24:29" x14ac:dyDescent="0.3">
      <c r="AA20" s="222"/>
      <c r="AB20" s="222"/>
      <c r="AC20" s="222"/>
    </row>
    <row r="21" spans="24:29" x14ac:dyDescent="0.3">
      <c r="AA21" s="214"/>
      <c r="AB21" s="216"/>
      <c r="AC21" s="216"/>
    </row>
    <row r="22" spans="24:29" x14ac:dyDescent="0.3">
      <c r="AA22" s="214"/>
      <c r="AB22" s="221"/>
      <c r="AC22" s="2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31"/>
  <sheetViews>
    <sheetView showGridLines="0" topLeftCell="S8" zoomScale="90" zoomScaleNormal="90" workbookViewId="0">
      <selection activeCell="S8" sqref="S8"/>
    </sheetView>
  </sheetViews>
  <sheetFormatPr defaultRowHeight="14.4" x14ac:dyDescent="0.3"/>
  <cols>
    <col min="1" max="1" width="14.21875" hidden="1" customWidth="1"/>
    <col min="2" max="2" width="17.5546875" hidden="1" customWidth="1"/>
    <col min="3" max="3" width="13.33203125" hidden="1" customWidth="1"/>
    <col min="4" max="4" width="13.6640625" hidden="1" customWidth="1"/>
    <col min="5" max="5" width="13.33203125" style="214" hidden="1" customWidth="1"/>
    <col min="6" max="12" width="17.6640625" style="214" hidden="1" customWidth="1"/>
    <col min="13" max="13" width="9.33203125" hidden="1" customWidth="1"/>
    <col min="14" max="14" width="10" hidden="1" customWidth="1"/>
    <col min="15" max="18" width="14.6640625" hidden="1" customWidth="1"/>
    <col min="19" max="19" width="2" customWidth="1"/>
    <col min="20" max="20" width="14.77734375" customWidth="1"/>
    <col min="21" max="21" width="13.6640625" customWidth="1"/>
    <col min="22" max="22" width="15.33203125" bestFit="1" customWidth="1"/>
    <col min="23" max="23" width="12.6640625" bestFit="1" customWidth="1"/>
    <col min="24" max="27" width="12.21875" bestFit="1" customWidth="1"/>
    <col min="28" max="28" width="11" bestFit="1" customWidth="1"/>
    <col min="29" max="30" width="14.109375" bestFit="1" customWidth="1"/>
    <col min="31" max="31" width="13.77734375" bestFit="1" customWidth="1"/>
    <col min="32" max="32" width="12.6640625" bestFit="1" customWidth="1"/>
    <col min="33" max="33" width="13.33203125" bestFit="1" customWidth="1"/>
    <col min="34" max="35" width="13.44140625" hidden="1" customWidth="1"/>
    <col min="36" max="36" width="14.109375" style="107" bestFit="1" customWidth="1"/>
    <col min="37" max="37" width="13.5546875" bestFit="1" customWidth="1"/>
    <col min="38" max="38" width="13.21875" bestFit="1" customWidth="1"/>
    <col min="39" max="39" width="13.33203125" bestFit="1" customWidth="1"/>
    <col min="40" max="40" width="16.109375" bestFit="1" customWidth="1"/>
  </cols>
  <sheetData>
    <row r="1" spans="1:41" hidden="1" x14ac:dyDescent="0.3">
      <c r="A1" s="42" t="s">
        <v>0</v>
      </c>
      <c r="B1" t="s">
        <v>1</v>
      </c>
      <c r="T1" s="42" t="s">
        <v>0</v>
      </c>
      <c r="U1" t="s">
        <v>1</v>
      </c>
    </row>
    <row r="2" spans="1:41" s="104" customFormat="1" ht="21" hidden="1" x14ac:dyDescent="0.4">
      <c r="A2" s="118"/>
      <c r="B2"/>
      <c r="C2"/>
      <c r="D2"/>
      <c r="E2"/>
      <c r="F2"/>
      <c r="G2"/>
      <c r="H2"/>
      <c r="I2"/>
      <c r="J2"/>
      <c r="K2"/>
      <c r="L2"/>
      <c r="T2"/>
      <c r="U2"/>
      <c r="V2"/>
      <c r="W2"/>
      <c r="X2"/>
      <c r="Y2"/>
      <c r="Z2"/>
      <c r="AA2"/>
      <c r="AB2"/>
      <c r="AC2"/>
      <c r="AD2"/>
      <c r="AE2"/>
      <c r="AF2"/>
      <c r="AG2"/>
      <c r="AH2"/>
      <c r="AI2"/>
      <c r="AJ2" s="220"/>
    </row>
    <row r="3" spans="1:41" ht="43.2" hidden="1" x14ac:dyDescent="0.3">
      <c r="A3" s="247" t="s">
        <v>3</v>
      </c>
      <c r="B3" s="247" t="s">
        <v>4</v>
      </c>
      <c r="C3" s="247" t="s">
        <v>39</v>
      </c>
      <c r="D3" s="247" t="s">
        <v>6</v>
      </c>
      <c r="E3" s="248" t="s">
        <v>7</v>
      </c>
      <c r="F3" s="248"/>
      <c r="G3" s="248"/>
      <c r="H3" s="248"/>
      <c r="I3" s="248"/>
      <c r="J3" s="248"/>
      <c r="K3" s="248"/>
      <c r="L3" s="248"/>
      <c r="M3" s="247" t="s">
        <v>8</v>
      </c>
      <c r="N3" s="247" t="s">
        <v>9</v>
      </c>
      <c r="O3" s="247" t="s">
        <v>10</v>
      </c>
      <c r="P3" s="247"/>
      <c r="Q3" s="247" t="s">
        <v>1563</v>
      </c>
      <c r="R3" s="247"/>
      <c r="S3" s="215"/>
      <c r="T3" s="247" t="s">
        <v>3</v>
      </c>
      <c r="U3" s="247" t="s">
        <v>40</v>
      </c>
      <c r="V3" s="247" t="s">
        <v>39</v>
      </c>
      <c r="W3" s="247" t="s">
        <v>41</v>
      </c>
      <c r="X3" s="247" t="s">
        <v>1475</v>
      </c>
      <c r="Y3" s="247" t="s">
        <v>1476</v>
      </c>
      <c r="Z3" s="247" t="s">
        <v>1477</v>
      </c>
      <c r="AA3" s="247" t="s">
        <v>1478</v>
      </c>
      <c r="AB3" s="247" t="s">
        <v>1479</v>
      </c>
      <c r="AC3" s="247" t="s">
        <v>1549</v>
      </c>
      <c r="AD3" s="247" t="s">
        <v>1487</v>
      </c>
      <c r="AG3" s="247" t="s">
        <v>1485</v>
      </c>
      <c r="AJ3" s="247" t="s">
        <v>47</v>
      </c>
    </row>
    <row r="4" spans="1:41" hidden="1" x14ac:dyDescent="0.3">
      <c r="A4" s="43" t="s">
        <v>15</v>
      </c>
      <c r="B4">
        <v>63</v>
      </c>
      <c r="C4" s="115">
        <v>305830985.5</v>
      </c>
      <c r="D4" s="115">
        <v>448884789.42279696</v>
      </c>
      <c r="E4" s="115">
        <v>162819619.97545221</v>
      </c>
      <c r="F4" s="115"/>
      <c r="G4" s="115"/>
      <c r="H4" s="115"/>
      <c r="I4" s="115"/>
      <c r="J4" s="115"/>
      <c r="K4" s="115"/>
      <c r="L4" s="115"/>
      <c r="M4" s="214">
        <f>C4/(E4/12)</f>
        <v>22.540108044431683</v>
      </c>
      <c r="N4" s="216">
        <f>+E4/C4</f>
        <v>0.53238431583137347</v>
      </c>
      <c r="O4" s="216">
        <f>C4/$C$7</f>
        <v>0.49697045904287662</v>
      </c>
      <c r="P4" s="216"/>
      <c r="Q4" s="216"/>
      <c r="R4" s="216"/>
      <c r="S4" s="217"/>
      <c r="T4" s="43" t="s">
        <v>15</v>
      </c>
      <c r="U4">
        <v>63</v>
      </c>
      <c r="V4" s="115">
        <v>307970985.5</v>
      </c>
      <c r="W4" s="115">
        <v>32030274</v>
      </c>
      <c r="X4" s="115">
        <v>30666328.849999998</v>
      </c>
      <c r="Y4" s="115">
        <v>18660252.490000002</v>
      </c>
      <c r="Z4" s="115">
        <v>22198012</v>
      </c>
      <c r="AA4" s="115">
        <v>39413941.5</v>
      </c>
      <c r="AB4" s="115">
        <v>17377026.170000002</v>
      </c>
      <c r="AC4" s="237">
        <v>18416290.079999998</v>
      </c>
      <c r="AD4" s="115">
        <v>26157720.697837304</v>
      </c>
      <c r="AF4" s="115"/>
      <c r="AG4" s="115">
        <f t="shared" ref="AG4:AG5" si="0">AVERAGE(X4:AC4)</f>
        <v>24455308.515000001</v>
      </c>
      <c r="AJ4" s="108">
        <f>AG4/W4</f>
        <v>0.76350606663558362</v>
      </c>
      <c r="AK4" s="115"/>
      <c r="AL4" s="108"/>
    </row>
    <row r="5" spans="1:41" hidden="1" x14ac:dyDescent="0.3">
      <c r="A5" s="43" t="s">
        <v>16</v>
      </c>
      <c r="B5">
        <v>53</v>
      </c>
      <c r="C5" s="115">
        <v>218197705</v>
      </c>
      <c r="D5" s="115">
        <v>276939326.82000005</v>
      </c>
      <c r="E5" s="115">
        <v>84979784.722000003</v>
      </c>
      <c r="F5" s="115"/>
      <c r="G5" s="115"/>
      <c r="H5" s="115"/>
      <c r="I5" s="115"/>
      <c r="J5" s="115"/>
      <c r="K5" s="115"/>
      <c r="L5" s="115"/>
      <c r="M5" s="214">
        <f>C5/(E5/12)</f>
        <v>30.811709732681194</v>
      </c>
      <c r="N5" s="216">
        <f>+E5/C5</f>
        <v>0.3894623214391737</v>
      </c>
      <c r="O5" s="216">
        <f>C5/$C$7</f>
        <v>0.35456778010464923</v>
      </c>
      <c r="P5" s="216"/>
      <c r="Q5" s="216"/>
      <c r="R5" s="216"/>
      <c r="S5" s="217"/>
      <c r="T5" s="43" t="s">
        <v>16</v>
      </c>
      <c r="U5">
        <v>52</v>
      </c>
      <c r="V5" s="115">
        <v>214097705</v>
      </c>
      <c r="W5" s="115">
        <v>29670253</v>
      </c>
      <c r="X5" s="115">
        <v>16410536.250000002</v>
      </c>
      <c r="Y5" s="115">
        <v>6005090.5999999996</v>
      </c>
      <c r="Z5" s="115">
        <v>21741327.199999999</v>
      </c>
      <c r="AA5" s="115">
        <v>33105902.470000003</v>
      </c>
      <c r="AB5" s="115">
        <v>6611082.9600000009</v>
      </c>
      <c r="AC5" s="237">
        <v>14988228.370000001</v>
      </c>
      <c r="AD5" s="115">
        <v>22800920.74513492</v>
      </c>
      <c r="AF5" s="115"/>
      <c r="AG5" s="115">
        <f t="shared" si="0"/>
        <v>16477027.975</v>
      </c>
      <c r="AJ5" s="108">
        <f>AG5/W5</f>
        <v>0.55533830382235028</v>
      </c>
      <c r="AK5" s="115"/>
      <c r="AL5" s="108"/>
    </row>
    <row r="6" spans="1:41" hidden="1" x14ac:dyDescent="0.3">
      <c r="A6" s="43" t="s">
        <v>17</v>
      </c>
      <c r="B6">
        <v>15</v>
      </c>
      <c r="C6" s="115">
        <v>91361983</v>
      </c>
      <c r="D6" s="115">
        <v>45498229</v>
      </c>
      <c r="E6" s="115">
        <v>15367599.600000001</v>
      </c>
      <c r="F6" s="115"/>
      <c r="G6" s="115"/>
      <c r="H6" s="115"/>
      <c r="I6" s="115"/>
      <c r="J6" s="115"/>
      <c r="K6" s="115"/>
      <c r="L6" s="115"/>
      <c r="M6" s="214">
        <f>C6/(E6/12)</f>
        <v>71.34125201960623</v>
      </c>
      <c r="N6" s="216">
        <f>+E6/C6</f>
        <v>0.16820562662261831</v>
      </c>
      <c r="O6" s="216">
        <f>C6/$C$7</f>
        <v>0.14846176085247415</v>
      </c>
      <c r="P6" s="216"/>
      <c r="Q6" s="216"/>
      <c r="R6" s="216"/>
      <c r="S6" s="217"/>
      <c r="T6" s="43" t="s">
        <v>17</v>
      </c>
      <c r="U6">
        <v>14</v>
      </c>
      <c r="V6" s="115">
        <v>76915583</v>
      </c>
      <c r="W6" s="115">
        <v>6670422</v>
      </c>
      <c r="X6" s="115">
        <v>1608305</v>
      </c>
      <c r="Y6" s="115">
        <v>802140</v>
      </c>
      <c r="Z6" s="115">
        <v>666220</v>
      </c>
      <c r="AA6" s="115">
        <v>5491656</v>
      </c>
      <c r="AB6" s="115">
        <v>2268332</v>
      </c>
      <c r="AC6" s="237">
        <v>1679484</v>
      </c>
      <c r="AD6" s="115">
        <v>3241282.4047619053</v>
      </c>
      <c r="AF6" s="115"/>
      <c r="AG6" s="115">
        <f>AVERAGE(X6:AC6)</f>
        <v>2086022.8333333333</v>
      </c>
      <c r="AJ6" s="108">
        <f>AG6/W6</f>
        <v>0.31272726573121362</v>
      </c>
      <c r="AK6" s="115"/>
      <c r="AL6" s="108"/>
    </row>
    <row r="7" spans="1:41" hidden="1" x14ac:dyDescent="0.3">
      <c r="A7" s="267" t="s">
        <v>18</v>
      </c>
      <c r="B7" s="268">
        <v>131</v>
      </c>
      <c r="C7" s="268">
        <v>615390673.5</v>
      </c>
      <c r="D7" s="268">
        <v>771322345.24279714</v>
      </c>
      <c r="E7" s="219">
        <v>263167004.29745224</v>
      </c>
      <c r="F7" s="219"/>
      <c r="G7" s="219"/>
      <c r="H7" s="219"/>
      <c r="I7" s="219"/>
      <c r="J7" s="219"/>
      <c r="K7" s="219"/>
      <c r="L7" s="219"/>
      <c r="M7" s="249">
        <f>C7/(E7/12)</f>
        <v>28.060843348177642</v>
      </c>
      <c r="N7" s="249">
        <f>+E7/C7</f>
        <v>0.42764217208672439</v>
      </c>
      <c r="O7" s="250">
        <f>C7/$C$7</f>
        <v>1</v>
      </c>
      <c r="P7" s="250"/>
      <c r="Q7" s="250"/>
      <c r="R7" s="250"/>
      <c r="S7" s="218"/>
      <c r="T7" s="253" t="s">
        <v>48</v>
      </c>
      <c r="U7" s="252">
        <v>129</v>
      </c>
      <c r="V7" s="252">
        <v>598984273.5</v>
      </c>
      <c r="W7" s="252">
        <v>68370949</v>
      </c>
      <c r="X7" s="252">
        <v>48685170.100000009</v>
      </c>
      <c r="Y7" s="252">
        <v>25467483.09</v>
      </c>
      <c r="Z7" s="252">
        <v>44605559.200000003</v>
      </c>
      <c r="AA7" s="252">
        <v>78011499.969999999</v>
      </c>
      <c r="AB7" s="252">
        <v>26256441.129999999</v>
      </c>
      <c r="AC7" s="254">
        <v>35084002.450000003</v>
      </c>
      <c r="AD7" s="252">
        <v>52199923.847734138</v>
      </c>
      <c r="AG7" s="526">
        <f>AVERAGE(X7:AC7)</f>
        <v>43018359.32333333</v>
      </c>
      <c r="AJ7" s="250">
        <f>AG7/W7</f>
        <v>0.62919061315549873</v>
      </c>
      <c r="AK7" s="115"/>
      <c r="AL7" s="108"/>
    </row>
    <row r="8" spans="1:41" x14ac:dyDescent="0.3">
      <c r="A8" s="708"/>
      <c r="B8" s="709"/>
      <c r="C8" s="709"/>
      <c r="D8" s="709"/>
      <c r="E8" s="115"/>
      <c r="F8" s="115"/>
      <c r="G8" s="115"/>
      <c r="H8" s="115"/>
      <c r="I8" s="115"/>
      <c r="J8" s="115"/>
      <c r="K8" s="115"/>
      <c r="L8" s="115"/>
      <c r="M8" s="710"/>
      <c r="N8" s="710"/>
      <c r="O8" s="711"/>
      <c r="P8" s="711"/>
      <c r="Q8" s="711"/>
      <c r="R8" s="711"/>
      <c r="S8" s="218"/>
      <c r="T8" s="281"/>
      <c r="U8" s="273"/>
      <c r="V8" s="273"/>
      <c r="W8" s="273"/>
      <c r="X8" s="273"/>
      <c r="Y8" s="273"/>
      <c r="Z8" s="273"/>
      <c r="AA8" s="273"/>
      <c r="AB8" s="273"/>
      <c r="AC8" s="712"/>
      <c r="AD8" s="273"/>
      <c r="AG8" s="281"/>
      <c r="AJ8" s="711"/>
      <c r="AK8" s="115"/>
      <c r="AL8" s="109"/>
    </row>
    <row r="9" spans="1:41" ht="33.6" x14ac:dyDescent="0.65">
      <c r="A9" s="708" t="s">
        <v>1701</v>
      </c>
      <c r="C9" s="709"/>
      <c r="D9" s="709"/>
      <c r="E9" s="115"/>
      <c r="F9" s="115"/>
      <c r="G9" s="115"/>
      <c r="H9" s="115"/>
      <c r="I9" s="115"/>
      <c r="J9" s="115"/>
      <c r="K9" s="115"/>
      <c r="L9" s="115"/>
      <c r="M9" s="710"/>
      <c r="N9" s="710"/>
      <c r="O9" s="711"/>
      <c r="P9" s="711"/>
      <c r="Q9" s="711"/>
      <c r="R9" s="711"/>
      <c r="S9" s="218"/>
      <c r="T9" s="281"/>
      <c r="U9" s="714" t="s">
        <v>1704</v>
      </c>
      <c r="V9" s="273"/>
      <c r="W9" s="273"/>
      <c r="X9" s="273"/>
      <c r="Y9" s="273"/>
      <c r="Z9" s="273"/>
      <c r="AA9" s="273"/>
      <c r="AB9" s="273"/>
      <c r="AC9" s="712"/>
      <c r="AD9" s="273"/>
      <c r="AG9" s="281"/>
      <c r="AJ9" s="711"/>
      <c r="AK9" s="115"/>
      <c r="AL9" s="109"/>
    </row>
    <row r="10" spans="1:41" ht="15.6" x14ac:dyDescent="0.3">
      <c r="A10" s="115"/>
      <c r="C10" s="115"/>
      <c r="D10" s="115"/>
      <c r="E10" s="115"/>
      <c r="F10" s="115"/>
      <c r="G10" s="115"/>
      <c r="H10" s="115"/>
      <c r="I10" s="115"/>
      <c r="J10" s="115"/>
      <c r="K10" s="115"/>
      <c r="L10" s="115"/>
      <c r="M10" s="115"/>
      <c r="N10" s="109"/>
      <c r="O10" s="109"/>
      <c r="P10" s="109"/>
      <c r="Q10" s="109"/>
      <c r="R10" s="109"/>
      <c r="U10" s="715" t="s">
        <v>1707</v>
      </c>
      <c r="X10" s="115"/>
      <c r="Y10" s="115"/>
      <c r="Z10" s="115"/>
      <c r="AA10" s="115"/>
      <c r="AB10" s="115"/>
      <c r="AC10" s="115"/>
      <c r="AD10" s="115"/>
      <c r="AE10" s="115"/>
      <c r="AF10" s="115"/>
      <c r="AG10" s="115"/>
      <c r="AH10" s="115"/>
      <c r="AI10" s="115"/>
      <c r="AJ10" s="153"/>
    </row>
    <row r="11" spans="1:41" hidden="1" x14ac:dyDescent="0.3">
      <c r="A11" s="42" t="s">
        <v>0</v>
      </c>
      <c r="B11" t="s">
        <v>1</v>
      </c>
      <c r="C11" s="115"/>
      <c r="D11" s="115"/>
      <c r="E11" s="115"/>
      <c r="F11" s="115"/>
      <c r="G11" s="115"/>
      <c r="H11" s="115"/>
      <c r="I11" s="115"/>
      <c r="J11" s="115"/>
      <c r="K11" s="115"/>
      <c r="L11" s="115"/>
      <c r="T11" s="42" t="s">
        <v>0</v>
      </c>
      <c r="U11" t="s">
        <v>1</v>
      </c>
    </row>
    <row r="12" spans="1:41" x14ac:dyDescent="0.3">
      <c r="AJ12" s="220"/>
    </row>
    <row r="13" spans="1:41" s="104" customFormat="1" ht="51" customHeight="1" x14ac:dyDescent="0.3">
      <c r="A13" s="247" t="s">
        <v>19</v>
      </c>
      <c r="B13" s="247" t="s">
        <v>4</v>
      </c>
      <c r="C13" s="247" t="s">
        <v>39</v>
      </c>
      <c r="D13" s="247" t="s">
        <v>20</v>
      </c>
      <c r="E13" s="262" t="s">
        <v>7</v>
      </c>
      <c r="F13" s="262"/>
      <c r="G13" s="262"/>
      <c r="H13" s="262"/>
      <c r="I13" s="262"/>
      <c r="J13" s="262"/>
      <c r="K13" s="262"/>
      <c r="L13" s="262"/>
      <c r="M13" s="247" t="s">
        <v>8</v>
      </c>
      <c r="N13" s="247" t="s">
        <v>9</v>
      </c>
      <c r="O13" s="247" t="s">
        <v>10</v>
      </c>
      <c r="P13" s="247" t="s">
        <v>1565</v>
      </c>
      <c r="Q13" s="247" t="s">
        <v>1563</v>
      </c>
      <c r="R13" s="247" t="s">
        <v>1564</v>
      </c>
      <c r="S13" s="215"/>
      <c r="T13" s="247" t="s">
        <v>19</v>
      </c>
      <c r="U13" s="247" t="s">
        <v>40</v>
      </c>
      <c r="V13" s="247" t="s">
        <v>39</v>
      </c>
      <c r="W13" s="248" t="s">
        <v>41</v>
      </c>
      <c r="X13" s="247" t="s">
        <v>1481</v>
      </c>
      <c r="Y13" s="247" t="s">
        <v>1482</v>
      </c>
      <c r="Z13" s="247" t="s">
        <v>1483</v>
      </c>
      <c r="AA13" s="247" t="s">
        <v>1484</v>
      </c>
      <c r="AB13" s="247" t="s">
        <v>1549</v>
      </c>
      <c r="AC13" s="247" t="s">
        <v>1702</v>
      </c>
      <c r="AD13" s="247" t="s">
        <v>1698</v>
      </c>
      <c r="AE13" s="608" t="s">
        <v>1703</v>
      </c>
      <c r="AF13"/>
      <c r="AG13"/>
      <c r="AH13"/>
      <c r="AI13"/>
      <c r="AJ13"/>
      <c r="AK13"/>
      <c r="AL13"/>
    </row>
    <row r="14" spans="1:41" x14ac:dyDescent="0.3">
      <c r="A14" s="43" t="s">
        <v>21</v>
      </c>
      <c r="B14">
        <v>21</v>
      </c>
      <c r="C14" s="115">
        <v>227114444</v>
      </c>
      <c r="D14" s="115">
        <v>213856201.6661303</v>
      </c>
      <c r="E14" s="115">
        <v>77431815.374452114</v>
      </c>
      <c r="F14" s="115"/>
      <c r="G14" s="115"/>
      <c r="H14" s="115"/>
      <c r="I14" s="115"/>
      <c r="J14" s="115"/>
      <c r="K14" s="115"/>
      <c r="L14" s="115"/>
      <c r="M14" s="214">
        <f>C14/(E14/12)</f>
        <v>35.197073900700651</v>
      </c>
      <c r="N14" s="216">
        <f t="shared" ref="N14:N20" si="1">+E14/C14</f>
        <v>0.34093743229493634</v>
      </c>
      <c r="O14" s="216">
        <f>C14/$C$23</f>
        <v>0.36905733833809884</v>
      </c>
      <c r="P14" s="107">
        <f t="shared" ref="P14:P22" si="2">D14*Q14</f>
        <v>89819604.699774727</v>
      </c>
      <c r="Q14" s="216">
        <v>0.42</v>
      </c>
      <c r="R14" s="108">
        <f>P14/C14</f>
        <v>0.39548169248000242</v>
      </c>
      <c r="S14" s="217"/>
      <c r="T14" s="43" t="s">
        <v>21</v>
      </c>
      <c r="U14">
        <v>21</v>
      </c>
      <c r="V14" s="115">
        <v>227114444</v>
      </c>
      <c r="W14" s="115">
        <v>19697466</v>
      </c>
      <c r="X14" s="115">
        <v>719743.49</v>
      </c>
      <c r="Y14" s="115">
        <v>484967</v>
      </c>
      <c r="Z14" s="115">
        <v>4313609</v>
      </c>
      <c r="AA14" s="115">
        <v>6611272.5</v>
      </c>
      <c r="AB14" s="237">
        <v>6528992</v>
      </c>
      <c r="AC14">
        <v>690928</v>
      </c>
      <c r="AD14" s="115">
        <f>AVERAGE(X14:AC14)</f>
        <v>3224918.6650000005</v>
      </c>
      <c r="AE14" s="108">
        <f>AD14/W14</f>
        <v>0.163722514611778</v>
      </c>
      <c r="AJ14"/>
      <c r="AM14" s="615">
        <f>AVERAGE(X14:AL14)</f>
        <v>2821803.8523403145</v>
      </c>
      <c r="AN14" s="108">
        <f>+AM14/GETPIVOTDATA("Per Month Commitment",$T$13,"Supplier name","OCD")</f>
        <v>0.14325720132428782</v>
      </c>
      <c r="AO14" s="108"/>
    </row>
    <row r="15" spans="1:41" x14ac:dyDescent="0.3">
      <c r="A15" s="43" t="s">
        <v>24</v>
      </c>
      <c r="B15">
        <v>30</v>
      </c>
      <c r="C15" s="115">
        <v>120366352</v>
      </c>
      <c r="D15" s="115">
        <v>170812140.07999998</v>
      </c>
      <c r="E15" s="115">
        <v>60036212.232000008</v>
      </c>
      <c r="F15" s="115"/>
      <c r="G15" s="115"/>
      <c r="H15" s="115"/>
      <c r="I15" s="115"/>
      <c r="J15" s="115"/>
      <c r="K15" s="115"/>
      <c r="L15" s="115"/>
      <c r="M15" s="214">
        <f t="shared" ref="M15:M21" si="3">C15/(E15/12)</f>
        <v>24.058750049359706</v>
      </c>
      <c r="N15" s="216">
        <f t="shared" si="1"/>
        <v>0.49877902947494834</v>
      </c>
      <c r="O15" s="216">
        <f t="shared" ref="O15:O23" si="4">C15/$C$23</f>
        <v>0.19559339649303281</v>
      </c>
      <c r="P15" s="107">
        <f t="shared" si="2"/>
        <v>73449220.234399989</v>
      </c>
      <c r="Q15" s="216">
        <v>0.43</v>
      </c>
      <c r="R15" s="108">
        <f t="shared" ref="R15:R23" si="5">P15/C15</f>
        <v>0.61021389295240902</v>
      </c>
      <c r="S15" s="217"/>
      <c r="T15" s="43" t="s">
        <v>24</v>
      </c>
      <c r="U15">
        <v>30</v>
      </c>
      <c r="V15" s="115">
        <v>120366352</v>
      </c>
      <c r="W15" s="115">
        <v>17430548</v>
      </c>
      <c r="X15" s="115">
        <v>12168544</v>
      </c>
      <c r="Y15" s="115">
        <v>8311780</v>
      </c>
      <c r="Z15" s="115">
        <v>24240888.5</v>
      </c>
      <c r="AA15" s="115">
        <v>3538316</v>
      </c>
      <c r="AB15" s="237">
        <v>12227814</v>
      </c>
      <c r="AC15">
        <v>8271090</v>
      </c>
      <c r="AD15" s="115">
        <f t="shared" ref="AD15:AD23" si="6">AVERAGE(X15:AC15)</f>
        <v>11459738.75</v>
      </c>
      <c r="AE15" s="108">
        <f t="shared" ref="AE15:AE23" si="7">AD15/W15</f>
        <v>0.65745143239329018</v>
      </c>
      <c r="AJ15"/>
    </row>
    <row r="16" spans="1:41" x14ac:dyDescent="0.3">
      <c r="A16" s="43" t="s">
        <v>49</v>
      </c>
      <c r="B16">
        <v>19</v>
      </c>
      <c r="C16" s="115">
        <v>96440445</v>
      </c>
      <c r="D16" s="115">
        <v>169167544.52666667</v>
      </c>
      <c r="E16" s="115">
        <v>59308484.04299999</v>
      </c>
      <c r="F16" s="115"/>
      <c r="G16" s="115"/>
      <c r="H16" s="115"/>
      <c r="I16" s="115"/>
      <c r="J16" s="115"/>
      <c r="K16" s="115"/>
      <c r="L16" s="115"/>
      <c r="M16" s="214">
        <f t="shared" si="3"/>
        <v>19.51298129894775</v>
      </c>
      <c r="N16" s="216">
        <f t="shared" si="1"/>
        <v>0.61497522168214791</v>
      </c>
      <c r="O16" s="216">
        <f t="shared" si="4"/>
        <v>0.15671418036204607</v>
      </c>
      <c r="P16" s="107">
        <f t="shared" si="2"/>
        <v>67667017.810666665</v>
      </c>
      <c r="Q16" s="216">
        <v>0.4</v>
      </c>
      <c r="R16" s="108">
        <f t="shared" si="5"/>
        <v>0.70164564058851719</v>
      </c>
      <c r="S16" s="217"/>
      <c r="T16" s="43" t="s">
        <v>49</v>
      </c>
      <c r="U16">
        <v>19</v>
      </c>
      <c r="V16" s="115">
        <v>96440445</v>
      </c>
      <c r="W16" s="115">
        <v>9353845</v>
      </c>
      <c r="X16" s="115">
        <v>8900891.5999999996</v>
      </c>
      <c r="Y16" s="115">
        <v>18081430.199999999</v>
      </c>
      <c r="Z16" s="115">
        <v>14818165.670000002</v>
      </c>
      <c r="AA16" s="115">
        <v>13351511.630000001</v>
      </c>
      <c r="AB16" s="237">
        <v>3524036.4</v>
      </c>
      <c r="AC16">
        <v>2610637.666666667</v>
      </c>
      <c r="AD16" s="115">
        <f t="shared" si="6"/>
        <v>10214445.527777778</v>
      </c>
      <c r="AE16" s="108">
        <f t="shared" si="7"/>
        <v>1.0920050019834386</v>
      </c>
      <c r="AJ16"/>
    </row>
    <row r="17" spans="1:36" x14ac:dyDescent="0.3">
      <c r="A17" s="43" t="s">
        <v>51</v>
      </c>
      <c r="B17">
        <v>8</v>
      </c>
      <c r="C17" s="115">
        <v>46301837.5</v>
      </c>
      <c r="D17" s="115">
        <v>73215510.840000004</v>
      </c>
      <c r="E17" s="115">
        <v>21551964.336000003</v>
      </c>
      <c r="F17" s="115"/>
      <c r="G17" s="115"/>
      <c r="H17" s="115"/>
      <c r="I17" s="115"/>
      <c r="J17" s="115"/>
      <c r="K17" s="115"/>
      <c r="L17" s="115"/>
      <c r="M17" s="214">
        <f>C17/(E17/12)</f>
        <v>25.78057579057419</v>
      </c>
      <c r="N17" s="216">
        <f t="shared" si="1"/>
        <v>0.46546671794612909</v>
      </c>
      <c r="O17" s="216">
        <f t="shared" si="4"/>
        <v>7.523974524453042E-2</v>
      </c>
      <c r="P17" s="107">
        <f t="shared" si="2"/>
        <v>28554049.227600001</v>
      </c>
      <c r="Q17" s="216">
        <v>0.39</v>
      </c>
      <c r="R17" s="108">
        <f t="shared" si="5"/>
        <v>0.61669365125304154</v>
      </c>
      <c r="S17" s="217"/>
      <c r="T17" s="43" t="s">
        <v>51</v>
      </c>
      <c r="U17">
        <v>8</v>
      </c>
      <c r="V17" s="115">
        <v>46301837.5</v>
      </c>
      <c r="W17" s="115">
        <v>10897077</v>
      </c>
      <c r="X17" s="115">
        <v>3066304</v>
      </c>
      <c r="Y17" s="115">
        <v>5501600</v>
      </c>
      <c r="Z17" s="115">
        <v>23396091.800000001</v>
      </c>
      <c r="AA17" s="115">
        <v>664600</v>
      </c>
      <c r="AB17" s="237">
        <v>871300</v>
      </c>
      <c r="AC17">
        <v>2049800</v>
      </c>
      <c r="AD17" s="115">
        <f t="shared" si="6"/>
        <v>5924949.2999999998</v>
      </c>
      <c r="AE17" s="108">
        <f t="shared" si="7"/>
        <v>0.54371913679237105</v>
      </c>
      <c r="AJ17"/>
    </row>
    <row r="18" spans="1:36" x14ac:dyDescent="0.3">
      <c r="A18" s="43" t="s">
        <v>22</v>
      </c>
      <c r="B18">
        <v>29</v>
      </c>
      <c r="C18" s="115">
        <v>42155418.999999985</v>
      </c>
      <c r="D18" s="115">
        <v>93617235.24000001</v>
      </c>
      <c r="E18" s="115">
        <v>29741184.895999994</v>
      </c>
      <c r="F18" s="115"/>
      <c r="G18" s="115"/>
      <c r="H18" s="115"/>
      <c r="I18" s="115"/>
      <c r="J18" s="115"/>
      <c r="K18" s="115"/>
      <c r="L18" s="115"/>
      <c r="M18" s="214">
        <f t="shared" si="3"/>
        <v>17.008906328679444</v>
      </c>
      <c r="N18" s="216">
        <f t="shared" si="1"/>
        <v>0.70551273362980937</v>
      </c>
      <c r="O18" s="216">
        <f t="shared" si="4"/>
        <v>6.85018815125088E-2</v>
      </c>
      <c r="P18" s="107">
        <f t="shared" si="2"/>
        <v>38383066.448399998</v>
      </c>
      <c r="Q18" s="216">
        <v>0.41</v>
      </c>
      <c r="R18" s="108">
        <f t="shared" si="5"/>
        <v>0.91051322365933574</v>
      </c>
      <c r="S18" s="217"/>
      <c r="T18" s="43" t="s">
        <v>22</v>
      </c>
      <c r="U18">
        <v>29</v>
      </c>
      <c r="V18" s="115">
        <v>42155418.999999985</v>
      </c>
      <c r="W18" s="115">
        <v>4587432</v>
      </c>
      <c r="X18" s="115">
        <v>304000</v>
      </c>
      <c r="Y18" s="115">
        <v>11431786</v>
      </c>
      <c r="Z18" s="115">
        <v>7463170.0000000009</v>
      </c>
      <c r="AA18" s="115">
        <v>0</v>
      </c>
      <c r="AB18" s="237">
        <v>7824280.7400000002</v>
      </c>
      <c r="AC18">
        <v>3035529</v>
      </c>
      <c r="AD18" s="115">
        <f t="shared" si="6"/>
        <v>5009794.29</v>
      </c>
      <c r="AE18" s="108">
        <f t="shared" si="7"/>
        <v>1.0920694388494478</v>
      </c>
      <c r="AJ18"/>
    </row>
    <row r="19" spans="1:36" x14ac:dyDescent="0.3">
      <c r="A19" s="43" t="s">
        <v>25</v>
      </c>
      <c r="B19">
        <v>14</v>
      </c>
      <c r="C19" s="115">
        <v>37579001</v>
      </c>
      <c r="D19" s="115">
        <v>37243801.340000004</v>
      </c>
      <c r="E19" s="115">
        <v>11385498.796</v>
      </c>
      <c r="F19" s="115"/>
      <c r="G19" s="115"/>
      <c r="H19" s="115"/>
      <c r="I19" s="115"/>
      <c r="J19" s="115"/>
      <c r="K19" s="115"/>
      <c r="L19" s="115"/>
      <c r="M19" s="214">
        <f t="shared" si="3"/>
        <v>39.607224951657706</v>
      </c>
      <c r="N19" s="216">
        <f t="shared" si="1"/>
        <v>0.30297502575973212</v>
      </c>
      <c r="O19" s="216">
        <f t="shared" si="4"/>
        <v>6.1065275471712199E-2</v>
      </c>
      <c r="P19" s="107">
        <f t="shared" si="2"/>
        <v>11173140.402000001</v>
      </c>
      <c r="Q19" s="216">
        <v>0.3</v>
      </c>
      <c r="R19" s="108">
        <f t="shared" si="5"/>
        <v>0.29732404014678304</v>
      </c>
      <c r="S19" s="218"/>
      <c r="T19" s="43" t="s">
        <v>25</v>
      </c>
      <c r="U19">
        <v>14</v>
      </c>
      <c r="V19" s="115">
        <v>37579001</v>
      </c>
      <c r="W19" s="115">
        <v>3429621</v>
      </c>
      <c r="X19" s="115">
        <v>1217500</v>
      </c>
      <c r="Y19" s="115">
        <v>705396</v>
      </c>
      <c r="Z19" s="115">
        <v>1039900</v>
      </c>
      <c r="AA19" s="115">
        <v>2052490.9999999998</v>
      </c>
      <c r="AB19" s="237">
        <v>1873754.25</v>
      </c>
      <c r="AC19">
        <v>1391093.2</v>
      </c>
      <c r="AD19" s="115">
        <f t="shared" si="6"/>
        <v>1380022.4083333334</v>
      </c>
      <c r="AE19" s="108">
        <f t="shared" si="7"/>
        <v>0.40238335615898474</v>
      </c>
      <c r="AJ19"/>
    </row>
    <row r="20" spans="1:36" x14ac:dyDescent="0.3">
      <c r="A20" s="43" t="s">
        <v>50</v>
      </c>
      <c r="B20">
        <v>4</v>
      </c>
      <c r="C20" s="115">
        <v>28717900</v>
      </c>
      <c r="D20" s="115">
        <v>3565461.55</v>
      </c>
      <c r="E20" s="115">
        <v>1352144.62</v>
      </c>
      <c r="F20" s="115"/>
      <c r="G20" s="115"/>
      <c r="H20" s="115"/>
      <c r="I20" s="115"/>
      <c r="J20" s="115"/>
      <c r="K20" s="115"/>
      <c r="L20" s="115"/>
      <c r="M20" s="214">
        <f t="shared" si="3"/>
        <v>254.86534125321595</v>
      </c>
      <c r="N20" s="216">
        <f t="shared" si="1"/>
        <v>4.708368717768361E-2</v>
      </c>
      <c r="O20" s="216">
        <f t="shared" si="4"/>
        <v>4.6666128098218573E-2</v>
      </c>
      <c r="P20" s="107">
        <f t="shared" si="2"/>
        <v>1782730.7749999999</v>
      </c>
      <c r="Q20" s="216">
        <v>0.5</v>
      </c>
      <c r="R20" s="108">
        <f t="shared" si="5"/>
        <v>6.2077337653519228E-2</v>
      </c>
      <c r="T20" s="43" t="s">
        <v>50</v>
      </c>
      <c r="U20">
        <v>4</v>
      </c>
      <c r="V20" s="115">
        <v>28717900</v>
      </c>
      <c r="W20" s="115">
        <v>2180972</v>
      </c>
      <c r="X20" s="115">
        <v>100200</v>
      </c>
      <c r="Y20" s="115"/>
      <c r="Z20" s="115">
        <v>517675</v>
      </c>
      <c r="AA20" s="115">
        <v>0</v>
      </c>
      <c r="AB20" s="237">
        <v>0</v>
      </c>
      <c r="AD20" s="115">
        <f t="shared" si="6"/>
        <v>154468.75</v>
      </c>
      <c r="AE20" s="108">
        <f t="shared" si="7"/>
        <v>7.0825645629563339E-2</v>
      </c>
      <c r="AJ20"/>
    </row>
    <row r="21" spans="1:36" x14ac:dyDescent="0.3">
      <c r="A21" s="43" t="s">
        <v>52</v>
      </c>
      <c r="B21">
        <v>4</v>
      </c>
      <c r="C21" s="115">
        <v>8458821</v>
      </c>
      <c r="D21" s="115">
        <v>8456450</v>
      </c>
      <c r="E21" s="115">
        <v>2021900</v>
      </c>
      <c r="F21" s="115"/>
      <c r="G21" s="115"/>
      <c r="H21" s="115"/>
      <c r="I21" s="115"/>
      <c r="J21" s="115"/>
      <c r="K21" s="115"/>
      <c r="L21" s="115"/>
      <c r="M21" s="242">
        <f t="shared" si="3"/>
        <v>50.203200949601865</v>
      </c>
      <c r="N21" s="243">
        <f>+E21/C21</f>
        <v>0.23902858329783785</v>
      </c>
      <c r="O21" s="216">
        <f t="shared" si="4"/>
        <v>1.3745448808788292E-2</v>
      </c>
      <c r="P21" s="107">
        <f t="shared" si="2"/>
        <v>1691290</v>
      </c>
      <c r="Q21" s="216">
        <v>0.2</v>
      </c>
      <c r="R21" s="108">
        <f t="shared" si="5"/>
        <v>0.1999439401779515</v>
      </c>
      <c r="T21" s="43" t="s">
        <v>52</v>
      </c>
      <c r="U21">
        <v>4</v>
      </c>
      <c r="V21" s="115">
        <v>8458821</v>
      </c>
      <c r="W21" s="115">
        <v>1242583</v>
      </c>
      <c r="X21" s="115">
        <v>0</v>
      </c>
      <c r="Y21" s="115">
        <v>357700</v>
      </c>
      <c r="Z21" s="115">
        <v>1902000</v>
      </c>
      <c r="AA21" s="115">
        <v>594250</v>
      </c>
      <c r="AB21" s="237">
        <v>50000</v>
      </c>
      <c r="AC21">
        <v>367700</v>
      </c>
      <c r="AD21" s="115">
        <f t="shared" si="6"/>
        <v>545275</v>
      </c>
      <c r="AE21" s="108">
        <f t="shared" si="7"/>
        <v>0.43882380492892625</v>
      </c>
      <c r="AJ21"/>
    </row>
    <row r="22" spans="1:36" x14ac:dyDescent="0.3">
      <c r="A22" s="43" t="s">
        <v>53</v>
      </c>
      <c r="B22">
        <v>2</v>
      </c>
      <c r="C22" s="115">
        <v>8256454</v>
      </c>
      <c r="D22" s="115">
        <v>1388000</v>
      </c>
      <c r="E22" s="115">
        <v>337800</v>
      </c>
      <c r="F22" s="263"/>
      <c r="G22" s="263"/>
      <c r="H22" s="263"/>
      <c r="I22" s="263"/>
      <c r="J22" s="263"/>
      <c r="K22" s="263"/>
      <c r="L22" s="263"/>
      <c r="M22" s="251"/>
      <c r="N22" s="251"/>
      <c r="O22" s="216">
        <f t="shared" si="4"/>
        <v>1.341660567106401E-2</v>
      </c>
      <c r="P22" s="107">
        <f t="shared" si="2"/>
        <v>694000</v>
      </c>
      <c r="Q22" s="216">
        <v>0.5</v>
      </c>
      <c r="R22" s="108">
        <f t="shared" si="5"/>
        <v>8.4055455283830086E-2</v>
      </c>
      <c r="T22" s="43" t="s">
        <v>53</v>
      </c>
      <c r="U22">
        <v>2</v>
      </c>
      <c r="V22" s="115">
        <v>8256454</v>
      </c>
      <c r="W22" s="115">
        <v>582454</v>
      </c>
      <c r="X22" s="115">
        <v>77500</v>
      </c>
      <c r="Y22" s="115">
        <v>80900</v>
      </c>
      <c r="Z22" s="115">
        <v>320000</v>
      </c>
      <c r="AA22" s="115">
        <v>0</v>
      </c>
      <c r="AB22" s="237">
        <v>0</v>
      </c>
      <c r="AC22">
        <v>0</v>
      </c>
      <c r="AD22" s="115">
        <f t="shared" si="6"/>
        <v>79733.333333333328</v>
      </c>
      <c r="AE22" s="108">
        <f t="shared" si="7"/>
        <v>0.13689206930218237</v>
      </c>
      <c r="AJ22"/>
    </row>
    <row r="23" spans="1:36" x14ac:dyDescent="0.3">
      <c r="A23" s="269" t="s">
        <v>48</v>
      </c>
      <c r="B23" s="269">
        <v>131</v>
      </c>
      <c r="C23" s="269">
        <v>615390673.5</v>
      </c>
      <c r="D23" s="269">
        <v>771322345.24279702</v>
      </c>
      <c r="E23" s="263">
        <v>263167004.29745212</v>
      </c>
      <c r="F23" s="115"/>
      <c r="G23" s="115"/>
      <c r="H23" s="115"/>
      <c r="I23" s="115"/>
      <c r="J23" s="115"/>
      <c r="K23" s="115"/>
      <c r="L23" s="115"/>
      <c r="M23" s="115"/>
      <c r="N23" s="109"/>
      <c r="O23" s="280">
        <f t="shared" si="4"/>
        <v>1</v>
      </c>
      <c r="P23" s="612">
        <f>SUM(P14:P22)</f>
        <v>313214119.59784138</v>
      </c>
      <c r="Q23" s="611">
        <f>P23/D23</f>
        <v>0.40607421985064851</v>
      </c>
      <c r="R23" s="611">
        <f t="shared" si="5"/>
        <v>0.50896793384347805</v>
      </c>
      <c r="T23" s="253" t="s">
        <v>48</v>
      </c>
      <c r="U23" s="253">
        <v>131</v>
      </c>
      <c r="V23" s="253">
        <v>615390673.50000012</v>
      </c>
      <c r="W23" s="253">
        <v>69401998</v>
      </c>
      <c r="X23" s="253">
        <v>26554683.09</v>
      </c>
      <c r="Y23" s="253">
        <v>44955559.20000001</v>
      </c>
      <c r="Z23" s="253">
        <v>78011499.970000029</v>
      </c>
      <c r="AA23" s="253">
        <v>26812441.129999999</v>
      </c>
      <c r="AB23" s="266">
        <v>32900177.389999997</v>
      </c>
      <c r="AC23" s="253">
        <v>18416777.866666663</v>
      </c>
      <c r="AD23" s="526">
        <f t="shared" si="6"/>
        <v>37941856.441111118</v>
      </c>
      <c r="AE23" s="280">
        <f t="shared" si="7"/>
        <v>0.54669688963581597</v>
      </c>
      <c r="AJ23"/>
    </row>
    <row r="24" spans="1:36" x14ac:dyDescent="0.3">
      <c r="E24"/>
      <c r="F24" s="115"/>
      <c r="G24" s="115"/>
      <c r="H24" s="115"/>
      <c r="I24" s="115"/>
      <c r="J24" s="115"/>
      <c r="K24" s="115"/>
      <c r="L24" s="115"/>
      <c r="M24" s="115"/>
      <c r="N24" s="109"/>
      <c r="AJ24"/>
    </row>
    <row r="25" spans="1:36" x14ac:dyDescent="0.3">
      <c r="A25" s="115"/>
      <c r="B25" s="115"/>
      <c r="C25" s="115"/>
      <c r="D25" s="115"/>
      <c r="E25" s="115"/>
      <c r="F25" s="115"/>
      <c r="G25" s="115"/>
      <c r="H25" s="115"/>
      <c r="I25" s="115"/>
      <c r="J25" s="115"/>
      <c r="K25" s="115"/>
      <c r="L25" s="115"/>
      <c r="M25" s="115"/>
      <c r="N25" s="109"/>
      <c r="O25" s="109"/>
      <c r="P25" s="109"/>
      <c r="Q25" s="109"/>
      <c r="R25" s="109"/>
      <c r="AJ25"/>
    </row>
    <row r="26" spans="1:36" x14ac:dyDescent="0.3">
      <c r="A26" s="115"/>
      <c r="B26" s="115"/>
      <c r="C26" s="115"/>
      <c r="D26" s="115"/>
      <c r="E26" s="115"/>
      <c r="F26" s="115"/>
      <c r="G26" s="115"/>
      <c r="H26" s="115"/>
      <c r="I26" s="115"/>
      <c r="J26" s="115"/>
      <c r="K26" s="115"/>
      <c r="L26" s="115"/>
      <c r="M26" s="115"/>
      <c r="N26" s="109"/>
      <c r="O26" s="109"/>
      <c r="P26" s="109"/>
      <c r="Q26" s="109"/>
      <c r="R26" s="109"/>
      <c r="W26" s="115"/>
      <c r="X26" s="115"/>
      <c r="AJ26" s="108"/>
    </row>
    <row r="27" spans="1:36" x14ac:dyDescent="0.3">
      <c r="A27" s="115"/>
      <c r="B27" s="115"/>
      <c r="C27" s="115"/>
      <c r="D27" s="115"/>
      <c r="E27" s="115"/>
      <c r="F27" s="115"/>
      <c r="G27" s="115"/>
      <c r="H27" s="115"/>
      <c r="I27" s="115"/>
      <c r="J27" s="115"/>
      <c r="K27" s="115"/>
      <c r="L27" s="115"/>
      <c r="M27" s="115"/>
      <c r="N27" s="109"/>
      <c r="O27" s="109"/>
      <c r="P27" s="109"/>
      <c r="Q27" s="109"/>
      <c r="R27" s="109"/>
      <c r="AJ27"/>
    </row>
    <row r="28" spans="1:36" x14ac:dyDescent="0.3">
      <c r="A28" s="115"/>
      <c r="B28" s="115"/>
      <c r="C28" s="115"/>
      <c r="D28" s="115"/>
      <c r="E28" s="115"/>
      <c r="F28" s="115"/>
      <c r="G28" s="115"/>
      <c r="H28" s="115"/>
      <c r="I28" s="115"/>
      <c r="J28" s="115"/>
      <c r="K28" s="115"/>
      <c r="L28" s="115"/>
      <c r="M28" s="115"/>
      <c r="N28" s="109"/>
      <c r="O28" s="109"/>
      <c r="P28" s="109"/>
      <c r="Q28" s="109"/>
      <c r="R28" s="109"/>
      <c r="AJ28"/>
    </row>
    <row r="29" spans="1:36" x14ac:dyDescent="0.3">
      <c r="A29" s="115"/>
      <c r="B29" s="115"/>
      <c r="C29" s="115"/>
      <c r="D29" s="115"/>
      <c r="E29" s="115"/>
      <c r="F29" s="115"/>
      <c r="G29" s="115"/>
      <c r="H29" s="115"/>
      <c r="I29" s="115"/>
      <c r="J29" s="115"/>
      <c r="K29" s="115"/>
      <c r="L29" s="115"/>
      <c r="M29" s="115"/>
      <c r="N29" s="109"/>
      <c r="O29" s="109"/>
      <c r="P29" s="109"/>
      <c r="Q29" s="109"/>
      <c r="R29" s="109"/>
      <c r="T29" s="107"/>
      <c r="U29" s="107"/>
      <c r="V29" s="107"/>
      <c r="W29" s="107"/>
      <c r="X29" s="107"/>
      <c r="Y29" s="107"/>
      <c r="Z29" s="107"/>
      <c r="AA29" s="107"/>
      <c r="AB29" s="156"/>
      <c r="AC29" s="107"/>
      <c r="AD29" s="107"/>
      <c r="AE29" s="107"/>
      <c r="AF29" s="107"/>
      <c r="AJ29"/>
    </row>
    <row r="30" spans="1:36" x14ac:dyDescent="0.3">
      <c r="A30" s="115"/>
      <c r="B30" s="115"/>
      <c r="C30" s="115"/>
      <c r="D30" s="115"/>
      <c r="E30" s="115"/>
      <c r="F30" s="115"/>
      <c r="G30" s="115"/>
      <c r="H30" s="115"/>
      <c r="I30" s="115"/>
      <c r="J30" s="115"/>
      <c r="K30" s="115"/>
      <c r="L30" s="115"/>
      <c r="M30" s="115"/>
      <c r="N30" s="109"/>
      <c r="O30" s="109"/>
      <c r="P30" s="109"/>
      <c r="Q30" s="109"/>
      <c r="R30" s="109"/>
      <c r="T30" s="107"/>
      <c r="U30" s="107"/>
      <c r="V30" s="107"/>
      <c r="W30" s="107"/>
      <c r="X30" s="107"/>
      <c r="Y30" s="107"/>
      <c r="Z30" s="107"/>
      <c r="AA30" s="107"/>
      <c r="AB30" s="156"/>
      <c r="AC30" s="107"/>
      <c r="AD30" s="107"/>
      <c r="AE30" s="107"/>
      <c r="AF30" s="107"/>
      <c r="AJ30"/>
    </row>
    <row r="31" spans="1:36" x14ac:dyDescent="0.3">
      <c r="A31" s="115"/>
      <c r="B31" s="115"/>
      <c r="C31" s="115"/>
      <c r="D31" s="115"/>
      <c r="E31" s="115"/>
      <c r="F31" s="115"/>
      <c r="G31" s="115"/>
      <c r="H31" s="115"/>
      <c r="I31" s="115"/>
      <c r="J31" s="115"/>
      <c r="K31" s="115"/>
      <c r="L31" s="115"/>
      <c r="M31" s="115"/>
      <c r="N31" s="109"/>
      <c r="O31" s="109"/>
      <c r="P31" s="109"/>
      <c r="Q31" s="109"/>
      <c r="R31" s="109"/>
      <c r="T31" s="107"/>
      <c r="U31" s="107"/>
      <c r="V31" s="107"/>
      <c r="W31" s="107"/>
      <c r="X31" s="107"/>
      <c r="Y31" s="107"/>
      <c r="Z31" s="107"/>
      <c r="AA31" s="107"/>
      <c r="AB31" s="156"/>
      <c r="AC31" s="107"/>
      <c r="AD31" s="107"/>
      <c r="AE31" s="107"/>
      <c r="AF31" s="107"/>
      <c r="AJ31"/>
    </row>
  </sheetData>
  <phoneticPr fontId="39" type="noConversion"/>
  <pageMargins left="0.7" right="0.7" top="0.75" bottom="0.75" header="0.3" footer="0.3"/>
  <pageSetup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AC140-8B3C-4089-B588-9D02523A319F}">
  <dimension ref="A1:B283"/>
  <sheetViews>
    <sheetView topLeftCell="A68" workbookViewId="0">
      <selection activeCell="A3" sqref="A3:B81"/>
    </sheetView>
  </sheetViews>
  <sheetFormatPr defaultRowHeight="14.4" x14ac:dyDescent="0.3"/>
  <cols>
    <col min="1" max="1" width="60.21875" bestFit="1" customWidth="1"/>
    <col min="2" max="2" width="37.33203125" style="107" bestFit="1" customWidth="1"/>
  </cols>
  <sheetData>
    <row r="1" spans="1:2" x14ac:dyDescent="0.3">
      <c r="A1" s="42" t="s">
        <v>0</v>
      </c>
      <c r="B1" t="s">
        <v>1</v>
      </c>
    </row>
    <row r="3" spans="1:2" x14ac:dyDescent="0.3">
      <c r="A3" s="42" t="s">
        <v>54</v>
      </c>
      <c r="B3" s="115" t="s">
        <v>55</v>
      </c>
    </row>
    <row r="4" spans="1:2" x14ac:dyDescent="0.3">
      <c r="A4" s="43" t="s">
        <v>56</v>
      </c>
      <c r="B4" s="115">
        <v>143250</v>
      </c>
    </row>
    <row r="5" spans="1:2" x14ac:dyDescent="0.3">
      <c r="A5" s="43" t="s">
        <v>58</v>
      </c>
      <c r="B5" s="115">
        <v>2459926</v>
      </c>
    </row>
    <row r="6" spans="1:2" x14ac:dyDescent="0.3">
      <c r="A6" s="43" t="s">
        <v>59</v>
      </c>
      <c r="B6" s="115">
        <v>584974</v>
      </c>
    </row>
    <row r="7" spans="1:2" x14ac:dyDescent="0.3">
      <c r="A7" s="43" t="s">
        <v>60</v>
      </c>
      <c r="B7" s="115">
        <v>960680</v>
      </c>
    </row>
    <row r="8" spans="1:2" x14ac:dyDescent="0.3">
      <c r="A8" s="43" t="s">
        <v>62</v>
      </c>
      <c r="B8" s="115">
        <v>356735</v>
      </c>
    </row>
    <row r="9" spans="1:2" x14ac:dyDescent="0.3">
      <c r="A9" s="43" t="s">
        <v>63</v>
      </c>
      <c r="B9" s="115">
        <v>469966</v>
      </c>
    </row>
    <row r="10" spans="1:2" x14ac:dyDescent="0.3">
      <c r="A10" s="43" t="s">
        <v>64</v>
      </c>
      <c r="B10" s="115">
        <v>275624</v>
      </c>
    </row>
    <row r="11" spans="1:2" x14ac:dyDescent="0.3">
      <c r="A11" s="43" t="s">
        <v>65</v>
      </c>
      <c r="B11" s="115">
        <v>251530</v>
      </c>
    </row>
    <row r="12" spans="1:2" x14ac:dyDescent="0.3">
      <c r="A12" s="43" t="s">
        <v>67</v>
      </c>
      <c r="B12" s="115">
        <v>163502</v>
      </c>
    </row>
    <row r="13" spans="1:2" x14ac:dyDescent="0.3">
      <c r="A13" s="43" t="s">
        <v>69</v>
      </c>
      <c r="B13" s="115">
        <v>214221</v>
      </c>
    </row>
    <row r="14" spans="1:2" x14ac:dyDescent="0.3">
      <c r="A14" s="43" t="s">
        <v>137</v>
      </c>
      <c r="B14" s="115">
        <v>299183</v>
      </c>
    </row>
    <row r="15" spans="1:2" x14ac:dyDescent="0.3">
      <c r="A15" s="43" t="s">
        <v>70</v>
      </c>
      <c r="B15" s="115">
        <v>391086</v>
      </c>
    </row>
    <row r="16" spans="1:2" x14ac:dyDescent="0.3">
      <c r="A16" s="43" t="s">
        <v>71</v>
      </c>
      <c r="B16" s="115">
        <v>305347</v>
      </c>
    </row>
    <row r="17" spans="1:2" x14ac:dyDescent="0.3">
      <c r="A17" s="43" t="s">
        <v>72</v>
      </c>
      <c r="B17" s="115">
        <v>499567</v>
      </c>
    </row>
    <row r="18" spans="1:2" x14ac:dyDescent="0.3">
      <c r="A18" s="43" t="s">
        <v>73</v>
      </c>
      <c r="B18" s="115">
        <v>60135</v>
      </c>
    </row>
    <row r="19" spans="1:2" x14ac:dyDescent="0.3">
      <c r="A19" s="43" t="s">
        <v>138</v>
      </c>
      <c r="B19" s="115">
        <v>2885447</v>
      </c>
    </row>
    <row r="20" spans="1:2" x14ac:dyDescent="0.3">
      <c r="A20" s="43" t="s">
        <v>74</v>
      </c>
      <c r="B20" s="115">
        <v>385623</v>
      </c>
    </row>
    <row r="21" spans="1:2" x14ac:dyDescent="0.3">
      <c r="A21" s="43" t="s">
        <v>75</v>
      </c>
      <c r="B21" s="115">
        <v>864628</v>
      </c>
    </row>
    <row r="22" spans="1:2" x14ac:dyDescent="0.3">
      <c r="A22" s="43" t="s">
        <v>76</v>
      </c>
      <c r="B22" s="115">
        <v>586886</v>
      </c>
    </row>
    <row r="23" spans="1:2" x14ac:dyDescent="0.3">
      <c r="A23" s="43" t="s">
        <v>142</v>
      </c>
      <c r="B23" s="115">
        <v>472477</v>
      </c>
    </row>
    <row r="24" spans="1:2" x14ac:dyDescent="0.3">
      <c r="A24" s="43" t="s">
        <v>77</v>
      </c>
      <c r="B24" s="115">
        <v>113459</v>
      </c>
    </row>
    <row r="25" spans="1:2" x14ac:dyDescent="0.3">
      <c r="A25" s="43" t="s">
        <v>143</v>
      </c>
      <c r="B25" s="115">
        <v>1637817</v>
      </c>
    </row>
    <row r="26" spans="1:2" x14ac:dyDescent="0.3">
      <c r="A26" s="43" t="s">
        <v>78</v>
      </c>
      <c r="B26" s="115">
        <v>250000</v>
      </c>
    </row>
    <row r="27" spans="1:2" x14ac:dyDescent="0.3">
      <c r="A27" s="43" t="s">
        <v>144</v>
      </c>
      <c r="B27" s="115">
        <v>674745</v>
      </c>
    </row>
    <row r="28" spans="1:2" x14ac:dyDescent="0.3">
      <c r="A28" s="43" t="s">
        <v>79</v>
      </c>
      <c r="B28" s="115">
        <v>68306</v>
      </c>
    </row>
    <row r="29" spans="1:2" x14ac:dyDescent="0.3">
      <c r="A29" s="43" t="s">
        <v>80</v>
      </c>
      <c r="B29" s="115">
        <v>529967</v>
      </c>
    </row>
    <row r="30" spans="1:2" x14ac:dyDescent="0.3">
      <c r="A30" s="43" t="s">
        <v>81</v>
      </c>
      <c r="B30" s="115">
        <v>319800</v>
      </c>
    </row>
    <row r="31" spans="1:2" x14ac:dyDescent="0.3">
      <c r="A31" s="43" t="s">
        <v>146</v>
      </c>
      <c r="B31" s="115">
        <v>855600</v>
      </c>
    </row>
    <row r="32" spans="1:2" x14ac:dyDescent="0.3">
      <c r="A32" s="43" t="s">
        <v>83</v>
      </c>
      <c r="B32" s="115">
        <v>855600</v>
      </c>
    </row>
    <row r="33" spans="1:2" x14ac:dyDescent="0.3">
      <c r="A33" s="43" t="s">
        <v>84</v>
      </c>
      <c r="B33" s="115">
        <v>459728</v>
      </c>
    </row>
    <row r="34" spans="1:2" x14ac:dyDescent="0.3">
      <c r="A34" s="43" t="s">
        <v>85</v>
      </c>
      <c r="B34" s="115">
        <v>223571</v>
      </c>
    </row>
    <row r="35" spans="1:2" x14ac:dyDescent="0.3">
      <c r="A35" s="43" t="s">
        <v>86</v>
      </c>
      <c r="B35" s="115">
        <v>124814</v>
      </c>
    </row>
    <row r="36" spans="1:2" x14ac:dyDescent="0.3">
      <c r="A36" s="43" t="s">
        <v>87</v>
      </c>
      <c r="B36" s="115">
        <v>551283</v>
      </c>
    </row>
    <row r="37" spans="1:2" x14ac:dyDescent="0.3">
      <c r="A37" s="43" t="s">
        <v>88</v>
      </c>
      <c r="B37" s="115">
        <v>123520</v>
      </c>
    </row>
    <row r="38" spans="1:2" x14ac:dyDescent="0.3">
      <c r="A38" s="43" t="s">
        <v>89</v>
      </c>
      <c r="B38" s="115">
        <v>2077754</v>
      </c>
    </row>
    <row r="39" spans="1:2" x14ac:dyDescent="0.3">
      <c r="A39" s="43" t="s">
        <v>90</v>
      </c>
      <c r="B39" s="115">
        <v>154595</v>
      </c>
    </row>
    <row r="40" spans="1:2" x14ac:dyDescent="0.3">
      <c r="A40" s="43" t="s">
        <v>91</v>
      </c>
      <c r="B40" s="115">
        <v>551962</v>
      </c>
    </row>
    <row r="41" spans="1:2" x14ac:dyDescent="0.3">
      <c r="A41" s="43" t="s">
        <v>92</v>
      </c>
      <c r="B41" s="115">
        <v>1242200</v>
      </c>
    </row>
    <row r="42" spans="1:2" x14ac:dyDescent="0.3">
      <c r="A42" s="43" t="s">
        <v>93</v>
      </c>
      <c r="B42" s="115">
        <v>237632</v>
      </c>
    </row>
    <row r="43" spans="1:2" x14ac:dyDescent="0.3">
      <c r="A43" s="43" t="s">
        <v>94</v>
      </c>
      <c r="B43" s="115">
        <v>109047</v>
      </c>
    </row>
    <row r="44" spans="1:2" x14ac:dyDescent="0.3">
      <c r="A44" s="43" t="s">
        <v>95</v>
      </c>
      <c r="B44" s="115">
        <v>758676</v>
      </c>
    </row>
    <row r="45" spans="1:2" x14ac:dyDescent="0.3">
      <c r="A45" s="43" t="s">
        <v>96</v>
      </c>
      <c r="B45" s="115">
        <v>504629</v>
      </c>
    </row>
    <row r="46" spans="1:2" x14ac:dyDescent="0.3">
      <c r="A46" s="43" t="s">
        <v>98</v>
      </c>
      <c r="B46" s="115">
        <v>984486</v>
      </c>
    </row>
    <row r="47" spans="1:2" x14ac:dyDescent="0.3">
      <c r="A47" s="43" t="s">
        <v>99</v>
      </c>
      <c r="B47" s="115">
        <v>458397</v>
      </c>
    </row>
    <row r="48" spans="1:2" x14ac:dyDescent="0.3">
      <c r="A48" s="43" t="s">
        <v>100</v>
      </c>
      <c r="B48" s="115">
        <v>518873</v>
      </c>
    </row>
    <row r="49" spans="1:2" x14ac:dyDescent="0.3">
      <c r="A49" s="43" t="s">
        <v>101</v>
      </c>
      <c r="B49" s="115">
        <v>1178944</v>
      </c>
    </row>
    <row r="50" spans="1:2" x14ac:dyDescent="0.3">
      <c r="A50" s="43" t="s">
        <v>102</v>
      </c>
      <c r="B50" s="115">
        <v>469938</v>
      </c>
    </row>
    <row r="51" spans="1:2" x14ac:dyDescent="0.3">
      <c r="A51" s="43" t="s">
        <v>103</v>
      </c>
      <c r="B51" s="115">
        <v>147374</v>
      </c>
    </row>
    <row r="52" spans="1:2" x14ac:dyDescent="0.3">
      <c r="A52" s="43" t="s">
        <v>104</v>
      </c>
      <c r="B52" s="115">
        <v>1008457</v>
      </c>
    </row>
    <row r="53" spans="1:2" x14ac:dyDescent="0.3">
      <c r="A53" s="43" t="s">
        <v>164</v>
      </c>
      <c r="B53" s="115">
        <v>259561</v>
      </c>
    </row>
    <row r="54" spans="1:2" x14ac:dyDescent="0.3">
      <c r="A54" s="43" t="s">
        <v>105</v>
      </c>
      <c r="B54" s="115">
        <v>742864</v>
      </c>
    </row>
    <row r="55" spans="1:2" x14ac:dyDescent="0.3">
      <c r="A55" s="43" t="s">
        <v>106</v>
      </c>
      <c r="B55" s="115">
        <v>1131775</v>
      </c>
    </row>
    <row r="56" spans="1:2" x14ac:dyDescent="0.3">
      <c r="A56" s="43" t="s">
        <v>107</v>
      </c>
      <c r="B56" s="115">
        <v>4646959</v>
      </c>
    </row>
    <row r="57" spans="1:2" x14ac:dyDescent="0.3">
      <c r="A57" s="43" t="s">
        <v>108</v>
      </c>
      <c r="B57" s="115">
        <v>404240</v>
      </c>
    </row>
    <row r="58" spans="1:2" x14ac:dyDescent="0.3">
      <c r="A58" s="43" t="s">
        <v>109</v>
      </c>
      <c r="B58" s="115">
        <v>307062</v>
      </c>
    </row>
    <row r="59" spans="1:2" x14ac:dyDescent="0.3">
      <c r="A59" s="43" t="s">
        <v>110</v>
      </c>
      <c r="B59" s="115">
        <v>829374</v>
      </c>
    </row>
    <row r="60" spans="1:2" x14ac:dyDescent="0.3">
      <c r="A60" s="43" t="s">
        <v>111</v>
      </c>
      <c r="B60" s="115">
        <v>3123750</v>
      </c>
    </row>
    <row r="61" spans="1:2" x14ac:dyDescent="0.3">
      <c r="A61" s="43" t="s">
        <v>171</v>
      </c>
      <c r="B61" s="115">
        <v>4804146</v>
      </c>
    </row>
    <row r="62" spans="1:2" x14ac:dyDescent="0.3">
      <c r="A62" s="43" t="s">
        <v>112</v>
      </c>
      <c r="B62" s="115">
        <v>1018392</v>
      </c>
    </row>
    <row r="63" spans="1:2" x14ac:dyDescent="0.3">
      <c r="A63" s="43" t="s">
        <v>113</v>
      </c>
      <c r="B63" s="115">
        <v>541370</v>
      </c>
    </row>
    <row r="64" spans="1:2" x14ac:dyDescent="0.3">
      <c r="A64" s="43" t="s">
        <v>114</v>
      </c>
      <c r="B64" s="115">
        <v>507479</v>
      </c>
    </row>
    <row r="65" spans="1:2" x14ac:dyDescent="0.3">
      <c r="A65" s="43" t="s">
        <v>115</v>
      </c>
      <c r="B65" s="115">
        <v>1550725</v>
      </c>
    </row>
    <row r="66" spans="1:2" x14ac:dyDescent="0.3">
      <c r="A66" s="43" t="s">
        <v>116</v>
      </c>
      <c r="B66" s="115">
        <v>497587</v>
      </c>
    </row>
    <row r="67" spans="1:2" x14ac:dyDescent="0.3">
      <c r="A67" s="43" t="s">
        <v>117</v>
      </c>
      <c r="B67" s="115">
        <v>380500</v>
      </c>
    </row>
    <row r="68" spans="1:2" x14ac:dyDescent="0.3">
      <c r="A68" s="43" t="s">
        <v>174</v>
      </c>
      <c r="B68" s="115">
        <v>421334</v>
      </c>
    </row>
    <row r="69" spans="1:2" x14ac:dyDescent="0.3">
      <c r="A69" s="43" t="s">
        <v>175</v>
      </c>
      <c r="B69" s="115">
        <v>306830</v>
      </c>
    </row>
    <row r="70" spans="1:2" x14ac:dyDescent="0.3">
      <c r="A70" s="43" t="s">
        <v>118</v>
      </c>
      <c r="B70" s="115">
        <v>29400</v>
      </c>
    </row>
    <row r="71" spans="1:2" x14ac:dyDescent="0.3">
      <c r="A71" s="43" t="s">
        <v>119</v>
      </c>
      <c r="B71" s="115">
        <v>79375</v>
      </c>
    </row>
    <row r="72" spans="1:2" x14ac:dyDescent="0.3">
      <c r="A72" s="43" t="s">
        <v>120</v>
      </c>
      <c r="B72" s="115">
        <v>1394530</v>
      </c>
    </row>
    <row r="73" spans="1:2" x14ac:dyDescent="0.3">
      <c r="A73" s="43" t="s">
        <v>121</v>
      </c>
      <c r="B73" s="115">
        <v>1317225</v>
      </c>
    </row>
    <row r="74" spans="1:2" x14ac:dyDescent="0.3">
      <c r="A74" s="43" t="s">
        <v>122</v>
      </c>
      <c r="B74" s="115">
        <v>195417</v>
      </c>
    </row>
    <row r="75" spans="1:2" x14ac:dyDescent="0.3">
      <c r="A75" s="43" t="s">
        <v>123</v>
      </c>
      <c r="B75" s="115">
        <v>88427</v>
      </c>
    </row>
    <row r="76" spans="1:2" x14ac:dyDescent="0.3">
      <c r="A76" s="43" t="s">
        <v>124</v>
      </c>
      <c r="B76" s="115">
        <v>2804737</v>
      </c>
    </row>
    <row r="77" spans="1:2" x14ac:dyDescent="0.3">
      <c r="A77" s="43" t="s">
        <v>125</v>
      </c>
      <c r="B77" s="115">
        <v>125415</v>
      </c>
    </row>
    <row r="78" spans="1:2" x14ac:dyDescent="0.3">
      <c r="A78" s="43" t="s">
        <v>178</v>
      </c>
      <c r="B78" s="115">
        <v>125415</v>
      </c>
    </row>
    <row r="79" spans="1:2" x14ac:dyDescent="0.3">
      <c r="A79" s="43" t="s">
        <v>126</v>
      </c>
      <c r="B79" s="115">
        <v>492242</v>
      </c>
    </row>
    <row r="80" spans="1:2" x14ac:dyDescent="0.3">
      <c r="A80" s="43" t="s">
        <v>127</v>
      </c>
      <c r="B80" s="115">
        <v>63930</v>
      </c>
    </row>
    <row r="81" spans="1:2" x14ac:dyDescent="0.3">
      <c r="A81" s="43" t="s">
        <v>128</v>
      </c>
      <c r="B81" s="115">
        <v>379664</v>
      </c>
    </row>
    <row r="82" spans="1:2" x14ac:dyDescent="0.3">
      <c r="A82" s="43" t="s">
        <v>130</v>
      </c>
      <c r="B82" s="115">
        <v>3074893</v>
      </c>
    </row>
    <row r="83" spans="1:2" x14ac:dyDescent="0.3">
      <c r="A83" s="43" t="s">
        <v>181</v>
      </c>
      <c r="B83" s="115">
        <v>529290</v>
      </c>
    </row>
    <row r="84" spans="1:2" x14ac:dyDescent="0.3">
      <c r="A84" s="43" t="s">
        <v>131</v>
      </c>
      <c r="B84" s="115">
        <v>1595688</v>
      </c>
    </row>
    <row r="85" spans="1:2" x14ac:dyDescent="0.3">
      <c r="A85" s="43" t="s">
        <v>132</v>
      </c>
      <c r="B85" s="115">
        <v>125042</v>
      </c>
    </row>
    <row r="86" spans="1:2" x14ac:dyDescent="0.3">
      <c r="A86" s="43" t="s">
        <v>133</v>
      </c>
      <c r="B86" s="115">
        <v>424250</v>
      </c>
    </row>
    <row r="87" spans="1:2" x14ac:dyDescent="0.3">
      <c r="A87" s="43" t="s">
        <v>187</v>
      </c>
      <c r="B87" s="115">
        <v>325425</v>
      </c>
    </row>
    <row r="88" spans="1:2" x14ac:dyDescent="0.3">
      <c r="A88" s="43" t="s">
        <v>188</v>
      </c>
      <c r="B88" s="115">
        <v>455552</v>
      </c>
    </row>
    <row r="89" spans="1:2" x14ac:dyDescent="0.3">
      <c r="A89" s="43" t="s">
        <v>189</v>
      </c>
      <c r="B89" s="115">
        <v>1808443</v>
      </c>
    </row>
    <row r="90" spans="1:2" x14ac:dyDescent="0.3">
      <c r="A90" s="43" t="s">
        <v>190</v>
      </c>
      <c r="B90" s="115">
        <v>386629</v>
      </c>
    </row>
    <row r="91" spans="1:2" x14ac:dyDescent="0.3">
      <c r="A91" s="43" t="s">
        <v>192</v>
      </c>
      <c r="B91" s="115">
        <v>320078</v>
      </c>
    </row>
    <row r="92" spans="1:2" x14ac:dyDescent="0.3">
      <c r="A92" s="43" t="s">
        <v>193</v>
      </c>
      <c r="B92" s="115">
        <v>413290</v>
      </c>
    </row>
    <row r="93" spans="1:2" x14ac:dyDescent="0.3">
      <c r="A93" s="43" t="s">
        <v>1520</v>
      </c>
      <c r="B93" s="115">
        <v>450000</v>
      </c>
    </row>
    <row r="94" spans="1:2" x14ac:dyDescent="0.3">
      <c r="A94" s="43" t="s">
        <v>1546</v>
      </c>
      <c r="B94" s="115">
        <v>392516</v>
      </c>
    </row>
    <row r="95" spans="1:2" x14ac:dyDescent="0.3">
      <c r="A95" s="43" t="s">
        <v>1510</v>
      </c>
      <c r="B95" s="115">
        <v>432965</v>
      </c>
    </row>
    <row r="96" spans="1:2" x14ac:dyDescent="0.3">
      <c r="A96" s="43" t="s">
        <v>1622</v>
      </c>
      <c r="B96" s="115">
        <v>100802</v>
      </c>
    </row>
    <row r="97" spans="1:2" x14ac:dyDescent="0.3">
      <c r="A97" s="43" t="s">
        <v>1700</v>
      </c>
      <c r="B97" s="115">
        <v>175449</v>
      </c>
    </row>
    <row r="98" spans="1:2" x14ac:dyDescent="0.3">
      <c r="A98" s="43" t="s">
        <v>18</v>
      </c>
      <c r="B98" s="115">
        <v>69401998</v>
      </c>
    </row>
    <row r="99" spans="1:2" x14ac:dyDescent="0.3">
      <c r="B99"/>
    </row>
    <row r="100" spans="1:2" x14ac:dyDescent="0.3">
      <c r="B100"/>
    </row>
    <row r="101" spans="1:2" x14ac:dyDescent="0.3">
      <c r="B101"/>
    </row>
    <row r="102" spans="1:2" x14ac:dyDescent="0.3">
      <c r="B102"/>
    </row>
    <row r="103" spans="1:2" x14ac:dyDescent="0.3">
      <c r="B103"/>
    </row>
    <row r="104" spans="1:2" x14ac:dyDescent="0.3">
      <c r="B104"/>
    </row>
    <row r="105" spans="1:2" x14ac:dyDescent="0.3">
      <c r="B105"/>
    </row>
    <row r="106" spans="1:2" x14ac:dyDescent="0.3">
      <c r="B106"/>
    </row>
    <row r="107" spans="1:2" x14ac:dyDescent="0.3">
      <c r="B107"/>
    </row>
    <row r="108" spans="1:2" x14ac:dyDescent="0.3">
      <c r="B108"/>
    </row>
    <row r="109" spans="1:2" x14ac:dyDescent="0.3">
      <c r="B109"/>
    </row>
    <row r="110" spans="1:2" x14ac:dyDescent="0.3">
      <c r="B110"/>
    </row>
    <row r="111" spans="1:2" x14ac:dyDescent="0.3">
      <c r="B111"/>
    </row>
    <row r="112" spans="1: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1:2" x14ac:dyDescent="0.3">
      <c r="B129"/>
    </row>
    <row r="130" spans="1:2" x14ac:dyDescent="0.3">
      <c r="B130"/>
    </row>
    <row r="131" spans="1:2" x14ac:dyDescent="0.3">
      <c r="B131"/>
    </row>
    <row r="132" spans="1:2" x14ac:dyDescent="0.3">
      <c r="B132"/>
    </row>
    <row r="133" spans="1:2" x14ac:dyDescent="0.3">
      <c r="B133"/>
    </row>
    <row r="134" spans="1:2" x14ac:dyDescent="0.3">
      <c r="B134"/>
    </row>
    <row r="135" spans="1:2" x14ac:dyDescent="0.3">
      <c r="B135"/>
    </row>
    <row r="136" spans="1:2" x14ac:dyDescent="0.3">
      <c r="B136"/>
    </row>
    <row r="137" spans="1:2" x14ac:dyDescent="0.3">
      <c r="B137"/>
    </row>
    <row r="138" spans="1:2" x14ac:dyDescent="0.3">
      <c r="B138"/>
    </row>
    <row r="139" spans="1:2" x14ac:dyDescent="0.3">
      <c r="B139"/>
    </row>
    <row r="140" spans="1:2" x14ac:dyDescent="0.3">
      <c r="B140"/>
    </row>
    <row r="141" spans="1:2" x14ac:dyDescent="0.3">
      <c r="B141"/>
    </row>
    <row r="142" spans="1:2" x14ac:dyDescent="0.3">
      <c r="B142"/>
    </row>
    <row r="144" spans="1:2" x14ac:dyDescent="0.3">
      <c r="A144" t="s">
        <v>54</v>
      </c>
      <c r="B144" s="107" t="s">
        <v>55</v>
      </c>
    </row>
    <row r="145" spans="1:2" x14ac:dyDescent="0.3">
      <c r="A145" t="s">
        <v>56</v>
      </c>
      <c r="B145" s="107">
        <v>438471</v>
      </c>
    </row>
    <row r="146" spans="1:2" x14ac:dyDescent="0.3">
      <c r="A146" t="s">
        <v>57</v>
      </c>
      <c r="B146" s="107">
        <v>243750</v>
      </c>
    </row>
    <row r="147" spans="1:2" x14ac:dyDescent="0.3">
      <c r="A147" t="s">
        <v>134</v>
      </c>
      <c r="B147" s="107">
        <v>370225</v>
      </c>
    </row>
    <row r="148" spans="1:2" x14ac:dyDescent="0.3">
      <c r="A148" t="s">
        <v>58</v>
      </c>
      <c r="B148" s="107">
        <v>2459926</v>
      </c>
    </row>
    <row r="149" spans="1:2" x14ac:dyDescent="0.3">
      <c r="A149" t="s">
        <v>59</v>
      </c>
      <c r="B149" s="107">
        <v>584974</v>
      </c>
    </row>
    <row r="150" spans="1:2" x14ac:dyDescent="0.3">
      <c r="A150" t="s">
        <v>60</v>
      </c>
      <c r="B150" s="107">
        <v>536481</v>
      </c>
    </row>
    <row r="151" spans="1:2" x14ac:dyDescent="0.3">
      <c r="A151" t="s">
        <v>61</v>
      </c>
      <c r="B151" s="107">
        <v>100802</v>
      </c>
    </row>
    <row r="152" spans="1:2" x14ac:dyDescent="0.3">
      <c r="A152" t="s">
        <v>135</v>
      </c>
      <c r="B152" s="107">
        <v>1121838</v>
      </c>
    </row>
    <row r="153" spans="1:2" x14ac:dyDescent="0.3">
      <c r="A153" t="s">
        <v>62</v>
      </c>
      <c r="B153" s="107">
        <v>356735</v>
      </c>
    </row>
    <row r="154" spans="1:2" x14ac:dyDescent="0.3">
      <c r="A154" t="s">
        <v>63</v>
      </c>
      <c r="B154" s="107">
        <v>1015488</v>
      </c>
    </row>
    <row r="155" spans="1:2" x14ac:dyDescent="0.3">
      <c r="A155" t="s">
        <v>64</v>
      </c>
      <c r="B155" s="107">
        <v>275624</v>
      </c>
    </row>
    <row r="156" spans="1:2" x14ac:dyDescent="0.3">
      <c r="A156" t="s">
        <v>65</v>
      </c>
      <c r="B156" s="107">
        <v>251530</v>
      </c>
    </row>
    <row r="157" spans="1:2" x14ac:dyDescent="0.3">
      <c r="A157" t="s">
        <v>66</v>
      </c>
      <c r="B157" s="107">
        <v>424199</v>
      </c>
    </row>
    <row r="158" spans="1:2" x14ac:dyDescent="0.3">
      <c r="A158" t="s">
        <v>67</v>
      </c>
      <c r="B158" s="107">
        <v>163502</v>
      </c>
    </row>
    <row r="159" spans="1:2" x14ac:dyDescent="0.3">
      <c r="A159" t="s">
        <v>68</v>
      </c>
      <c r="B159" s="107">
        <v>450000</v>
      </c>
    </row>
    <row r="160" spans="1:2" x14ac:dyDescent="0.3">
      <c r="A160" t="s">
        <v>136</v>
      </c>
      <c r="B160" s="107">
        <v>493226.5</v>
      </c>
    </row>
    <row r="161" spans="1:2" x14ac:dyDescent="0.3">
      <c r="A161" t="s">
        <v>69</v>
      </c>
      <c r="B161" s="107">
        <v>214221</v>
      </c>
    </row>
    <row r="162" spans="1:2" x14ac:dyDescent="0.3">
      <c r="A162" t="s">
        <v>137</v>
      </c>
      <c r="B162" s="107">
        <v>299183</v>
      </c>
    </row>
    <row r="163" spans="1:2" x14ac:dyDescent="0.3">
      <c r="A163" t="s">
        <v>70</v>
      </c>
      <c r="B163" s="107">
        <v>391086</v>
      </c>
    </row>
    <row r="164" spans="1:2" x14ac:dyDescent="0.3">
      <c r="A164" t="s">
        <v>71</v>
      </c>
      <c r="B164" s="107">
        <v>305347</v>
      </c>
    </row>
    <row r="165" spans="1:2" x14ac:dyDescent="0.3">
      <c r="A165" t="s">
        <v>72</v>
      </c>
      <c r="B165" s="107">
        <v>499567</v>
      </c>
    </row>
    <row r="166" spans="1:2" x14ac:dyDescent="0.3">
      <c r="A166" t="s">
        <v>73</v>
      </c>
      <c r="B166" s="107">
        <v>60135</v>
      </c>
    </row>
    <row r="167" spans="1:2" x14ac:dyDescent="0.3">
      <c r="A167" t="s">
        <v>138</v>
      </c>
      <c r="B167" s="107">
        <v>4970139</v>
      </c>
    </row>
    <row r="168" spans="1:2" x14ac:dyDescent="0.3">
      <c r="A168" t="s">
        <v>139</v>
      </c>
      <c r="B168" s="107">
        <v>228413</v>
      </c>
    </row>
    <row r="169" spans="1:2" x14ac:dyDescent="0.3">
      <c r="A169" t="s">
        <v>140</v>
      </c>
      <c r="B169" s="107">
        <v>223571</v>
      </c>
    </row>
    <row r="170" spans="1:2" x14ac:dyDescent="0.3">
      <c r="A170" t="s">
        <v>74</v>
      </c>
      <c r="B170" s="107">
        <v>519930</v>
      </c>
    </row>
    <row r="171" spans="1:2" x14ac:dyDescent="0.3">
      <c r="A171" t="s">
        <v>141</v>
      </c>
      <c r="B171" s="107">
        <v>1101526</v>
      </c>
    </row>
    <row r="172" spans="1:2" x14ac:dyDescent="0.3">
      <c r="A172" t="s">
        <v>75</v>
      </c>
      <c r="B172" s="107">
        <v>2342509</v>
      </c>
    </row>
    <row r="173" spans="1:2" x14ac:dyDescent="0.3">
      <c r="A173" t="s">
        <v>76</v>
      </c>
      <c r="B173" s="107">
        <v>586886</v>
      </c>
    </row>
    <row r="174" spans="1:2" x14ac:dyDescent="0.3">
      <c r="A174" t="s">
        <v>142</v>
      </c>
      <c r="B174" s="107">
        <v>472477</v>
      </c>
    </row>
    <row r="175" spans="1:2" x14ac:dyDescent="0.3">
      <c r="A175" t="s">
        <v>77</v>
      </c>
      <c r="B175" s="107">
        <v>113459</v>
      </c>
    </row>
    <row r="176" spans="1:2" x14ac:dyDescent="0.3">
      <c r="A176" t="s">
        <v>143</v>
      </c>
      <c r="B176" s="107">
        <v>1637817</v>
      </c>
    </row>
    <row r="177" spans="1:2" x14ac:dyDescent="0.3">
      <c r="A177" t="s">
        <v>78</v>
      </c>
      <c r="B177" s="107">
        <v>250000</v>
      </c>
    </row>
    <row r="178" spans="1:2" x14ac:dyDescent="0.3">
      <c r="A178" t="s">
        <v>144</v>
      </c>
      <c r="B178" s="107">
        <v>674745</v>
      </c>
    </row>
    <row r="179" spans="1:2" x14ac:dyDescent="0.3">
      <c r="A179" t="s">
        <v>79</v>
      </c>
      <c r="B179" s="107">
        <v>68306</v>
      </c>
    </row>
    <row r="180" spans="1:2" x14ac:dyDescent="0.3">
      <c r="A180" t="s">
        <v>80</v>
      </c>
      <c r="B180" s="107">
        <v>1796306</v>
      </c>
    </row>
    <row r="181" spans="1:2" x14ac:dyDescent="0.3">
      <c r="A181" t="s">
        <v>81</v>
      </c>
      <c r="B181" s="107">
        <v>319800</v>
      </c>
    </row>
    <row r="182" spans="1:2" x14ac:dyDescent="0.3">
      <c r="A182" t="s">
        <v>145</v>
      </c>
      <c r="B182" s="107">
        <v>393750</v>
      </c>
    </row>
    <row r="183" spans="1:2" x14ac:dyDescent="0.3">
      <c r="A183" t="s">
        <v>146</v>
      </c>
      <c r="B183" s="107">
        <v>855600</v>
      </c>
    </row>
    <row r="184" spans="1:2" x14ac:dyDescent="0.3">
      <c r="A184" t="s">
        <v>82</v>
      </c>
      <c r="B184" s="107">
        <v>1127700</v>
      </c>
    </row>
    <row r="185" spans="1:2" x14ac:dyDescent="0.3">
      <c r="A185" t="s">
        <v>83</v>
      </c>
      <c r="B185" s="107">
        <v>855600</v>
      </c>
    </row>
    <row r="186" spans="1:2" x14ac:dyDescent="0.3">
      <c r="A186" t="s">
        <v>84</v>
      </c>
      <c r="B186" s="107">
        <v>459728</v>
      </c>
    </row>
    <row r="187" spans="1:2" x14ac:dyDescent="0.3">
      <c r="A187" t="s">
        <v>85</v>
      </c>
      <c r="B187" s="107">
        <v>223571</v>
      </c>
    </row>
    <row r="188" spans="1:2" x14ac:dyDescent="0.3">
      <c r="A188" t="s">
        <v>86</v>
      </c>
      <c r="B188" s="107">
        <v>124814</v>
      </c>
    </row>
    <row r="189" spans="1:2" x14ac:dyDescent="0.3">
      <c r="A189" t="s">
        <v>147</v>
      </c>
      <c r="B189" s="107">
        <v>1316953</v>
      </c>
    </row>
    <row r="190" spans="1:2" x14ac:dyDescent="0.3">
      <c r="A190" t="s">
        <v>148</v>
      </c>
      <c r="B190" s="107">
        <v>500398</v>
      </c>
    </row>
    <row r="191" spans="1:2" x14ac:dyDescent="0.3">
      <c r="A191" t="s">
        <v>149</v>
      </c>
      <c r="B191" s="107">
        <v>302952</v>
      </c>
    </row>
    <row r="192" spans="1:2" x14ac:dyDescent="0.3">
      <c r="A192" t="s">
        <v>150</v>
      </c>
      <c r="B192" s="107">
        <v>520349</v>
      </c>
    </row>
    <row r="193" spans="1:2" x14ac:dyDescent="0.3">
      <c r="A193" t="s">
        <v>87</v>
      </c>
      <c r="B193" s="107">
        <v>551283</v>
      </c>
    </row>
    <row r="194" spans="1:2" x14ac:dyDescent="0.3">
      <c r="A194" t="s">
        <v>88</v>
      </c>
      <c r="B194" s="107">
        <v>237676</v>
      </c>
    </row>
    <row r="195" spans="1:2" x14ac:dyDescent="0.3">
      <c r="A195" t="s">
        <v>151</v>
      </c>
      <c r="B195" s="107">
        <v>755925</v>
      </c>
    </row>
    <row r="196" spans="1:2" x14ac:dyDescent="0.3">
      <c r="A196" t="s">
        <v>89</v>
      </c>
      <c r="B196" s="107">
        <v>2077754</v>
      </c>
    </row>
    <row r="197" spans="1:2" x14ac:dyDescent="0.3">
      <c r="A197" t="s">
        <v>90</v>
      </c>
      <c r="B197" s="107">
        <v>154595</v>
      </c>
    </row>
    <row r="198" spans="1:2" x14ac:dyDescent="0.3">
      <c r="A198" t="s">
        <v>152</v>
      </c>
      <c r="B198" s="107">
        <v>592145</v>
      </c>
    </row>
    <row r="199" spans="1:2" x14ac:dyDescent="0.3">
      <c r="A199" t="s">
        <v>153</v>
      </c>
      <c r="B199" s="107">
        <v>909975</v>
      </c>
    </row>
    <row r="200" spans="1:2" x14ac:dyDescent="0.3">
      <c r="A200" t="s">
        <v>91</v>
      </c>
      <c r="B200" s="107">
        <v>551962</v>
      </c>
    </row>
    <row r="201" spans="1:2" x14ac:dyDescent="0.3">
      <c r="A201" t="s">
        <v>92</v>
      </c>
      <c r="B201" s="107">
        <v>1242200</v>
      </c>
    </row>
    <row r="202" spans="1:2" x14ac:dyDescent="0.3">
      <c r="A202" t="s">
        <v>154</v>
      </c>
      <c r="B202" s="107">
        <v>28928</v>
      </c>
    </row>
    <row r="203" spans="1:2" x14ac:dyDescent="0.3">
      <c r="A203" t="s">
        <v>93</v>
      </c>
      <c r="B203" s="107">
        <v>237632</v>
      </c>
    </row>
    <row r="204" spans="1:2" x14ac:dyDescent="0.3">
      <c r="A204" t="s">
        <v>155</v>
      </c>
      <c r="B204" s="107">
        <v>210665</v>
      </c>
    </row>
    <row r="205" spans="1:2" x14ac:dyDescent="0.3">
      <c r="A205" t="s">
        <v>156</v>
      </c>
      <c r="B205" s="107">
        <v>668359</v>
      </c>
    </row>
    <row r="206" spans="1:2" x14ac:dyDescent="0.3">
      <c r="A206" t="s">
        <v>157</v>
      </c>
      <c r="B206" s="107">
        <v>1615386</v>
      </c>
    </row>
    <row r="207" spans="1:2" x14ac:dyDescent="0.3">
      <c r="A207" t="s">
        <v>94</v>
      </c>
      <c r="B207" s="107">
        <v>109047</v>
      </c>
    </row>
    <row r="208" spans="1:2" x14ac:dyDescent="0.3">
      <c r="A208" t="s">
        <v>158</v>
      </c>
      <c r="B208" s="107">
        <v>786668.28</v>
      </c>
    </row>
    <row r="209" spans="1:2" x14ac:dyDescent="0.3">
      <c r="A209" t="s">
        <v>159</v>
      </c>
      <c r="B209" s="107">
        <v>967223</v>
      </c>
    </row>
    <row r="210" spans="1:2" x14ac:dyDescent="0.3">
      <c r="A210" t="s">
        <v>160</v>
      </c>
      <c r="B210" s="107">
        <v>979837</v>
      </c>
    </row>
    <row r="211" spans="1:2" x14ac:dyDescent="0.3">
      <c r="A211" t="s">
        <v>95</v>
      </c>
      <c r="B211" s="107">
        <v>975747</v>
      </c>
    </row>
    <row r="212" spans="1:2" x14ac:dyDescent="0.3">
      <c r="A212" t="s">
        <v>161</v>
      </c>
      <c r="B212" s="107">
        <v>783747</v>
      </c>
    </row>
    <row r="213" spans="1:2" x14ac:dyDescent="0.3">
      <c r="A213" t="s">
        <v>96</v>
      </c>
      <c r="B213" s="107">
        <v>1507604</v>
      </c>
    </row>
    <row r="214" spans="1:2" x14ac:dyDescent="0.3">
      <c r="A214" t="s">
        <v>97</v>
      </c>
      <c r="B214" s="107">
        <v>392516</v>
      </c>
    </row>
    <row r="215" spans="1:2" x14ac:dyDescent="0.3">
      <c r="A215" t="s">
        <v>98</v>
      </c>
      <c r="B215" s="107">
        <v>984486</v>
      </c>
    </row>
    <row r="216" spans="1:2" x14ac:dyDescent="0.3">
      <c r="A216" t="s">
        <v>99</v>
      </c>
      <c r="B216" s="107">
        <v>458397</v>
      </c>
    </row>
    <row r="217" spans="1:2" x14ac:dyDescent="0.3">
      <c r="A217" t="s">
        <v>100</v>
      </c>
      <c r="B217" s="107">
        <v>518873</v>
      </c>
    </row>
    <row r="218" spans="1:2" x14ac:dyDescent="0.3">
      <c r="A218" t="s">
        <v>101</v>
      </c>
      <c r="B218" s="107">
        <v>1509720</v>
      </c>
    </row>
    <row r="219" spans="1:2" x14ac:dyDescent="0.3">
      <c r="A219" t="s">
        <v>102</v>
      </c>
      <c r="B219" s="107">
        <v>469938</v>
      </c>
    </row>
    <row r="220" spans="1:2" x14ac:dyDescent="0.3">
      <c r="A220" t="s">
        <v>103</v>
      </c>
      <c r="B220" s="107">
        <v>147374</v>
      </c>
    </row>
    <row r="221" spans="1:2" x14ac:dyDescent="0.3">
      <c r="A221" t="s">
        <v>162</v>
      </c>
      <c r="B221" s="107">
        <v>441785</v>
      </c>
    </row>
    <row r="222" spans="1:2" x14ac:dyDescent="0.3">
      <c r="A222" t="s">
        <v>163</v>
      </c>
      <c r="B222" s="107">
        <v>716388</v>
      </c>
    </row>
    <row r="223" spans="1:2" x14ac:dyDescent="0.3">
      <c r="A223" t="s">
        <v>104</v>
      </c>
      <c r="B223" s="107">
        <v>1157884</v>
      </c>
    </row>
    <row r="224" spans="1:2" x14ac:dyDescent="0.3">
      <c r="A224" t="s">
        <v>164</v>
      </c>
      <c r="B224" s="107">
        <v>259561</v>
      </c>
    </row>
    <row r="225" spans="1:2" x14ac:dyDescent="0.3">
      <c r="A225" t="s">
        <v>165</v>
      </c>
      <c r="B225" s="107">
        <v>228801</v>
      </c>
    </row>
    <row r="226" spans="1:2" x14ac:dyDescent="0.3">
      <c r="A226" t="s">
        <v>105</v>
      </c>
      <c r="B226" s="107">
        <v>742864</v>
      </c>
    </row>
    <row r="227" spans="1:2" x14ac:dyDescent="0.3">
      <c r="A227" t="s">
        <v>166</v>
      </c>
      <c r="B227" s="107">
        <v>465012</v>
      </c>
    </row>
    <row r="228" spans="1:2" x14ac:dyDescent="0.3">
      <c r="A228" t="s">
        <v>106</v>
      </c>
      <c r="B228" s="107">
        <v>1131775</v>
      </c>
    </row>
    <row r="229" spans="1:2" x14ac:dyDescent="0.3">
      <c r="A229" t="s">
        <v>107</v>
      </c>
      <c r="B229" s="107">
        <v>4646959</v>
      </c>
    </row>
    <row r="230" spans="1:2" x14ac:dyDescent="0.3">
      <c r="A230" t="s">
        <v>167</v>
      </c>
      <c r="B230" s="107">
        <v>690432</v>
      </c>
    </row>
    <row r="231" spans="1:2" x14ac:dyDescent="0.3">
      <c r="A231" t="s">
        <v>108</v>
      </c>
      <c r="B231" s="107">
        <v>404240</v>
      </c>
    </row>
    <row r="232" spans="1:2" x14ac:dyDescent="0.3">
      <c r="A232" t="s">
        <v>168</v>
      </c>
      <c r="B232" s="107">
        <v>761989</v>
      </c>
    </row>
    <row r="233" spans="1:2" x14ac:dyDescent="0.3">
      <c r="A233" t="s">
        <v>109</v>
      </c>
      <c r="B233" s="107">
        <v>307062</v>
      </c>
    </row>
    <row r="234" spans="1:2" x14ac:dyDescent="0.3">
      <c r="A234" t="s">
        <v>169</v>
      </c>
      <c r="B234" s="107">
        <v>868556</v>
      </c>
    </row>
    <row r="235" spans="1:2" x14ac:dyDescent="0.3">
      <c r="A235" t="s">
        <v>110</v>
      </c>
      <c r="B235" s="107">
        <v>829374</v>
      </c>
    </row>
    <row r="236" spans="1:2" x14ac:dyDescent="0.3">
      <c r="A236" t="s">
        <v>170</v>
      </c>
      <c r="B236" s="107">
        <v>327855</v>
      </c>
    </row>
    <row r="237" spans="1:2" x14ac:dyDescent="0.3">
      <c r="A237" t="s">
        <v>111</v>
      </c>
      <c r="B237" s="107">
        <v>3123750</v>
      </c>
    </row>
    <row r="238" spans="1:2" x14ac:dyDescent="0.3">
      <c r="A238" t="s">
        <v>171</v>
      </c>
      <c r="B238" s="107">
        <v>4804146</v>
      </c>
    </row>
    <row r="239" spans="1:2" x14ac:dyDescent="0.3">
      <c r="A239" t="s">
        <v>112</v>
      </c>
      <c r="B239" s="107">
        <v>1018392</v>
      </c>
    </row>
    <row r="240" spans="1:2" x14ac:dyDescent="0.3">
      <c r="A240" t="s">
        <v>172</v>
      </c>
      <c r="B240" s="107">
        <v>100771</v>
      </c>
    </row>
    <row r="241" spans="1:2" x14ac:dyDescent="0.3">
      <c r="A241" t="s">
        <v>113</v>
      </c>
      <c r="B241" s="107">
        <v>541370</v>
      </c>
    </row>
    <row r="242" spans="1:2" x14ac:dyDescent="0.3">
      <c r="A242" t="s">
        <v>114</v>
      </c>
      <c r="B242" s="107">
        <v>1887527</v>
      </c>
    </row>
    <row r="243" spans="1:2" x14ac:dyDescent="0.3">
      <c r="A243" t="s">
        <v>115</v>
      </c>
      <c r="B243" s="107">
        <v>1550725</v>
      </c>
    </row>
    <row r="244" spans="1:2" x14ac:dyDescent="0.3">
      <c r="A244" t="s">
        <v>116</v>
      </c>
      <c r="B244" s="107">
        <v>497587</v>
      </c>
    </row>
    <row r="245" spans="1:2" x14ac:dyDescent="0.3">
      <c r="A245" t="s">
        <v>173</v>
      </c>
      <c r="B245" s="107">
        <v>350000</v>
      </c>
    </row>
    <row r="246" spans="1:2" x14ac:dyDescent="0.3">
      <c r="A246" t="s">
        <v>117</v>
      </c>
      <c r="B246" s="107">
        <v>380500</v>
      </c>
    </row>
    <row r="247" spans="1:2" x14ac:dyDescent="0.3">
      <c r="A247" t="s">
        <v>174</v>
      </c>
      <c r="B247" s="107">
        <v>421334</v>
      </c>
    </row>
    <row r="248" spans="1:2" x14ac:dyDescent="0.3">
      <c r="A248" t="s">
        <v>175</v>
      </c>
      <c r="B248" s="107">
        <v>306830</v>
      </c>
    </row>
    <row r="249" spans="1:2" x14ac:dyDescent="0.3">
      <c r="A249" t="s">
        <v>118</v>
      </c>
      <c r="B249" s="107">
        <v>29400</v>
      </c>
    </row>
    <row r="250" spans="1:2" x14ac:dyDescent="0.3">
      <c r="A250" t="s">
        <v>176</v>
      </c>
      <c r="B250" s="107">
        <v>175449</v>
      </c>
    </row>
    <row r="251" spans="1:2" x14ac:dyDescent="0.3">
      <c r="A251" t="s">
        <v>119</v>
      </c>
      <c r="B251" s="107">
        <v>79375</v>
      </c>
    </row>
    <row r="252" spans="1:2" x14ac:dyDescent="0.3">
      <c r="A252" t="s">
        <v>177</v>
      </c>
      <c r="B252" s="107">
        <v>272436</v>
      </c>
    </row>
    <row r="253" spans="1:2" x14ac:dyDescent="0.3">
      <c r="A253" t="s">
        <v>120</v>
      </c>
      <c r="B253" s="107">
        <v>1394530</v>
      </c>
    </row>
    <row r="254" spans="1:2" x14ac:dyDescent="0.3">
      <c r="A254" t="s">
        <v>121</v>
      </c>
      <c r="B254" s="107">
        <v>1317225</v>
      </c>
    </row>
    <row r="255" spans="1:2" x14ac:dyDescent="0.3">
      <c r="A255" t="s">
        <v>122</v>
      </c>
      <c r="B255" s="107">
        <v>195417</v>
      </c>
    </row>
    <row r="256" spans="1:2" x14ac:dyDescent="0.3">
      <c r="A256" t="s">
        <v>123</v>
      </c>
      <c r="B256" s="107">
        <v>88427</v>
      </c>
    </row>
    <row r="257" spans="1:2" x14ac:dyDescent="0.3">
      <c r="A257" t="s">
        <v>124</v>
      </c>
      <c r="B257" s="107">
        <v>2804737</v>
      </c>
    </row>
    <row r="258" spans="1:2" x14ac:dyDescent="0.3">
      <c r="A258" t="s">
        <v>125</v>
      </c>
      <c r="B258" s="107">
        <v>125415</v>
      </c>
    </row>
    <row r="259" spans="1:2" x14ac:dyDescent="0.3">
      <c r="A259" t="s">
        <v>178</v>
      </c>
      <c r="B259" s="107">
        <v>125415</v>
      </c>
    </row>
    <row r="260" spans="1:2" x14ac:dyDescent="0.3">
      <c r="A260" t="s">
        <v>126</v>
      </c>
      <c r="B260" s="107">
        <v>492242</v>
      </c>
    </row>
    <row r="261" spans="1:2" x14ac:dyDescent="0.3">
      <c r="A261" t="s">
        <v>127</v>
      </c>
      <c r="B261" s="107">
        <v>63930</v>
      </c>
    </row>
    <row r="262" spans="1:2" x14ac:dyDescent="0.3">
      <c r="A262" t="s">
        <v>128</v>
      </c>
      <c r="B262" s="107">
        <v>768809</v>
      </c>
    </row>
    <row r="263" spans="1:2" x14ac:dyDescent="0.3">
      <c r="A263" t="s">
        <v>129</v>
      </c>
      <c r="B263" s="107">
        <v>751293</v>
      </c>
    </row>
    <row r="264" spans="1:2" x14ac:dyDescent="0.3">
      <c r="A264" t="s">
        <v>179</v>
      </c>
      <c r="B264" s="107">
        <v>291732</v>
      </c>
    </row>
    <row r="265" spans="1:2" x14ac:dyDescent="0.3">
      <c r="A265" t="s">
        <v>180</v>
      </c>
      <c r="B265" s="107">
        <v>598711</v>
      </c>
    </row>
    <row r="266" spans="1:2" x14ac:dyDescent="0.3">
      <c r="A266" t="s">
        <v>130</v>
      </c>
      <c r="B266" s="107">
        <v>3074893</v>
      </c>
    </row>
    <row r="267" spans="1:2" x14ac:dyDescent="0.3">
      <c r="A267" t="s">
        <v>181</v>
      </c>
      <c r="B267" s="107">
        <v>529290</v>
      </c>
    </row>
    <row r="268" spans="1:2" x14ac:dyDescent="0.3">
      <c r="A268" t="s">
        <v>182</v>
      </c>
      <c r="B268" s="107">
        <v>628150</v>
      </c>
    </row>
    <row r="269" spans="1:2" x14ac:dyDescent="0.3">
      <c r="A269" t="s">
        <v>131</v>
      </c>
      <c r="B269" s="107">
        <v>1595688</v>
      </c>
    </row>
    <row r="270" spans="1:2" x14ac:dyDescent="0.3">
      <c r="A270" t="s">
        <v>183</v>
      </c>
      <c r="B270" s="107">
        <v>643570</v>
      </c>
    </row>
    <row r="271" spans="1:2" x14ac:dyDescent="0.3">
      <c r="A271" t="s">
        <v>184</v>
      </c>
      <c r="B271" s="107">
        <v>656506</v>
      </c>
    </row>
    <row r="272" spans="1:2" x14ac:dyDescent="0.3">
      <c r="A272" t="s">
        <v>132</v>
      </c>
      <c r="B272" s="107">
        <v>125042</v>
      </c>
    </row>
    <row r="273" spans="1:2" x14ac:dyDescent="0.3">
      <c r="A273" t="s">
        <v>185</v>
      </c>
      <c r="B273" s="107">
        <v>490395</v>
      </c>
    </row>
    <row r="274" spans="1:2" x14ac:dyDescent="0.3">
      <c r="A274" t="s">
        <v>186</v>
      </c>
      <c r="B274" s="107">
        <v>327855</v>
      </c>
    </row>
    <row r="275" spans="1:2" x14ac:dyDescent="0.3">
      <c r="A275" t="s">
        <v>133</v>
      </c>
      <c r="B275" s="107">
        <v>1484033</v>
      </c>
    </row>
    <row r="276" spans="1:2" x14ac:dyDescent="0.3">
      <c r="A276" t="s">
        <v>187</v>
      </c>
      <c r="B276" s="107">
        <v>325425</v>
      </c>
    </row>
    <row r="277" spans="1:2" x14ac:dyDescent="0.3">
      <c r="A277" t="s">
        <v>188</v>
      </c>
      <c r="B277" s="107">
        <v>455552</v>
      </c>
    </row>
    <row r="278" spans="1:2" x14ac:dyDescent="0.3">
      <c r="A278" t="s">
        <v>189</v>
      </c>
      <c r="B278" s="107">
        <v>1808443</v>
      </c>
    </row>
    <row r="279" spans="1:2" x14ac:dyDescent="0.3">
      <c r="A279" t="s">
        <v>190</v>
      </c>
      <c r="B279" s="107">
        <v>386629</v>
      </c>
    </row>
    <row r="280" spans="1:2" x14ac:dyDescent="0.3">
      <c r="A280" t="s">
        <v>191</v>
      </c>
      <c r="B280" s="107">
        <v>497735</v>
      </c>
    </row>
    <row r="281" spans="1:2" x14ac:dyDescent="0.3">
      <c r="A281" t="s">
        <v>192</v>
      </c>
      <c r="B281" s="107">
        <v>320078</v>
      </c>
    </row>
    <row r="282" spans="1:2" x14ac:dyDescent="0.3">
      <c r="A282" t="s">
        <v>193</v>
      </c>
      <c r="B282" s="107">
        <v>413290</v>
      </c>
    </row>
    <row r="283" spans="1:2" x14ac:dyDescent="0.3">
      <c r="A283" t="s">
        <v>18</v>
      </c>
      <c r="B283" s="107">
        <v>105769857.78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F48D-FDC8-4864-B7B9-E97E19863D5B}">
  <dimension ref="A2:B82"/>
  <sheetViews>
    <sheetView workbookViewId="0">
      <selection activeCell="A3" sqref="A3:B81"/>
    </sheetView>
  </sheetViews>
  <sheetFormatPr defaultRowHeight="14.4" x14ac:dyDescent="0.3"/>
  <cols>
    <col min="1" max="1" width="60.33203125" bestFit="1" customWidth="1"/>
    <col min="2" max="2" width="34.5546875" bestFit="1" customWidth="1"/>
  </cols>
  <sheetData>
    <row r="2" spans="1:2" x14ac:dyDescent="0.3">
      <c r="A2" s="492" t="s">
        <v>194</v>
      </c>
      <c r="B2" s="492" t="s">
        <v>55</v>
      </c>
    </row>
    <row r="3" spans="1:2" x14ac:dyDescent="0.3">
      <c r="A3" t="s">
        <v>56</v>
      </c>
      <c r="B3" s="107">
        <v>143250</v>
      </c>
    </row>
    <row r="4" spans="1:2" x14ac:dyDescent="0.3">
      <c r="A4" t="s">
        <v>57</v>
      </c>
      <c r="B4" s="107">
        <v>243750</v>
      </c>
    </row>
    <row r="5" spans="1:2" x14ac:dyDescent="0.3">
      <c r="A5" t="s">
        <v>58</v>
      </c>
      <c r="B5" s="107">
        <v>2459926</v>
      </c>
    </row>
    <row r="6" spans="1:2" x14ac:dyDescent="0.3">
      <c r="A6" t="s">
        <v>59</v>
      </c>
      <c r="B6" s="107">
        <v>584974</v>
      </c>
    </row>
    <row r="7" spans="1:2" x14ac:dyDescent="0.3">
      <c r="A7" t="s">
        <v>60</v>
      </c>
      <c r="B7" s="107">
        <v>536481</v>
      </c>
    </row>
    <row r="8" spans="1:2" x14ac:dyDescent="0.3">
      <c r="A8" t="s">
        <v>61</v>
      </c>
      <c r="B8" s="107">
        <v>100802</v>
      </c>
    </row>
    <row r="9" spans="1:2" x14ac:dyDescent="0.3">
      <c r="A9" t="s">
        <v>62</v>
      </c>
      <c r="B9" s="107">
        <v>356735</v>
      </c>
    </row>
    <row r="10" spans="1:2" x14ac:dyDescent="0.3">
      <c r="A10" t="s">
        <v>63</v>
      </c>
      <c r="B10" s="107">
        <v>469966</v>
      </c>
    </row>
    <row r="11" spans="1:2" x14ac:dyDescent="0.3">
      <c r="A11" t="s">
        <v>64</v>
      </c>
      <c r="B11" s="107">
        <v>275624</v>
      </c>
    </row>
    <row r="12" spans="1:2" x14ac:dyDescent="0.3">
      <c r="A12" t="s">
        <v>65</v>
      </c>
      <c r="B12" s="107">
        <v>251530</v>
      </c>
    </row>
    <row r="13" spans="1:2" x14ac:dyDescent="0.3">
      <c r="A13" t="s">
        <v>66</v>
      </c>
      <c r="B13" s="107">
        <v>424199</v>
      </c>
    </row>
    <row r="14" spans="1:2" x14ac:dyDescent="0.3">
      <c r="A14" t="s">
        <v>67</v>
      </c>
      <c r="B14" s="107">
        <v>163502</v>
      </c>
    </row>
    <row r="15" spans="1:2" x14ac:dyDescent="0.3">
      <c r="A15" t="s">
        <v>68</v>
      </c>
      <c r="B15" s="107">
        <v>450000</v>
      </c>
    </row>
    <row r="16" spans="1:2" x14ac:dyDescent="0.3">
      <c r="A16" t="s">
        <v>69</v>
      </c>
      <c r="B16" s="107">
        <v>214221</v>
      </c>
    </row>
    <row r="17" spans="1:2" x14ac:dyDescent="0.3">
      <c r="A17" t="s">
        <v>70</v>
      </c>
      <c r="B17" s="107">
        <v>391086</v>
      </c>
    </row>
    <row r="18" spans="1:2" x14ac:dyDescent="0.3">
      <c r="A18" t="s">
        <v>71</v>
      </c>
      <c r="B18" s="107">
        <v>305347</v>
      </c>
    </row>
    <row r="19" spans="1:2" x14ac:dyDescent="0.3">
      <c r="A19" t="s">
        <v>72</v>
      </c>
      <c r="B19" s="107">
        <v>499567</v>
      </c>
    </row>
    <row r="20" spans="1:2" x14ac:dyDescent="0.3">
      <c r="A20" t="s">
        <v>73</v>
      </c>
      <c r="B20" s="107">
        <v>60135</v>
      </c>
    </row>
    <row r="21" spans="1:2" x14ac:dyDescent="0.3">
      <c r="A21" t="s">
        <v>74</v>
      </c>
      <c r="B21" s="107">
        <v>385623</v>
      </c>
    </row>
    <row r="22" spans="1:2" x14ac:dyDescent="0.3">
      <c r="A22" t="s">
        <v>75</v>
      </c>
      <c r="B22" s="107">
        <v>864628</v>
      </c>
    </row>
    <row r="23" spans="1:2" x14ac:dyDescent="0.3">
      <c r="A23" t="s">
        <v>76</v>
      </c>
      <c r="B23" s="107">
        <v>586886</v>
      </c>
    </row>
    <row r="24" spans="1:2" x14ac:dyDescent="0.3">
      <c r="A24" t="s">
        <v>77</v>
      </c>
      <c r="B24" s="107">
        <v>113459</v>
      </c>
    </row>
    <row r="25" spans="1:2" x14ac:dyDescent="0.3">
      <c r="A25" t="s">
        <v>78</v>
      </c>
      <c r="B25" s="107">
        <v>250000</v>
      </c>
    </row>
    <row r="26" spans="1:2" x14ac:dyDescent="0.3">
      <c r="A26" t="s">
        <v>79</v>
      </c>
      <c r="B26" s="107">
        <v>68306</v>
      </c>
    </row>
    <row r="27" spans="1:2" x14ac:dyDescent="0.3">
      <c r="A27" t="s">
        <v>80</v>
      </c>
      <c r="B27" s="107">
        <v>529967</v>
      </c>
    </row>
    <row r="28" spans="1:2" x14ac:dyDescent="0.3">
      <c r="A28" t="s">
        <v>81</v>
      </c>
      <c r="B28" s="107">
        <v>319800</v>
      </c>
    </row>
    <row r="29" spans="1:2" x14ac:dyDescent="0.3">
      <c r="A29" t="s">
        <v>82</v>
      </c>
      <c r="B29" s="107">
        <v>1127700</v>
      </c>
    </row>
    <row r="30" spans="1:2" x14ac:dyDescent="0.3">
      <c r="A30" t="s">
        <v>83</v>
      </c>
      <c r="B30" s="107">
        <v>855600</v>
      </c>
    </row>
    <row r="31" spans="1:2" x14ac:dyDescent="0.3">
      <c r="A31" t="s">
        <v>84</v>
      </c>
      <c r="B31" s="107">
        <v>459728</v>
      </c>
    </row>
    <row r="32" spans="1:2" x14ac:dyDescent="0.3">
      <c r="A32" t="s">
        <v>85</v>
      </c>
      <c r="B32" s="107">
        <v>223571</v>
      </c>
    </row>
    <row r="33" spans="1:2" x14ac:dyDescent="0.3">
      <c r="A33" t="s">
        <v>86</v>
      </c>
      <c r="B33" s="107">
        <v>124814</v>
      </c>
    </row>
    <row r="34" spans="1:2" x14ac:dyDescent="0.3">
      <c r="A34" t="s">
        <v>87</v>
      </c>
      <c r="B34" s="107">
        <v>551283</v>
      </c>
    </row>
    <row r="35" spans="1:2" x14ac:dyDescent="0.3">
      <c r="A35" t="s">
        <v>88</v>
      </c>
      <c r="B35" s="107">
        <v>237676</v>
      </c>
    </row>
    <row r="36" spans="1:2" x14ac:dyDescent="0.3">
      <c r="A36" t="s">
        <v>89</v>
      </c>
      <c r="B36" s="107">
        <v>2077754</v>
      </c>
    </row>
    <row r="37" spans="1:2" x14ac:dyDescent="0.3">
      <c r="A37" t="s">
        <v>90</v>
      </c>
      <c r="B37" s="107">
        <v>154595</v>
      </c>
    </row>
    <row r="38" spans="1:2" x14ac:dyDescent="0.3">
      <c r="A38" t="s">
        <v>91</v>
      </c>
      <c r="B38" s="107">
        <v>551962</v>
      </c>
    </row>
    <row r="39" spans="1:2" x14ac:dyDescent="0.3">
      <c r="A39" t="s">
        <v>92</v>
      </c>
      <c r="B39" s="107">
        <v>1242200</v>
      </c>
    </row>
    <row r="40" spans="1:2" x14ac:dyDescent="0.3">
      <c r="A40" t="s">
        <v>93</v>
      </c>
      <c r="B40" s="107">
        <v>237632</v>
      </c>
    </row>
    <row r="41" spans="1:2" x14ac:dyDescent="0.3">
      <c r="A41" t="s">
        <v>94</v>
      </c>
      <c r="B41" s="107">
        <v>109047</v>
      </c>
    </row>
    <row r="42" spans="1:2" x14ac:dyDescent="0.3">
      <c r="A42" t="s">
        <v>95</v>
      </c>
      <c r="B42" s="107">
        <v>758676</v>
      </c>
    </row>
    <row r="43" spans="1:2" x14ac:dyDescent="0.3">
      <c r="A43" t="s">
        <v>96</v>
      </c>
      <c r="B43" s="107">
        <v>504629</v>
      </c>
    </row>
    <row r="44" spans="1:2" x14ac:dyDescent="0.3">
      <c r="A44" t="s">
        <v>97</v>
      </c>
      <c r="B44" s="107">
        <v>392516</v>
      </c>
    </row>
    <row r="45" spans="1:2" x14ac:dyDescent="0.3">
      <c r="A45" t="s">
        <v>98</v>
      </c>
      <c r="B45" s="107">
        <v>984486</v>
      </c>
    </row>
    <row r="46" spans="1:2" x14ac:dyDescent="0.3">
      <c r="A46" t="s">
        <v>99</v>
      </c>
      <c r="B46" s="107">
        <v>458397</v>
      </c>
    </row>
    <row r="47" spans="1:2" x14ac:dyDescent="0.3">
      <c r="A47" t="s">
        <v>100</v>
      </c>
      <c r="B47" s="107">
        <v>518873</v>
      </c>
    </row>
    <row r="48" spans="1:2" x14ac:dyDescent="0.3">
      <c r="A48" t="s">
        <v>101</v>
      </c>
      <c r="B48" s="107">
        <v>1178944</v>
      </c>
    </row>
    <row r="49" spans="1:2" x14ac:dyDescent="0.3">
      <c r="A49" t="s">
        <v>102</v>
      </c>
      <c r="B49" s="107">
        <v>469938</v>
      </c>
    </row>
    <row r="50" spans="1:2" x14ac:dyDescent="0.3">
      <c r="A50" t="s">
        <v>103</v>
      </c>
      <c r="B50" s="107">
        <v>147374</v>
      </c>
    </row>
    <row r="51" spans="1:2" x14ac:dyDescent="0.3">
      <c r="A51" t="s">
        <v>104</v>
      </c>
      <c r="B51" s="107">
        <v>1008457</v>
      </c>
    </row>
    <row r="52" spans="1:2" x14ac:dyDescent="0.3">
      <c r="A52" t="s">
        <v>105</v>
      </c>
      <c r="B52" s="107">
        <v>742864</v>
      </c>
    </row>
    <row r="53" spans="1:2" x14ac:dyDescent="0.3">
      <c r="A53" t="s">
        <v>106</v>
      </c>
      <c r="B53" s="107">
        <v>1131775</v>
      </c>
    </row>
    <row r="54" spans="1:2" x14ac:dyDescent="0.3">
      <c r="A54" t="s">
        <v>107</v>
      </c>
      <c r="B54" s="107">
        <v>2540655.5</v>
      </c>
    </row>
    <row r="55" spans="1:2" x14ac:dyDescent="0.3">
      <c r="A55" t="s">
        <v>108</v>
      </c>
      <c r="B55" s="107">
        <v>404240</v>
      </c>
    </row>
    <row r="56" spans="1:2" x14ac:dyDescent="0.3">
      <c r="A56" t="s">
        <v>109</v>
      </c>
      <c r="B56" s="107">
        <v>307062</v>
      </c>
    </row>
    <row r="57" spans="1:2" x14ac:dyDescent="0.3">
      <c r="A57" t="s">
        <v>110</v>
      </c>
      <c r="B57" s="107">
        <v>829374</v>
      </c>
    </row>
    <row r="58" spans="1:2" x14ac:dyDescent="0.3">
      <c r="A58" t="s">
        <v>111</v>
      </c>
      <c r="B58" s="107">
        <v>3123750</v>
      </c>
    </row>
    <row r="59" spans="1:2" x14ac:dyDescent="0.3">
      <c r="A59" t="s">
        <v>112</v>
      </c>
      <c r="B59" s="107">
        <v>1018392</v>
      </c>
    </row>
    <row r="60" spans="1:2" x14ac:dyDescent="0.3">
      <c r="A60" t="s">
        <v>113</v>
      </c>
      <c r="B60" s="107">
        <v>541370</v>
      </c>
    </row>
    <row r="61" spans="1:2" x14ac:dyDescent="0.3">
      <c r="A61" t="s">
        <v>114</v>
      </c>
      <c r="B61" s="107">
        <v>507479</v>
      </c>
    </row>
    <row r="62" spans="1:2" x14ac:dyDescent="0.3">
      <c r="A62" t="s">
        <v>115</v>
      </c>
      <c r="B62" s="107">
        <v>1550725</v>
      </c>
    </row>
    <row r="63" spans="1:2" x14ac:dyDescent="0.3">
      <c r="A63" t="s">
        <v>116</v>
      </c>
      <c r="B63" s="107">
        <v>497587</v>
      </c>
    </row>
    <row r="64" spans="1:2" x14ac:dyDescent="0.3">
      <c r="A64" t="s">
        <v>117</v>
      </c>
      <c r="B64" s="107">
        <v>380500</v>
      </c>
    </row>
    <row r="65" spans="1:2" x14ac:dyDescent="0.3">
      <c r="A65" t="s">
        <v>118</v>
      </c>
      <c r="B65" s="107">
        <v>29400</v>
      </c>
    </row>
    <row r="66" spans="1:2" x14ac:dyDescent="0.3">
      <c r="A66" t="s">
        <v>119</v>
      </c>
      <c r="B66" s="107">
        <v>79375</v>
      </c>
    </row>
    <row r="67" spans="1:2" x14ac:dyDescent="0.3">
      <c r="A67" t="s">
        <v>120</v>
      </c>
      <c r="B67" s="107">
        <v>1394530</v>
      </c>
    </row>
    <row r="68" spans="1:2" x14ac:dyDescent="0.3">
      <c r="A68" t="s">
        <v>121</v>
      </c>
      <c r="B68" s="107">
        <v>1317225</v>
      </c>
    </row>
    <row r="69" spans="1:2" x14ac:dyDescent="0.3">
      <c r="A69" t="s">
        <v>122</v>
      </c>
      <c r="B69" s="107">
        <v>195417</v>
      </c>
    </row>
    <row r="70" spans="1:2" x14ac:dyDescent="0.3">
      <c r="A70" t="s">
        <v>123</v>
      </c>
      <c r="B70" s="107">
        <v>88427</v>
      </c>
    </row>
    <row r="71" spans="1:2" x14ac:dyDescent="0.3">
      <c r="A71" t="s">
        <v>124</v>
      </c>
      <c r="B71" s="107">
        <v>2804737</v>
      </c>
    </row>
    <row r="72" spans="1:2" x14ac:dyDescent="0.3">
      <c r="A72" t="s">
        <v>125</v>
      </c>
      <c r="B72" s="107">
        <v>125415</v>
      </c>
    </row>
    <row r="73" spans="1:2" x14ac:dyDescent="0.3">
      <c r="A73" t="s">
        <v>126</v>
      </c>
      <c r="B73" s="107">
        <v>492242</v>
      </c>
    </row>
    <row r="74" spans="1:2" x14ac:dyDescent="0.3">
      <c r="A74" t="s">
        <v>127</v>
      </c>
      <c r="B74" s="107">
        <v>63930</v>
      </c>
    </row>
    <row r="75" spans="1:2" x14ac:dyDescent="0.3">
      <c r="A75" t="s">
        <v>128</v>
      </c>
      <c r="B75" s="107">
        <v>379664</v>
      </c>
    </row>
    <row r="76" spans="1:2" x14ac:dyDescent="0.3">
      <c r="A76" t="s">
        <v>129</v>
      </c>
      <c r="B76" s="107">
        <v>751293</v>
      </c>
    </row>
    <row r="77" spans="1:2" x14ac:dyDescent="0.3">
      <c r="A77" t="s">
        <v>130</v>
      </c>
      <c r="B77" s="107">
        <v>2046333</v>
      </c>
    </row>
    <row r="78" spans="1:2" x14ac:dyDescent="0.3">
      <c r="A78" t="s">
        <v>131</v>
      </c>
      <c r="B78" s="107">
        <v>1595688</v>
      </c>
    </row>
    <row r="79" spans="1:2" x14ac:dyDescent="0.3">
      <c r="A79" t="s">
        <v>132</v>
      </c>
      <c r="B79" s="107">
        <v>125042</v>
      </c>
    </row>
    <row r="80" spans="1:2" x14ac:dyDescent="0.3">
      <c r="A80" t="s">
        <v>133</v>
      </c>
      <c r="B80" s="107">
        <v>424250</v>
      </c>
    </row>
    <row r="82" spans="1:2" x14ac:dyDescent="0.3">
      <c r="A82" s="492" t="s">
        <v>48</v>
      </c>
      <c r="B82" s="493">
        <f>SUM(B3:B81)</f>
        <v>50914357.5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E36D-C519-45D0-AF56-4E6B6F8F7A0E}">
  <dimension ref="A1:AA190"/>
  <sheetViews>
    <sheetView showGridLines="0" topLeftCell="A5" zoomScale="82" zoomScaleNormal="90" workbookViewId="0">
      <selection activeCell="F11" sqref="F11"/>
    </sheetView>
  </sheetViews>
  <sheetFormatPr defaultRowHeight="14.4" x14ac:dyDescent="0.3"/>
  <cols>
    <col min="1" max="1" width="13.77734375" bestFit="1" customWidth="1"/>
    <col min="2" max="2" width="18.88671875" bestFit="1" customWidth="1"/>
    <col min="3" max="3" width="15.33203125" bestFit="1" customWidth="1"/>
    <col min="4" max="4" width="13.109375" bestFit="1" customWidth="1"/>
    <col min="5" max="5" width="17.44140625" bestFit="1" customWidth="1"/>
    <col min="6" max="6" width="13.77734375" bestFit="1" customWidth="1"/>
    <col min="7" max="7" width="17.44140625" bestFit="1" customWidth="1"/>
    <col min="8" max="8" width="12" bestFit="1" customWidth="1"/>
    <col min="9" max="9" width="12.6640625" style="107" bestFit="1" customWidth="1"/>
    <col min="10" max="10" width="12" bestFit="1" customWidth="1"/>
    <col min="11" max="11" width="9.44140625" hidden="1" customWidth="1"/>
    <col min="12" max="12" width="10.109375" hidden="1" customWidth="1"/>
    <col min="13" max="15" width="12.21875" hidden="1" customWidth="1"/>
    <col min="16" max="16" width="11" hidden="1" customWidth="1"/>
    <col min="17" max="17" width="13.21875" hidden="1" customWidth="1"/>
    <col min="18" max="18" width="15.77734375" hidden="1" customWidth="1"/>
    <col min="19" max="19" width="14.88671875" customWidth="1"/>
    <col min="20" max="20" width="13.44140625" hidden="1" customWidth="1"/>
    <col min="21" max="21" width="3.6640625" hidden="1" customWidth="1"/>
    <col min="22" max="22" width="12.88671875" style="107" customWidth="1"/>
    <col min="23" max="23" width="60.44140625" customWidth="1"/>
    <col min="24" max="24" width="16.109375" bestFit="1" customWidth="1"/>
    <col min="25" max="25" width="15" bestFit="1" customWidth="1"/>
    <col min="26" max="26" width="16.109375" bestFit="1" customWidth="1"/>
  </cols>
  <sheetData>
    <row r="1" spans="1:27" x14ac:dyDescent="0.3">
      <c r="A1" s="42" t="s">
        <v>0</v>
      </c>
      <c r="B1" t="s">
        <v>1</v>
      </c>
      <c r="F1" s="42" t="s">
        <v>0</v>
      </c>
      <c r="G1" t="s">
        <v>1</v>
      </c>
      <c r="Y1" s="107">
        <f>111716221-98721868</f>
        <v>12994353</v>
      </c>
    </row>
    <row r="2" spans="1:27" s="104" customFormat="1" ht="24.75" customHeight="1" x14ac:dyDescent="0.4">
      <c r="A2" s="118"/>
      <c r="B2"/>
      <c r="C2"/>
      <c r="D2"/>
      <c r="F2"/>
      <c r="G2"/>
      <c r="H2"/>
      <c r="I2" s="107"/>
      <c r="J2"/>
      <c r="K2"/>
      <c r="L2"/>
      <c r="M2"/>
      <c r="N2"/>
      <c r="O2"/>
      <c r="P2"/>
      <c r="Q2"/>
      <c r="R2"/>
      <c r="S2"/>
      <c r="T2"/>
      <c r="U2"/>
      <c r="V2" s="220"/>
    </row>
    <row r="3" spans="1:27" ht="60.6" customHeight="1" x14ac:dyDescent="0.3">
      <c r="A3" s="247" t="s">
        <v>3</v>
      </c>
      <c r="B3" s="247" t="s">
        <v>4</v>
      </c>
      <c r="C3" s="247" t="s">
        <v>39</v>
      </c>
      <c r="D3" s="247" t="s">
        <v>1377</v>
      </c>
      <c r="E3" s="215"/>
      <c r="F3" s="247" t="s">
        <v>3</v>
      </c>
      <c r="G3" s="247" t="s">
        <v>40</v>
      </c>
      <c r="H3" s="247" t="s">
        <v>39</v>
      </c>
      <c r="I3" s="248" t="s">
        <v>1377</v>
      </c>
      <c r="J3" s="247" t="s">
        <v>41</v>
      </c>
      <c r="K3" s="247" t="s">
        <v>1475</v>
      </c>
      <c r="L3" s="247" t="s">
        <v>1476</v>
      </c>
      <c r="M3" s="247" t="s">
        <v>1477</v>
      </c>
      <c r="N3" s="247" t="s">
        <v>1478</v>
      </c>
      <c r="O3" s="247" t="s">
        <v>1479</v>
      </c>
      <c r="P3" s="247" t="s">
        <v>1549</v>
      </c>
      <c r="S3" s="247" t="s">
        <v>1485</v>
      </c>
      <c r="V3" s="247" t="s">
        <v>47</v>
      </c>
    </row>
    <row r="4" spans="1:27" x14ac:dyDescent="0.3">
      <c r="A4" s="43" t="s">
        <v>15</v>
      </c>
      <c r="B4">
        <v>63</v>
      </c>
      <c r="C4" s="115">
        <v>305830985.5</v>
      </c>
      <c r="D4" s="115">
        <v>448884789.42279696</v>
      </c>
      <c r="E4" s="217"/>
      <c r="F4" s="43" t="s">
        <v>15</v>
      </c>
      <c r="G4">
        <v>62</v>
      </c>
      <c r="H4" s="115">
        <v>303870985.5</v>
      </c>
      <c r="I4" s="115">
        <v>449624259.75613028</v>
      </c>
      <c r="J4" s="115">
        <v>31866772</v>
      </c>
      <c r="K4" s="115">
        <v>31516284.849999998</v>
      </c>
      <c r="L4" s="115">
        <v>19747452.490000002</v>
      </c>
      <c r="M4" s="115">
        <v>21263633</v>
      </c>
      <c r="N4" s="115">
        <v>38913941.5</v>
      </c>
      <c r="O4" s="115">
        <v>17377026.170000002</v>
      </c>
      <c r="P4" s="237">
        <v>18633890.079999998</v>
      </c>
      <c r="R4" s="115"/>
      <c r="S4" s="115">
        <f>AVERAGE(K4:P4)</f>
        <v>24575371.348333333</v>
      </c>
      <c r="V4" s="108">
        <f>S4/J4</f>
        <v>0.77119111243314298</v>
      </c>
      <c r="W4" s="115"/>
      <c r="X4" s="108"/>
    </row>
    <row r="5" spans="1:27" x14ac:dyDescent="0.3">
      <c r="A5" s="43" t="s">
        <v>16</v>
      </c>
      <c r="B5">
        <v>53</v>
      </c>
      <c r="C5" s="115">
        <v>218197705</v>
      </c>
      <c r="D5" s="115">
        <v>276939326.82000005</v>
      </c>
      <c r="E5" s="217"/>
      <c r="F5" s="43" t="s">
        <v>16</v>
      </c>
      <c r="G5">
        <v>53</v>
      </c>
      <c r="H5" s="115">
        <v>218197705</v>
      </c>
      <c r="I5" s="115">
        <v>276939326.82000005</v>
      </c>
      <c r="J5" s="115">
        <v>29833755</v>
      </c>
      <c r="K5" s="115">
        <v>16433780.250000002</v>
      </c>
      <c r="L5" s="115">
        <v>6005090.5999999996</v>
      </c>
      <c r="M5" s="115">
        <v>23025706.199999999</v>
      </c>
      <c r="N5" s="115">
        <v>33605902.469999999</v>
      </c>
      <c r="O5" s="115">
        <v>6611082.9600000009</v>
      </c>
      <c r="P5" s="237">
        <v>12888162.309999999</v>
      </c>
      <c r="R5" s="115"/>
      <c r="S5" s="115">
        <f t="shared" ref="S5:S7" si="0">AVERAGE(K5:P5)</f>
        <v>16428287.464999998</v>
      </c>
      <c r="V5" s="108">
        <f>S5/J5</f>
        <v>0.55066107048878021</v>
      </c>
      <c r="W5" s="115"/>
      <c r="X5" s="108"/>
    </row>
    <row r="6" spans="1:27" x14ac:dyDescent="0.3">
      <c r="A6" s="43" t="s">
        <v>17</v>
      </c>
      <c r="B6">
        <v>15</v>
      </c>
      <c r="C6" s="115">
        <v>91361983</v>
      </c>
      <c r="D6" s="115">
        <v>45498229</v>
      </c>
      <c r="E6" s="217"/>
      <c r="F6" s="43" t="s">
        <v>17</v>
      </c>
      <c r="G6">
        <v>15</v>
      </c>
      <c r="H6" s="115">
        <v>91361983</v>
      </c>
      <c r="I6" s="115">
        <v>45498229</v>
      </c>
      <c r="J6" s="115">
        <v>7526022</v>
      </c>
      <c r="K6" s="115">
        <v>1608305</v>
      </c>
      <c r="L6" s="115">
        <v>802140</v>
      </c>
      <c r="M6" s="115">
        <v>666220</v>
      </c>
      <c r="N6" s="115">
        <v>5491656</v>
      </c>
      <c r="O6" s="115">
        <v>2824332</v>
      </c>
      <c r="P6" s="237">
        <v>1679484</v>
      </c>
      <c r="R6" s="115"/>
      <c r="S6" s="115">
        <f t="shared" si="0"/>
        <v>2178689.5</v>
      </c>
      <c r="V6" s="108">
        <f>S6/J6</f>
        <v>0.28948752740823769</v>
      </c>
      <c r="W6" s="115"/>
      <c r="X6" s="108"/>
    </row>
    <row r="7" spans="1:27" x14ac:dyDescent="0.3">
      <c r="A7" s="267" t="s">
        <v>18</v>
      </c>
      <c r="B7" s="268">
        <v>131</v>
      </c>
      <c r="C7" s="268">
        <v>615390673.5</v>
      </c>
      <c r="D7" s="268">
        <v>771322345.24279714</v>
      </c>
      <c r="E7" s="218"/>
      <c r="F7" s="253" t="s">
        <v>48</v>
      </c>
      <c r="G7" s="252">
        <v>130</v>
      </c>
      <c r="H7" s="252">
        <v>613430673.5</v>
      </c>
      <c r="I7" s="252">
        <v>772061815.57613051</v>
      </c>
      <c r="J7" s="252">
        <v>69226549</v>
      </c>
      <c r="K7" s="252">
        <v>49558370.100000009</v>
      </c>
      <c r="L7" s="252">
        <v>26554683.09</v>
      </c>
      <c r="M7" s="252">
        <v>44955559.200000003</v>
      </c>
      <c r="N7" s="252">
        <v>78011499.969999999</v>
      </c>
      <c r="O7" s="252">
        <v>26812441.129999999</v>
      </c>
      <c r="P7" s="254">
        <v>33201536.389999997</v>
      </c>
      <c r="S7" s="526">
        <f t="shared" si="0"/>
        <v>43182348.313333333</v>
      </c>
      <c r="V7" s="250">
        <f>S7/J7</f>
        <v>0.62378305631461328</v>
      </c>
      <c r="W7" s="115"/>
      <c r="X7" s="108"/>
    </row>
    <row r="8" spans="1:27" x14ac:dyDescent="0.3">
      <c r="A8" s="115"/>
      <c r="B8" s="115"/>
      <c r="C8" s="115"/>
      <c r="D8" s="115"/>
      <c r="J8" s="115"/>
      <c r="K8" s="115"/>
      <c r="L8" s="115"/>
      <c r="M8" s="115"/>
      <c r="N8" s="115"/>
      <c r="O8" s="115"/>
      <c r="P8" s="115"/>
      <c r="Q8" s="115"/>
      <c r="R8" s="115"/>
      <c r="S8" s="115"/>
      <c r="T8" s="115"/>
      <c r="U8" s="115"/>
      <c r="V8" s="153"/>
    </row>
    <row r="9" spans="1:27" hidden="1" x14ac:dyDescent="0.3">
      <c r="A9" s="42" t="s">
        <v>0</v>
      </c>
      <c r="B9" t="s">
        <v>1</v>
      </c>
      <c r="C9" s="115"/>
      <c r="D9" s="115"/>
      <c r="F9" s="42" t="s">
        <v>0</v>
      </c>
      <c r="G9" t="s">
        <v>1</v>
      </c>
    </row>
    <row r="10" spans="1:27" x14ac:dyDescent="0.3">
      <c r="V10" s="220"/>
    </row>
    <row r="11" spans="1:27" s="104" customFormat="1" ht="43.2" x14ac:dyDescent="0.3">
      <c r="A11" s="247" t="s">
        <v>19</v>
      </c>
      <c r="B11" s="247" t="s">
        <v>4</v>
      </c>
      <c r="C11" s="247" t="s">
        <v>39</v>
      </c>
      <c r="D11" s="247" t="s">
        <v>1377</v>
      </c>
      <c r="E11" s="215"/>
      <c r="F11" s="247" t="s">
        <v>19</v>
      </c>
      <c r="G11" s="247" t="s">
        <v>40</v>
      </c>
      <c r="H11" s="247" t="s">
        <v>39</v>
      </c>
      <c r="I11" s="248" t="s">
        <v>1377</v>
      </c>
      <c r="J11" s="248" t="s">
        <v>41</v>
      </c>
      <c r="K11" s="247" t="s">
        <v>1480</v>
      </c>
      <c r="L11" s="247" t="s">
        <v>1481</v>
      </c>
      <c r="M11" s="247" t="s">
        <v>1482</v>
      </c>
      <c r="N11" s="247" t="s">
        <v>1483</v>
      </c>
      <c r="O11" s="247" t="s">
        <v>1484</v>
      </c>
      <c r="P11" s="247" t="s">
        <v>1549</v>
      </c>
      <c r="Q11"/>
      <c r="R11"/>
      <c r="S11" s="247" t="s">
        <v>1485</v>
      </c>
      <c r="T11"/>
      <c r="U11"/>
      <c r="V11" s="247" t="s">
        <v>47</v>
      </c>
      <c r="W11" s="247" t="s">
        <v>213</v>
      </c>
    </row>
    <row r="12" spans="1:27" ht="57.6" customHeight="1" x14ac:dyDescent="0.3">
      <c r="A12" s="43" t="s">
        <v>21</v>
      </c>
      <c r="B12">
        <v>21</v>
      </c>
      <c r="C12" s="115">
        <v>227114444</v>
      </c>
      <c r="D12" s="115">
        <v>213856201.6661303</v>
      </c>
      <c r="E12" s="217"/>
      <c r="F12" s="704" t="s">
        <v>21</v>
      </c>
      <c r="G12" s="438">
        <v>21</v>
      </c>
      <c r="H12" s="617">
        <v>227114444</v>
      </c>
      <c r="I12" s="617">
        <v>213856201.6661303</v>
      </c>
      <c r="J12" s="617">
        <v>19697466</v>
      </c>
      <c r="K12" s="617">
        <v>6893451.4800000004</v>
      </c>
      <c r="L12" s="617">
        <v>719743.49</v>
      </c>
      <c r="M12" s="617">
        <v>484967</v>
      </c>
      <c r="N12" s="617">
        <v>4313609</v>
      </c>
      <c r="O12" s="617">
        <v>6611272.5</v>
      </c>
      <c r="P12" s="707">
        <v>6528992</v>
      </c>
      <c r="R12" s="617"/>
      <c r="S12" s="617">
        <f t="shared" ref="S12:S21" si="1">AVERAGE(K12:P12)</f>
        <v>4258672.5783333331</v>
      </c>
      <c r="T12" s="438"/>
      <c r="U12" s="438"/>
      <c r="V12" s="619">
        <f t="shared" ref="V12:V23" si="2">S12/J12</f>
        <v>0.21620408322234613</v>
      </c>
      <c r="W12" s="621" t="s">
        <v>1610</v>
      </c>
      <c r="X12" s="624">
        <v>0.67</v>
      </c>
      <c r="Y12" s="108"/>
      <c r="Z12" s="107"/>
      <c r="AA12" s="108"/>
    </row>
    <row r="13" spans="1:27" ht="104.4" customHeight="1" x14ac:dyDescent="0.3">
      <c r="A13" s="43" t="s">
        <v>24</v>
      </c>
      <c r="B13">
        <v>30</v>
      </c>
      <c r="C13" s="115">
        <v>120366352</v>
      </c>
      <c r="D13" s="115">
        <v>170812140.07999998</v>
      </c>
      <c r="E13" s="217"/>
      <c r="F13" s="704" t="s">
        <v>24</v>
      </c>
      <c r="G13" s="438">
        <v>30</v>
      </c>
      <c r="H13" s="617">
        <v>120366352</v>
      </c>
      <c r="I13" s="617">
        <v>170812140.07999998</v>
      </c>
      <c r="J13" s="617">
        <v>17430548</v>
      </c>
      <c r="K13" s="617">
        <v>10367703</v>
      </c>
      <c r="L13" s="617">
        <v>12168544</v>
      </c>
      <c r="M13" s="617">
        <v>8311780</v>
      </c>
      <c r="N13" s="617">
        <v>24240888.5</v>
      </c>
      <c r="O13" s="617">
        <v>3538316</v>
      </c>
      <c r="P13" s="707">
        <v>12227814</v>
      </c>
      <c r="R13" s="617"/>
      <c r="S13" s="617">
        <f>AVERAGE(K13:P13)</f>
        <v>11809174.25</v>
      </c>
      <c r="T13" s="438"/>
      <c r="U13" s="438"/>
      <c r="V13" s="620">
        <f t="shared" si="2"/>
        <v>0.67749873670064764</v>
      </c>
      <c r="W13" s="622" t="s">
        <v>1611</v>
      </c>
      <c r="X13" s="624">
        <v>0.6</v>
      </c>
    </row>
    <row r="14" spans="1:27" ht="28.8" x14ac:dyDescent="0.3">
      <c r="A14" s="43" t="s">
        <v>49</v>
      </c>
      <c r="B14">
        <v>19</v>
      </c>
      <c r="C14" s="115">
        <v>96440445</v>
      </c>
      <c r="D14" s="115">
        <v>169167544.52666667</v>
      </c>
      <c r="E14" s="217"/>
      <c r="F14" s="704" t="s">
        <v>49</v>
      </c>
      <c r="G14" s="438">
        <v>19</v>
      </c>
      <c r="H14" s="617">
        <v>96440445</v>
      </c>
      <c r="I14" s="617">
        <v>169167544.52666667</v>
      </c>
      <c r="J14" s="617">
        <v>9353845</v>
      </c>
      <c r="K14" s="617">
        <v>9527183.9000000004</v>
      </c>
      <c r="L14" s="617">
        <v>8900891.5999999996</v>
      </c>
      <c r="M14" s="617">
        <v>18081430.199999999</v>
      </c>
      <c r="N14" s="617">
        <v>14818165.670000002</v>
      </c>
      <c r="O14" s="617">
        <v>13351511.630000001</v>
      </c>
      <c r="P14" s="707">
        <v>3524036.4</v>
      </c>
      <c r="R14" s="617"/>
      <c r="S14" s="617">
        <f t="shared" si="1"/>
        <v>11367203.233333334</v>
      </c>
      <c r="T14" s="438"/>
      <c r="U14" s="438"/>
      <c r="V14" s="620">
        <f t="shared" si="2"/>
        <v>1.2152439166282245</v>
      </c>
      <c r="W14" s="623" t="s">
        <v>1603</v>
      </c>
      <c r="X14" s="624">
        <v>0.6</v>
      </c>
    </row>
    <row r="15" spans="1:27" ht="72" x14ac:dyDescent="0.3">
      <c r="A15" s="43" t="s">
        <v>51</v>
      </c>
      <c r="B15">
        <v>8</v>
      </c>
      <c r="C15" s="115">
        <v>46301837.5</v>
      </c>
      <c r="D15" s="115">
        <v>73215510.840000004</v>
      </c>
      <c r="E15" s="217"/>
      <c r="F15" s="704" t="s">
        <v>51</v>
      </c>
      <c r="G15" s="438">
        <v>8</v>
      </c>
      <c r="H15" s="617">
        <v>46301837.5</v>
      </c>
      <c r="I15" s="617">
        <v>73215510.840000004</v>
      </c>
      <c r="J15" s="617">
        <v>10897077</v>
      </c>
      <c r="K15" s="617">
        <v>3882221.3</v>
      </c>
      <c r="L15" s="617">
        <v>3066304</v>
      </c>
      <c r="M15" s="617">
        <v>5501600</v>
      </c>
      <c r="N15" s="617">
        <v>23396091.800000001</v>
      </c>
      <c r="O15" s="617">
        <v>664600</v>
      </c>
      <c r="P15" s="707">
        <v>871300</v>
      </c>
      <c r="R15" s="617"/>
      <c r="S15" s="617">
        <f>AVERAGE(K15:P15)</f>
        <v>6230352.8500000006</v>
      </c>
      <c r="T15" s="438"/>
      <c r="U15" s="438"/>
      <c r="V15" s="620">
        <f t="shared" si="2"/>
        <v>0.5717453267513849</v>
      </c>
      <c r="W15" s="623" t="s">
        <v>1604</v>
      </c>
      <c r="X15" s="624">
        <v>0.32</v>
      </c>
    </row>
    <row r="16" spans="1:27" ht="28.8" x14ac:dyDescent="0.3">
      <c r="A16" s="43" t="s">
        <v>22</v>
      </c>
      <c r="B16">
        <v>29</v>
      </c>
      <c r="C16" s="115">
        <v>42155418.999999985</v>
      </c>
      <c r="D16" s="115">
        <v>93617235.24000001</v>
      </c>
      <c r="E16" s="217"/>
      <c r="F16" s="704" t="s">
        <v>22</v>
      </c>
      <c r="G16" s="438">
        <v>29</v>
      </c>
      <c r="H16" s="617">
        <v>42155418.999999985</v>
      </c>
      <c r="I16" s="617">
        <v>93617235.24000001</v>
      </c>
      <c r="J16" s="617">
        <v>4587432</v>
      </c>
      <c r="K16" s="617">
        <v>11157143.620000001</v>
      </c>
      <c r="L16" s="617">
        <v>304000</v>
      </c>
      <c r="M16" s="617">
        <v>11431786</v>
      </c>
      <c r="N16" s="617">
        <v>7463170.0000000009</v>
      </c>
      <c r="O16" s="617">
        <v>0</v>
      </c>
      <c r="P16" s="707">
        <v>7824280.7400000002</v>
      </c>
      <c r="R16" s="617"/>
      <c r="S16" s="617">
        <f t="shared" si="1"/>
        <v>6363396.7266666666</v>
      </c>
      <c r="T16" s="438"/>
      <c r="U16" s="438"/>
      <c r="V16" s="620">
        <f t="shared" si="2"/>
        <v>1.3871370140563755</v>
      </c>
      <c r="W16" s="623" t="s">
        <v>1605</v>
      </c>
      <c r="X16" s="624">
        <v>1.07</v>
      </c>
    </row>
    <row r="17" spans="1:24" ht="28.8" x14ac:dyDescent="0.3">
      <c r="A17" s="43" t="s">
        <v>25</v>
      </c>
      <c r="B17">
        <v>14</v>
      </c>
      <c r="C17" s="115">
        <v>37579001</v>
      </c>
      <c r="D17" s="115">
        <v>37243801.340000004</v>
      </c>
      <c r="E17" s="218"/>
      <c r="F17" s="704" t="s">
        <v>25</v>
      </c>
      <c r="G17" s="438">
        <v>14</v>
      </c>
      <c r="H17" s="617">
        <v>37579001</v>
      </c>
      <c r="I17" s="617">
        <v>37243801.340000004</v>
      </c>
      <c r="J17" s="617">
        <v>3429621</v>
      </c>
      <c r="K17" s="617">
        <v>6407626.7999999998</v>
      </c>
      <c r="L17" s="617">
        <v>1217500</v>
      </c>
      <c r="M17" s="617">
        <v>705396</v>
      </c>
      <c r="N17" s="617">
        <v>1039900</v>
      </c>
      <c r="O17" s="617">
        <v>2052490.9999999998</v>
      </c>
      <c r="P17" s="707">
        <v>1873754.25</v>
      </c>
      <c r="R17" s="617"/>
      <c r="S17" s="617">
        <f t="shared" si="1"/>
        <v>2216111.3416666668</v>
      </c>
      <c r="T17" s="438"/>
      <c r="U17" s="438"/>
      <c r="V17" s="620">
        <f t="shared" si="2"/>
        <v>0.64616799980717021</v>
      </c>
      <c r="W17" s="623" t="s">
        <v>1612</v>
      </c>
      <c r="X17" s="624">
        <v>0.82</v>
      </c>
    </row>
    <row r="18" spans="1:24" x14ac:dyDescent="0.3">
      <c r="A18" s="43" t="s">
        <v>50</v>
      </c>
      <c r="B18">
        <v>4</v>
      </c>
      <c r="C18" s="115">
        <v>28717900</v>
      </c>
      <c r="D18" s="115">
        <v>3565461.55</v>
      </c>
      <c r="F18" s="704" t="s">
        <v>50</v>
      </c>
      <c r="G18" s="438">
        <v>4</v>
      </c>
      <c r="H18" s="617">
        <v>28717900</v>
      </c>
      <c r="I18" s="617">
        <v>3565461.55</v>
      </c>
      <c r="J18" s="617">
        <v>2180972</v>
      </c>
      <c r="K18" s="617">
        <v>242440</v>
      </c>
      <c r="L18" s="617">
        <v>100200</v>
      </c>
      <c r="M18" s="617"/>
      <c r="N18" s="617">
        <v>517675</v>
      </c>
      <c r="O18" s="617">
        <v>0</v>
      </c>
      <c r="P18" s="707">
        <v>0</v>
      </c>
      <c r="R18" s="617"/>
      <c r="S18" s="617">
        <f t="shared" si="1"/>
        <v>172063</v>
      </c>
      <c r="T18" s="438"/>
      <c r="U18" s="438"/>
      <c r="V18" s="620">
        <f t="shared" si="2"/>
        <v>7.8892805593102522E-2</v>
      </c>
      <c r="W18" s="623" t="s">
        <v>1566</v>
      </c>
      <c r="X18" s="624">
        <v>0.95</v>
      </c>
    </row>
    <row r="19" spans="1:24" ht="28.8" x14ac:dyDescent="0.3">
      <c r="A19" s="43" t="s">
        <v>52</v>
      </c>
      <c r="B19">
        <v>4</v>
      </c>
      <c r="C19" s="115">
        <v>8458821</v>
      </c>
      <c r="D19" s="115">
        <v>8456450</v>
      </c>
      <c r="F19" s="704" t="s">
        <v>52</v>
      </c>
      <c r="G19" s="438">
        <v>4</v>
      </c>
      <c r="H19" s="617">
        <v>8458821</v>
      </c>
      <c r="I19" s="617">
        <v>8456450</v>
      </c>
      <c r="J19" s="617">
        <v>1242583</v>
      </c>
      <c r="K19" s="617">
        <v>765400</v>
      </c>
      <c r="L19" s="617">
        <v>0</v>
      </c>
      <c r="M19" s="617">
        <v>357700</v>
      </c>
      <c r="N19" s="617">
        <v>1902000</v>
      </c>
      <c r="O19" s="617">
        <v>594250</v>
      </c>
      <c r="P19" s="707">
        <v>50000</v>
      </c>
      <c r="R19" s="617"/>
      <c r="S19" s="617">
        <f t="shared" si="1"/>
        <v>611558.33333333337</v>
      </c>
      <c r="T19" s="438"/>
      <c r="U19" s="438"/>
      <c r="V19" s="620">
        <f t="shared" si="2"/>
        <v>0.4921669887108816</v>
      </c>
      <c r="W19" s="623" t="s">
        <v>1568</v>
      </c>
      <c r="X19" s="624">
        <v>0.57999999999999996</v>
      </c>
    </row>
    <row r="20" spans="1:24" x14ac:dyDescent="0.3">
      <c r="A20" s="43" t="s">
        <v>53</v>
      </c>
      <c r="B20">
        <v>2</v>
      </c>
      <c r="C20" s="115">
        <v>8256454</v>
      </c>
      <c r="D20" s="115">
        <v>1388000</v>
      </c>
      <c r="F20" s="704" t="s">
        <v>53</v>
      </c>
      <c r="G20" s="438">
        <v>2</v>
      </c>
      <c r="H20" s="617">
        <v>8256454</v>
      </c>
      <c r="I20" s="617">
        <v>1388000</v>
      </c>
      <c r="J20" s="617">
        <v>582454</v>
      </c>
      <c r="K20" s="617">
        <v>315200</v>
      </c>
      <c r="L20" s="617">
        <v>77500</v>
      </c>
      <c r="M20" s="617">
        <v>80900</v>
      </c>
      <c r="N20" s="617">
        <v>320000</v>
      </c>
      <c r="O20" s="617">
        <v>0</v>
      </c>
      <c r="P20" s="707">
        <v>0</v>
      </c>
      <c r="R20" s="617"/>
      <c r="S20" s="617">
        <f t="shared" si="1"/>
        <v>132266.66666666666</v>
      </c>
      <c r="T20" s="438"/>
      <c r="U20" s="438"/>
      <c r="V20" s="620">
        <f t="shared" si="2"/>
        <v>0.22708517181900487</v>
      </c>
      <c r="W20" s="623" t="s">
        <v>1566</v>
      </c>
      <c r="X20" s="624">
        <v>0.55000000000000004</v>
      </c>
    </row>
    <row r="21" spans="1:24" x14ac:dyDescent="0.3">
      <c r="A21" s="269" t="s">
        <v>48</v>
      </c>
      <c r="B21" s="269">
        <v>131</v>
      </c>
      <c r="C21" s="269">
        <v>615390673.5</v>
      </c>
      <c r="D21" s="269">
        <v>771322345.24279702</v>
      </c>
      <c r="F21" s="253" t="s">
        <v>48</v>
      </c>
      <c r="G21" s="253">
        <v>131</v>
      </c>
      <c r="H21" s="253">
        <v>615390673.5</v>
      </c>
      <c r="I21" s="253">
        <v>771322345.24279714</v>
      </c>
      <c r="J21" s="253">
        <v>69401998</v>
      </c>
      <c r="K21" s="253">
        <v>49558370.099999994</v>
      </c>
      <c r="L21" s="253">
        <v>26554683.09</v>
      </c>
      <c r="M21" s="253">
        <v>44955559.199999996</v>
      </c>
      <c r="N21" s="253">
        <v>78011499.969999999</v>
      </c>
      <c r="O21" s="253">
        <v>26812441.129999999</v>
      </c>
      <c r="P21" s="266">
        <v>32900177.390000001</v>
      </c>
      <c r="S21" s="253">
        <f t="shared" si="1"/>
        <v>43132121.813333333</v>
      </c>
      <c r="V21" s="611">
        <f t="shared" si="2"/>
        <v>0.62148242206706117</v>
      </c>
      <c r="W21" s="115"/>
      <c r="X21" s="108">
        <v>0.66</v>
      </c>
    </row>
    <row r="22" spans="1:24" x14ac:dyDescent="0.3">
      <c r="A22" s="590"/>
      <c r="B22" s="590"/>
      <c r="C22" s="590"/>
      <c r="D22" s="590"/>
      <c r="F22" s="281"/>
      <c r="G22" s="281"/>
      <c r="H22" s="281"/>
      <c r="I22" s="592"/>
      <c r="J22" s="281"/>
      <c r="K22" s="281"/>
      <c r="L22" s="281"/>
      <c r="M22" s="281"/>
      <c r="N22" s="281"/>
      <c r="O22" s="281"/>
      <c r="P22" s="281"/>
      <c r="Q22" s="281"/>
      <c r="S22" s="281"/>
      <c r="V22" s="591"/>
      <c r="W22" s="115"/>
      <c r="X22" s="109"/>
    </row>
    <row r="23" spans="1:24" x14ac:dyDescent="0.3">
      <c r="A23" s="590"/>
      <c r="B23" s="590"/>
      <c r="C23" s="590"/>
      <c r="D23" s="590"/>
      <c r="F23" s="281"/>
      <c r="G23" s="281"/>
      <c r="H23" s="613">
        <f>+H21-H12</f>
        <v>388276229.5</v>
      </c>
      <c r="I23" s="613">
        <f t="shared" ref="I23:U23" si="3">+I21-I12</f>
        <v>557466143.57666683</v>
      </c>
      <c r="J23" s="613">
        <f t="shared" si="3"/>
        <v>49704532</v>
      </c>
      <c r="K23" s="613">
        <f t="shared" si="3"/>
        <v>42664918.61999999</v>
      </c>
      <c r="L23" s="613">
        <f t="shared" si="3"/>
        <v>25834939.600000001</v>
      </c>
      <c r="M23" s="613">
        <f t="shared" si="3"/>
        <v>44470592.199999996</v>
      </c>
      <c r="N23" s="613">
        <f t="shared" si="3"/>
        <v>73697890.969999999</v>
      </c>
      <c r="O23" s="613">
        <f t="shared" si="3"/>
        <v>20201168.629999999</v>
      </c>
      <c r="P23" s="613">
        <f t="shared" si="3"/>
        <v>26371185.390000001</v>
      </c>
      <c r="Q23" s="613">
        <f t="shared" si="3"/>
        <v>0</v>
      </c>
      <c r="R23" s="613">
        <f t="shared" si="3"/>
        <v>0</v>
      </c>
      <c r="S23" s="613">
        <f t="shared" si="3"/>
        <v>38873449.234999999</v>
      </c>
      <c r="T23" s="613">
        <f t="shared" si="3"/>
        <v>0</v>
      </c>
      <c r="U23" s="613">
        <f t="shared" si="3"/>
        <v>0</v>
      </c>
      <c r="V23" s="280">
        <f t="shared" si="2"/>
        <v>0.78209063984346539</v>
      </c>
      <c r="W23" s="115"/>
      <c r="X23" s="109"/>
    </row>
    <row r="24" spans="1:24" x14ac:dyDescent="0.3">
      <c r="A24" s="590"/>
      <c r="B24" s="590"/>
      <c r="C24" s="590"/>
      <c r="D24" s="590"/>
      <c r="F24" s="281"/>
      <c r="G24" s="281"/>
      <c r="H24" s="281"/>
      <c r="I24" s="592"/>
      <c r="J24" s="281"/>
      <c r="K24" s="281"/>
      <c r="L24" s="281"/>
      <c r="M24" s="281"/>
      <c r="N24" s="281"/>
      <c r="O24" s="281"/>
      <c r="P24" s="281"/>
      <c r="Q24" s="281"/>
      <c r="S24" s="281"/>
      <c r="V24" s="591"/>
      <c r="W24" s="115"/>
      <c r="X24" s="109"/>
    </row>
    <row r="25" spans="1:24" x14ac:dyDescent="0.3">
      <c r="A25" s="590"/>
      <c r="B25" s="590"/>
      <c r="C25" s="590"/>
      <c r="D25" s="590"/>
      <c r="F25" s="281"/>
      <c r="G25" s="281"/>
      <c r="H25" s="281"/>
      <c r="I25" s="592"/>
      <c r="J25" s="281"/>
      <c r="K25" s="281"/>
      <c r="L25" s="281"/>
      <c r="M25" s="281"/>
      <c r="N25" s="281"/>
      <c r="O25" s="281"/>
      <c r="P25" s="281"/>
      <c r="Q25" s="281"/>
      <c r="S25" s="281"/>
      <c r="V25" s="591"/>
      <c r="W25" s="115"/>
      <c r="X25" s="109"/>
    </row>
    <row r="26" spans="1:24" x14ac:dyDescent="0.3">
      <c r="A26" s="42" t="s">
        <v>0</v>
      </c>
      <c r="B26" t="s">
        <v>1</v>
      </c>
      <c r="C26" s="590"/>
      <c r="D26" s="590"/>
      <c r="F26" s="281"/>
      <c r="G26" s="281"/>
      <c r="H26" s="281"/>
      <c r="I26" s="592"/>
      <c r="J26" s="281"/>
      <c r="K26" s="281"/>
      <c r="L26" s="281"/>
      <c r="M26" s="281"/>
      <c r="N26" s="281"/>
      <c r="O26" s="281"/>
      <c r="P26" s="281"/>
      <c r="Q26" s="281"/>
      <c r="S26" s="281"/>
      <c r="V26" s="591"/>
      <c r="W26" s="115"/>
      <c r="X26" s="109"/>
    </row>
    <row r="27" spans="1:24" x14ac:dyDescent="0.3">
      <c r="V27"/>
    </row>
    <row r="28" spans="1:24" ht="33.6" customHeight="1" x14ac:dyDescent="0.3">
      <c r="A28" s="594" t="s">
        <v>202</v>
      </c>
      <c r="B28" s="594" t="s">
        <v>216</v>
      </c>
      <c r="C28" s="42" t="s">
        <v>1491</v>
      </c>
      <c r="D28" s="151" t="s">
        <v>39</v>
      </c>
      <c r="E28" s="151" t="s">
        <v>1377</v>
      </c>
      <c r="F28" s="104" t="s">
        <v>1552</v>
      </c>
      <c r="G28" t="s">
        <v>1480</v>
      </c>
      <c r="H28" t="s">
        <v>1481</v>
      </c>
      <c r="I28" t="s">
        <v>1482</v>
      </c>
      <c r="J28" t="s">
        <v>1483</v>
      </c>
      <c r="K28" t="s">
        <v>1484</v>
      </c>
      <c r="L28" t="s">
        <v>1490</v>
      </c>
      <c r="V28"/>
    </row>
    <row r="29" spans="1:24" x14ac:dyDescent="0.3">
      <c r="A29" t="s">
        <v>52</v>
      </c>
      <c r="B29" t="s">
        <v>117</v>
      </c>
      <c r="C29" t="s">
        <v>1494</v>
      </c>
      <c r="D29" s="115">
        <v>2270000</v>
      </c>
      <c r="E29" s="115">
        <v>2752000</v>
      </c>
      <c r="F29" s="115">
        <v>380500</v>
      </c>
      <c r="G29" s="115">
        <v>0</v>
      </c>
      <c r="H29" s="115">
        <v>0</v>
      </c>
      <c r="I29" s="115"/>
      <c r="J29" s="115">
        <v>1198000</v>
      </c>
      <c r="K29" s="115">
        <v>0</v>
      </c>
      <c r="L29" s="115">
        <v>-120000</v>
      </c>
      <c r="V29" s="108"/>
    </row>
    <row r="30" spans="1:24" x14ac:dyDescent="0.3">
      <c r="A30" t="s">
        <v>52</v>
      </c>
      <c r="B30" t="s">
        <v>84</v>
      </c>
      <c r="C30" t="s">
        <v>1501</v>
      </c>
      <c r="D30" s="115">
        <v>2164000</v>
      </c>
      <c r="E30" s="115">
        <v>2091600</v>
      </c>
      <c r="F30" s="115">
        <v>292900</v>
      </c>
      <c r="G30" s="115">
        <v>495400</v>
      </c>
      <c r="H30" s="115"/>
      <c r="I30" s="115">
        <v>357700</v>
      </c>
      <c r="J30" s="115">
        <v>135000</v>
      </c>
      <c r="K30" s="115">
        <v>225400</v>
      </c>
      <c r="L30" s="115">
        <v>0</v>
      </c>
      <c r="V30"/>
    </row>
    <row r="31" spans="1:24" x14ac:dyDescent="0.3">
      <c r="A31" t="s">
        <v>52</v>
      </c>
      <c r="B31" t="s">
        <v>59</v>
      </c>
      <c r="C31" t="s">
        <v>1494</v>
      </c>
      <c r="D31" s="115">
        <v>2120000</v>
      </c>
      <c r="E31" s="115">
        <v>3244000</v>
      </c>
      <c r="F31" s="115">
        <v>270000</v>
      </c>
      <c r="G31" s="115">
        <v>270000</v>
      </c>
      <c r="H31" s="115"/>
      <c r="I31" s="115"/>
      <c r="J31" s="115">
        <v>569000</v>
      </c>
      <c r="K31" s="115">
        <v>0</v>
      </c>
      <c r="L31" s="115">
        <v>170000</v>
      </c>
      <c r="N31">
        <f>137/213%</f>
        <v>64.319248826291087</v>
      </c>
      <c r="V31"/>
    </row>
    <row r="32" spans="1:24" x14ac:dyDescent="0.3">
      <c r="A32" t="s">
        <v>52</v>
      </c>
      <c r="B32" t="s">
        <v>137</v>
      </c>
      <c r="C32" t="s">
        <v>1531</v>
      </c>
      <c r="D32" s="115">
        <v>1904821</v>
      </c>
      <c r="E32" s="115">
        <v>368850</v>
      </c>
      <c r="F32" s="115">
        <v>299183</v>
      </c>
      <c r="G32" s="115"/>
      <c r="H32" s="115"/>
      <c r="I32" s="115"/>
      <c r="J32" s="115"/>
      <c r="K32" s="115">
        <v>368850</v>
      </c>
      <c r="L32" s="115"/>
      <c r="M32" s="107"/>
      <c r="N32" s="156">
        <f>N31-100</f>
        <v>-35.680751173708913</v>
      </c>
      <c r="O32" s="107"/>
      <c r="P32" s="107"/>
      <c r="Q32" s="107"/>
      <c r="R32" s="107"/>
      <c r="V32"/>
    </row>
    <row r="33" spans="9:22" x14ac:dyDescent="0.3">
      <c r="I33"/>
      <c r="M33" s="107"/>
      <c r="N33" s="156"/>
      <c r="O33" s="107"/>
      <c r="P33" s="107"/>
      <c r="Q33" s="107"/>
      <c r="R33" s="107"/>
      <c r="V33"/>
    </row>
    <row r="34" spans="9:22" x14ac:dyDescent="0.3">
      <c r="I34"/>
      <c r="M34" s="107"/>
      <c r="N34" s="156"/>
      <c r="O34" s="107"/>
      <c r="P34" s="107"/>
      <c r="Q34" s="107"/>
      <c r="R34" s="107"/>
      <c r="V34"/>
    </row>
    <row r="35" spans="9:22" x14ac:dyDescent="0.3">
      <c r="I35"/>
    </row>
    <row r="36" spans="9:22" x14ac:dyDescent="0.3">
      <c r="I36"/>
    </row>
    <row r="37" spans="9:22" x14ac:dyDescent="0.3">
      <c r="I37"/>
    </row>
    <row r="38" spans="9:22" x14ac:dyDescent="0.3">
      <c r="I38"/>
    </row>
    <row r="39" spans="9:22" x14ac:dyDescent="0.3">
      <c r="I39"/>
    </row>
    <row r="40" spans="9:22" x14ac:dyDescent="0.3">
      <c r="I40"/>
    </row>
    <row r="41" spans="9:22" x14ac:dyDescent="0.3">
      <c r="I41"/>
    </row>
    <row r="42" spans="9:22" x14ac:dyDescent="0.3">
      <c r="I42"/>
    </row>
    <row r="43" spans="9:22" x14ac:dyDescent="0.3">
      <c r="I43"/>
    </row>
    <row r="44" spans="9:22" x14ac:dyDescent="0.3">
      <c r="I44"/>
    </row>
    <row r="45" spans="9:22" x14ac:dyDescent="0.3">
      <c r="I45"/>
    </row>
    <row r="46" spans="9:22" x14ac:dyDescent="0.3">
      <c r="I46"/>
    </row>
    <row r="47" spans="9:22" x14ac:dyDescent="0.3">
      <c r="I47"/>
    </row>
    <row r="48" spans="9:22"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row r="168" spans="9:9" x14ac:dyDescent="0.3">
      <c r="I168"/>
    </row>
    <row r="169" spans="9:9" x14ac:dyDescent="0.3">
      <c r="I169"/>
    </row>
    <row r="170" spans="9:9" x14ac:dyDescent="0.3">
      <c r="I170"/>
    </row>
    <row r="171" spans="9:9" x14ac:dyDescent="0.3">
      <c r="I171"/>
    </row>
    <row r="172" spans="9:9" x14ac:dyDescent="0.3">
      <c r="I172"/>
    </row>
    <row r="173" spans="9:9" x14ac:dyDescent="0.3">
      <c r="I173"/>
    </row>
    <row r="174" spans="9:9" x14ac:dyDescent="0.3">
      <c r="I174"/>
    </row>
    <row r="175" spans="9:9" x14ac:dyDescent="0.3">
      <c r="I175"/>
    </row>
    <row r="176" spans="9:9" x14ac:dyDescent="0.3">
      <c r="I176"/>
    </row>
    <row r="177" spans="9:9" x14ac:dyDescent="0.3">
      <c r="I177"/>
    </row>
    <row r="178" spans="9:9" x14ac:dyDescent="0.3">
      <c r="I178"/>
    </row>
    <row r="179" spans="9:9" x14ac:dyDescent="0.3">
      <c r="I179"/>
    </row>
    <row r="180" spans="9:9" x14ac:dyDescent="0.3">
      <c r="I180"/>
    </row>
    <row r="181" spans="9:9" x14ac:dyDescent="0.3">
      <c r="I181"/>
    </row>
    <row r="182" spans="9:9" x14ac:dyDescent="0.3">
      <c r="I182"/>
    </row>
    <row r="183" spans="9:9" x14ac:dyDescent="0.3">
      <c r="I183"/>
    </row>
    <row r="184" spans="9:9" x14ac:dyDescent="0.3">
      <c r="I184"/>
    </row>
    <row r="185" spans="9:9" x14ac:dyDescent="0.3">
      <c r="I185"/>
    </row>
    <row r="186" spans="9:9" x14ac:dyDescent="0.3">
      <c r="I186"/>
    </row>
    <row r="187" spans="9:9" x14ac:dyDescent="0.3">
      <c r="I187"/>
    </row>
    <row r="188" spans="9:9" x14ac:dyDescent="0.3">
      <c r="I188"/>
    </row>
    <row r="189" spans="9:9" x14ac:dyDescent="0.3">
      <c r="I189"/>
    </row>
    <row r="190" spans="9:9" x14ac:dyDescent="0.3">
      <c r="I190"/>
    </row>
  </sheetData>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D7A9-4E84-4CE9-9FD1-362D0323673C}">
  <dimension ref="A2:R15"/>
  <sheetViews>
    <sheetView topLeftCell="A5" workbookViewId="0">
      <selection activeCell="R11" sqref="R11"/>
    </sheetView>
  </sheetViews>
  <sheetFormatPr defaultRowHeight="14.4" x14ac:dyDescent="0.3"/>
  <cols>
    <col min="1" max="1" width="12.44140625" bestFit="1" customWidth="1"/>
    <col min="2" max="2" width="8.77734375" bestFit="1" customWidth="1"/>
    <col min="3" max="4" width="12" bestFit="1" customWidth="1"/>
    <col min="5" max="5" width="10.77734375" customWidth="1"/>
    <col min="6" max="10" width="11" hidden="1" customWidth="1"/>
    <col min="11" max="11" width="10.109375" hidden="1" customWidth="1"/>
    <col min="12" max="12" width="11" hidden="1" customWidth="1"/>
    <col min="13" max="13" width="8.88671875" hidden="1" customWidth="1"/>
    <col min="14" max="14" width="10.77734375" customWidth="1"/>
    <col min="15" max="16" width="8.88671875" hidden="1" customWidth="1"/>
    <col min="17" max="17" width="7.6640625" bestFit="1" customWidth="1"/>
    <col min="18" max="18" width="75.5546875" customWidth="1"/>
  </cols>
  <sheetData>
    <row r="2" spans="1:18" x14ac:dyDescent="0.3">
      <c r="L2" t="s">
        <v>1613</v>
      </c>
    </row>
    <row r="5" spans="1:18" ht="57.6" x14ac:dyDescent="0.3">
      <c r="A5" s="247" t="s">
        <v>19</v>
      </c>
      <c r="B5" s="247" t="s">
        <v>40</v>
      </c>
      <c r="C5" s="247" t="s">
        <v>39</v>
      </c>
      <c r="D5" s="248" t="s">
        <v>1377</v>
      </c>
      <c r="E5" s="248" t="s">
        <v>41</v>
      </c>
      <c r="F5" s="247" t="s">
        <v>1480</v>
      </c>
      <c r="G5" s="247" t="s">
        <v>1481</v>
      </c>
      <c r="H5" s="247" t="s">
        <v>1482</v>
      </c>
      <c r="I5" s="247" t="s">
        <v>1483</v>
      </c>
      <c r="J5" s="247" t="s">
        <v>1484</v>
      </c>
      <c r="K5" s="247" t="s">
        <v>1549</v>
      </c>
      <c r="L5" s="247" t="s">
        <v>1486</v>
      </c>
      <c r="N5" s="247" t="s">
        <v>1485</v>
      </c>
      <c r="Q5" s="247" t="s">
        <v>47</v>
      </c>
      <c r="R5" s="247" t="s">
        <v>213</v>
      </c>
    </row>
    <row r="6" spans="1:18" ht="28.8" x14ac:dyDescent="0.3">
      <c r="A6" s="616" t="s">
        <v>21</v>
      </c>
      <c r="B6" s="438">
        <v>20</v>
      </c>
      <c r="C6" s="617">
        <v>212668044</v>
      </c>
      <c r="D6" s="617">
        <v>212358985.6661303</v>
      </c>
      <c r="E6" s="617">
        <v>18841866</v>
      </c>
      <c r="F6" s="617">
        <v>6893451.4800000004</v>
      </c>
      <c r="G6" s="617">
        <v>719743.49</v>
      </c>
      <c r="H6" s="617">
        <v>484967</v>
      </c>
      <c r="I6" s="617">
        <v>4313609</v>
      </c>
      <c r="J6" s="617">
        <v>6055272.5</v>
      </c>
      <c r="K6" s="618">
        <v>6528992</v>
      </c>
      <c r="L6" s="617">
        <v>6357241.7816071426</v>
      </c>
      <c r="M6" s="617"/>
      <c r="N6" s="617">
        <v>4166005.9116666666</v>
      </c>
      <c r="O6" s="438"/>
      <c r="P6" s="438"/>
      <c r="Q6" s="619">
        <v>0.22110368005306197</v>
      </c>
      <c r="R6" s="621" t="s">
        <v>1610</v>
      </c>
    </row>
    <row r="7" spans="1:18" ht="72" x14ac:dyDescent="0.3">
      <c r="A7" s="616" t="s">
        <v>24</v>
      </c>
      <c r="B7" s="438">
        <v>30</v>
      </c>
      <c r="C7" s="617">
        <v>120366352</v>
      </c>
      <c r="D7" s="617">
        <v>165207270.07999998</v>
      </c>
      <c r="E7" s="617">
        <v>17430548</v>
      </c>
      <c r="F7" s="617">
        <v>10367703</v>
      </c>
      <c r="G7" s="617">
        <v>12168544</v>
      </c>
      <c r="H7" s="617">
        <v>8311780</v>
      </c>
      <c r="I7" s="617">
        <v>24240888.5</v>
      </c>
      <c r="J7" s="617">
        <v>4120656</v>
      </c>
      <c r="K7" s="618">
        <v>12227814.000000002</v>
      </c>
      <c r="L7" s="617">
        <v>15207919.177539682</v>
      </c>
      <c r="M7" s="617"/>
      <c r="N7" s="617">
        <v>11906230.916666666</v>
      </c>
      <c r="O7" s="438"/>
      <c r="P7" s="438"/>
      <c r="Q7" s="620">
        <v>0.68306693034933075</v>
      </c>
      <c r="R7" s="622" t="s">
        <v>1611</v>
      </c>
    </row>
    <row r="8" spans="1:18" x14ac:dyDescent="0.3">
      <c r="A8" s="616" t="s">
        <v>49</v>
      </c>
      <c r="B8" s="438">
        <v>19</v>
      </c>
      <c r="C8" s="617">
        <v>96440445</v>
      </c>
      <c r="D8" s="617">
        <v>167478219.86000001</v>
      </c>
      <c r="E8" s="617">
        <v>9353845</v>
      </c>
      <c r="F8" s="617">
        <v>9527183.9000000004</v>
      </c>
      <c r="G8" s="617">
        <v>8900891.5999999996</v>
      </c>
      <c r="H8" s="617">
        <v>18081430.199999999</v>
      </c>
      <c r="I8" s="617">
        <v>14818165.670000002</v>
      </c>
      <c r="J8" s="617">
        <v>13351511.630000001</v>
      </c>
      <c r="K8" s="618">
        <v>3753765.4</v>
      </c>
      <c r="L8" s="617">
        <v>9889545.443373017</v>
      </c>
      <c r="M8" s="617"/>
      <c r="N8" s="617">
        <v>11405491.4</v>
      </c>
      <c r="O8" s="438"/>
      <c r="P8" s="438"/>
      <c r="Q8" s="620">
        <v>1.2193372244248222</v>
      </c>
      <c r="R8" s="623" t="s">
        <v>1603</v>
      </c>
    </row>
    <row r="9" spans="1:18" ht="43.2" x14ac:dyDescent="0.3">
      <c r="A9" s="616" t="s">
        <v>51</v>
      </c>
      <c r="B9" s="438">
        <v>8</v>
      </c>
      <c r="C9" s="617">
        <v>46301837.5</v>
      </c>
      <c r="D9" s="617">
        <v>71428894.180000007</v>
      </c>
      <c r="E9" s="617">
        <v>10897077</v>
      </c>
      <c r="F9" s="617">
        <v>3882221.3</v>
      </c>
      <c r="G9" s="617">
        <v>3066304</v>
      </c>
      <c r="H9" s="617">
        <v>5501600</v>
      </c>
      <c r="I9" s="617">
        <v>23396091.800000001</v>
      </c>
      <c r="J9" s="617">
        <v>664600</v>
      </c>
      <c r="K9" s="618">
        <v>1134483.3400000001</v>
      </c>
      <c r="L9" s="617">
        <v>6171016.0028571431</v>
      </c>
      <c r="M9" s="617"/>
      <c r="N9" s="617">
        <v>6274216.7400000012</v>
      </c>
      <c r="O9" s="438"/>
      <c r="P9" s="438"/>
      <c r="Q9" s="620">
        <v>0.5757706162854499</v>
      </c>
      <c r="R9" s="623" t="s">
        <v>1604</v>
      </c>
    </row>
    <row r="10" spans="1:18" ht="28.8" x14ac:dyDescent="0.3">
      <c r="A10" s="616" t="s">
        <v>22</v>
      </c>
      <c r="B10" s="438">
        <v>27</v>
      </c>
      <c r="C10" s="617">
        <v>40195418.999999985</v>
      </c>
      <c r="D10" s="617">
        <v>93138486.359999999</v>
      </c>
      <c r="E10" s="617">
        <v>4411983</v>
      </c>
      <c r="F10" s="617">
        <v>10967143.620000001</v>
      </c>
      <c r="G10" s="617">
        <v>304000</v>
      </c>
      <c r="H10" s="617">
        <v>11431786</v>
      </c>
      <c r="I10" s="617">
        <v>7391170.0000000009</v>
      </c>
      <c r="J10" s="617">
        <v>0</v>
      </c>
      <c r="K10" s="618">
        <v>9392346.8000000007</v>
      </c>
      <c r="L10" s="617">
        <v>10294430.066404764</v>
      </c>
      <c r="M10" s="617"/>
      <c r="N10" s="617">
        <v>6581074.4033333333</v>
      </c>
      <c r="O10" s="438"/>
      <c r="P10" s="438"/>
      <c r="Q10" s="620">
        <v>1.4916363919202167</v>
      </c>
      <c r="R10" s="623" t="s">
        <v>1605</v>
      </c>
    </row>
    <row r="11" spans="1:18" ht="30.6" customHeight="1" x14ac:dyDescent="0.3">
      <c r="A11" s="616" t="s">
        <v>25</v>
      </c>
      <c r="B11" s="438">
        <f>14+20</f>
        <v>34</v>
      </c>
      <c r="C11" s="617">
        <v>37579001</v>
      </c>
      <c r="D11" s="617">
        <v>29557681.989999998</v>
      </c>
      <c r="E11" s="617">
        <v>3429621</v>
      </c>
      <c r="F11" s="617">
        <v>5534426.7999999998</v>
      </c>
      <c r="G11" s="617">
        <v>130300</v>
      </c>
      <c r="H11" s="617">
        <v>355396</v>
      </c>
      <c r="I11" s="617">
        <v>1039900</v>
      </c>
      <c r="J11" s="617">
        <v>2052490.9999999998</v>
      </c>
      <c r="K11" s="618">
        <v>1700989.25</v>
      </c>
      <c r="L11" s="617">
        <v>3085203.0294444449</v>
      </c>
      <c r="M11" s="617"/>
      <c r="N11" s="617">
        <v>1802250.5083333331</v>
      </c>
      <c r="O11" s="438"/>
      <c r="P11" s="438"/>
      <c r="Q11" s="620">
        <v>0.52549553094447843</v>
      </c>
      <c r="R11" s="623" t="s">
        <v>1615</v>
      </c>
    </row>
    <row r="12" spans="1:18" x14ac:dyDescent="0.3">
      <c r="A12" s="616" t="s">
        <v>50</v>
      </c>
      <c r="B12" s="438">
        <v>4</v>
      </c>
      <c r="C12" s="617">
        <v>28717900</v>
      </c>
      <c r="D12" s="617">
        <v>3565461.55</v>
      </c>
      <c r="E12" s="617">
        <v>2180972</v>
      </c>
      <c r="F12" s="617">
        <v>242440</v>
      </c>
      <c r="G12" s="617">
        <v>100200</v>
      </c>
      <c r="H12" s="617"/>
      <c r="I12" s="617">
        <v>517675</v>
      </c>
      <c r="J12" s="617">
        <v>0</v>
      </c>
      <c r="K12" s="618">
        <v>0</v>
      </c>
      <c r="L12" s="617">
        <v>417866.59523809527</v>
      </c>
      <c r="M12" s="617"/>
      <c r="N12" s="617">
        <v>172063</v>
      </c>
      <c r="O12" s="438"/>
      <c r="P12" s="438"/>
      <c r="Q12" s="620">
        <v>7.8892805593102522E-2</v>
      </c>
      <c r="R12" s="623" t="s">
        <v>1614</v>
      </c>
    </row>
    <row r="13" spans="1:18" ht="43.2" x14ac:dyDescent="0.3">
      <c r="A13" s="616" t="s">
        <v>52</v>
      </c>
      <c r="B13" s="438">
        <v>4</v>
      </c>
      <c r="C13" s="617">
        <v>8458821</v>
      </c>
      <c r="D13" s="617">
        <v>8336450</v>
      </c>
      <c r="E13" s="617">
        <v>1242583</v>
      </c>
      <c r="F13" s="617">
        <v>765400</v>
      </c>
      <c r="G13" s="617">
        <v>0</v>
      </c>
      <c r="H13" s="617">
        <v>357700</v>
      </c>
      <c r="I13" s="617">
        <v>1902000</v>
      </c>
      <c r="J13" s="617">
        <v>594250</v>
      </c>
      <c r="K13" s="618">
        <v>50000</v>
      </c>
      <c r="L13" s="617">
        <v>989759.52380952379</v>
      </c>
      <c r="M13" s="617"/>
      <c r="N13" s="617">
        <v>611558.33333333337</v>
      </c>
      <c r="O13" s="438"/>
      <c r="P13" s="438"/>
      <c r="Q13" s="620">
        <v>0.4921669887108816</v>
      </c>
      <c r="R13" s="623" t="s">
        <v>1618</v>
      </c>
    </row>
    <row r="14" spans="1:18" x14ac:dyDescent="0.3">
      <c r="A14" s="616" t="s">
        <v>53</v>
      </c>
      <c r="B14" s="438">
        <v>2</v>
      </c>
      <c r="C14" s="617">
        <v>8256454</v>
      </c>
      <c r="D14" s="617">
        <v>1388000</v>
      </c>
      <c r="E14" s="617">
        <v>582454</v>
      </c>
      <c r="F14" s="617">
        <v>315200</v>
      </c>
      <c r="G14" s="617">
        <v>77500</v>
      </c>
      <c r="H14" s="617">
        <v>80900</v>
      </c>
      <c r="I14" s="617">
        <v>320000</v>
      </c>
      <c r="J14" s="617">
        <v>0</v>
      </c>
      <c r="K14" s="618">
        <v>0</v>
      </c>
      <c r="L14" s="617">
        <v>260241.66666666666</v>
      </c>
      <c r="M14" s="617"/>
      <c r="N14" s="617">
        <v>132266.66666666666</v>
      </c>
      <c r="O14" s="438"/>
      <c r="P14" s="438"/>
      <c r="Q14" s="620">
        <v>0.22708517181900487</v>
      </c>
      <c r="R14" s="623" t="s">
        <v>1614</v>
      </c>
    </row>
    <row r="15" spans="1:18" x14ac:dyDescent="0.3">
      <c r="A15" s="253" t="s">
        <v>48</v>
      </c>
      <c r="B15" s="253">
        <v>128</v>
      </c>
      <c r="C15" s="253">
        <v>598984273.5</v>
      </c>
      <c r="D15" s="253">
        <v>752459449.68613052</v>
      </c>
      <c r="E15" s="253">
        <v>68370949</v>
      </c>
      <c r="F15" s="253">
        <v>48495170.099999994</v>
      </c>
      <c r="G15" s="253">
        <v>25467483.09</v>
      </c>
      <c r="H15" s="253">
        <v>44605559.199999996</v>
      </c>
      <c r="I15" s="253">
        <v>77939499.969999999</v>
      </c>
      <c r="J15" s="253">
        <v>26838781.129999999</v>
      </c>
      <c r="K15" s="266">
        <v>34788390.790000007</v>
      </c>
      <c r="L15" s="253">
        <v>52673223.286940485</v>
      </c>
      <c r="N15" s="253">
        <v>43022480.713333331</v>
      </c>
      <c r="Q15" s="611">
        <v>0.62925089299745318</v>
      </c>
      <c r="R15" s="1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8470D-9D50-4A0B-B3DB-ABEB8C3A29A6}">
  <dimension ref="A1:X167"/>
  <sheetViews>
    <sheetView showGridLines="0" zoomScale="90" zoomScaleNormal="90" workbookViewId="0">
      <selection activeCell="C2" sqref="C2"/>
    </sheetView>
  </sheetViews>
  <sheetFormatPr defaultRowHeight="14.4" x14ac:dyDescent="0.3"/>
  <cols>
    <col min="1" max="1" width="12.109375" bestFit="1" customWidth="1"/>
    <col min="2" max="2" width="66.77734375" bestFit="1" customWidth="1"/>
    <col min="3" max="3" width="58.77734375" bestFit="1" customWidth="1"/>
    <col min="4" max="4" width="16.109375" bestFit="1" customWidth="1"/>
    <col min="5" max="5" width="18.21875" bestFit="1" customWidth="1"/>
    <col min="6" max="6" width="13.44140625" customWidth="1"/>
    <col min="7" max="7" width="17.5546875" bestFit="1" customWidth="1"/>
    <col min="8" max="8" width="13.33203125" bestFit="1" customWidth="1"/>
    <col min="9" max="9" width="13.33203125" style="107" bestFit="1" customWidth="1"/>
    <col min="10" max="15" width="12.21875" bestFit="1" customWidth="1"/>
    <col min="16" max="16" width="11" bestFit="1" customWidth="1"/>
    <col min="17" max="17" width="13.21875" bestFit="1" customWidth="1"/>
    <col min="18" max="18" width="15.77734375" hidden="1" customWidth="1"/>
    <col min="19" max="19" width="12.33203125" bestFit="1" customWidth="1"/>
    <col min="20" max="21" width="13.44140625" hidden="1" customWidth="1"/>
    <col min="22" max="22" width="12.88671875" style="107" customWidth="1"/>
    <col min="23" max="23" width="53" customWidth="1"/>
    <col min="24" max="24" width="16.109375" bestFit="1" customWidth="1"/>
    <col min="25" max="25" width="15" bestFit="1" customWidth="1"/>
    <col min="26" max="26" width="16.109375" bestFit="1" customWidth="1"/>
  </cols>
  <sheetData>
    <row r="1" spans="1:24" ht="33.6" x14ac:dyDescent="0.65">
      <c r="B1" s="714" t="s">
        <v>1705</v>
      </c>
    </row>
    <row r="2" spans="1:24" ht="15.6" x14ac:dyDescent="0.3">
      <c r="B2" s="715" t="s">
        <v>1706</v>
      </c>
    </row>
    <row r="3" spans="1:24" hidden="1" x14ac:dyDescent="0.3">
      <c r="A3" s="42" t="s">
        <v>0</v>
      </c>
      <c r="B3" t="s">
        <v>1</v>
      </c>
      <c r="C3" s="590"/>
      <c r="D3" s="590"/>
      <c r="F3" s="281"/>
      <c r="G3" s="281"/>
      <c r="H3" s="281"/>
      <c r="I3" s="592"/>
      <c r="J3" s="281"/>
      <c r="K3" s="281"/>
      <c r="L3" s="281"/>
      <c r="M3" s="281"/>
      <c r="N3" s="281"/>
      <c r="O3" s="281"/>
      <c r="P3" s="281"/>
      <c r="Q3" s="281"/>
      <c r="S3" s="281"/>
      <c r="V3" s="591"/>
      <c r="W3" s="115"/>
      <c r="X3" s="109"/>
    </row>
    <row r="4" spans="1:24" x14ac:dyDescent="0.3">
      <c r="V4"/>
    </row>
    <row r="5" spans="1:24" ht="52.2" customHeight="1" x14ac:dyDescent="0.3">
      <c r="A5" s="614" t="s">
        <v>202</v>
      </c>
      <c r="B5" s="614" t="s">
        <v>216</v>
      </c>
      <c r="C5" s="614" t="s">
        <v>1687</v>
      </c>
      <c r="D5" s="614" t="s">
        <v>39</v>
      </c>
      <c r="E5" s="614" t="s">
        <v>1377</v>
      </c>
      <c r="F5" s="614" t="s">
        <v>1552</v>
      </c>
      <c r="G5" s="614" t="s">
        <v>1481</v>
      </c>
      <c r="H5" s="614" t="s">
        <v>1482</v>
      </c>
      <c r="I5" s="614" t="s">
        <v>1483</v>
      </c>
      <c r="J5" s="614" t="s">
        <v>1484</v>
      </c>
      <c r="K5" s="614" t="s">
        <v>1490</v>
      </c>
      <c r="L5" s="614" t="s">
        <v>1699</v>
      </c>
      <c r="M5" s="608" t="s">
        <v>1567</v>
      </c>
      <c r="N5" s="608" t="s">
        <v>1703</v>
      </c>
      <c r="V5"/>
    </row>
    <row r="6" spans="1:24" x14ac:dyDescent="0.3">
      <c r="A6" t="s">
        <v>21</v>
      </c>
      <c r="B6" t="s">
        <v>138</v>
      </c>
      <c r="C6" t="s">
        <v>1505</v>
      </c>
      <c r="D6" s="115">
        <v>25027938</v>
      </c>
      <c r="E6" s="115">
        <v>6462518.4299999997</v>
      </c>
      <c r="F6" s="115">
        <v>2885447</v>
      </c>
      <c r="G6" s="115">
        <v>0</v>
      </c>
      <c r="H6" s="115">
        <v>0</v>
      </c>
      <c r="I6" s="115">
        <v>1849806</v>
      </c>
      <c r="J6" s="115">
        <v>0</v>
      </c>
      <c r="K6" s="115">
        <v>1541262</v>
      </c>
      <c r="L6" s="115"/>
      <c r="M6" s="115">
        <f>IFERROR(AVERAGE(G6:L6),0)</f>
        <v>678213.6</v>
      </c>
      <c r="N6" s="108">
        <f>M6/F6</f>
        <v>0.23504628572280134</v>
      </c>
      <c r="V6" s="108"/>
    </row>
    <row r="7" spans="1:24" x14ac:dyDescent="0.3">
      <c r="A7" t="s">
        <v>21</v>
      </c>
      <c r="B7" t="s">
        <v>58</v>
      </c>
      <c r="C7" t="s">
        <v>1493</v>
      </c>
      <c r="D7" s="115">
        <v>18831680</v>
      </c>
      <c r="E7" s="115">
        <v>93756678.099999994</v>
      </c>
      <c r="F7" s="115">
        <v>2459926</v>
      </c>
      <c r="G7" s="115"/>
      <c r="H7" s="115"/>
      <c r="I7" s="115">
        <v>2463803</v>
      </c>
      <c r="J7" s="115">
        <v>4416842</v>
      </c>
      <c r="K7" s="115">
        <v>3493108</v>
      </c>
      <c r="L7" s="115">
        <v>192712</v>
      </c>
      <c r="M7" s="115">
        <f t="shared" ref="M7:M70" si="0">IFERROR(AVERAGE(G7:L7),0)</f>
        <v>2641616.25</v>
      </c>
      <c r="N7" s="108">
        <f t="shared" ref="N7:N24" si="1">M7/F7</f>
        <v>1.0738600470095443</v>
      </c>
      <c r="V7"/>
    </row>
    <row r="8" spans="1:24" x14ac:dyDescent="0.3">
      <c r="A8" t="s">
        <v>21</v>
      </c>
      <c r="B8" t="s">
        <v>115</v>
      </c>
      <c r="C8" t="s">
        <v>1644</v>
      </c>
      <c r="D8" s="115">
        <v>18824399</v>
      </c>
      <c r="E8" s="115">
        <v>5158999.5561303068</v>
      </c>
      <c r="F8" s="115">
        <v>1550725</v>
      </c>
      <c r="G8" s="115"/>
      <c r="H8" s="115">
        <v>167883.5</v>
      </c>
      <c r="I8" s="115"/>
      <c r="J8" s="115">
        <v>24300</v>
      </c>
      <c r="K8" s="115">
        <v>328038.5</v>
      </c>
      <c r="L8" s="115">
        <v>126481</v>
      </c>
      <c r="M8" s="115">
        <f t="shared" si="0"/>
        <v>161675.75</v>
      </c>
      <c r="N8" s="108">
        <f t="shared" si="1"/>
        <v>0.10425816956584823</v>
      </c>
      <c r="V8"/>
    </row>
    <row r="9" spans="1:24" x14ac:dyDescent="0.3">
      <c r="A9" t="s">
        <v>21</v>
      </c>
      <c r="B9" t="s">
        <v>111</v>
      </c>
      <c r="C9" t="s">
        <v>1681</v>
      </c>
      <c r="D9" s="115">
        <v>18808000</v>
      </c>
      <c r="E9" s="115">
        <v>9998644.8000000007</v>
      </c>
      <c r="F9" s="115">
        <v>3123750</v>
      </c>
      <c r="G9" s="115">
        <v>0</v>
      </c>
      <c r="H9" s="115"/>
      <c r="I9" s="115"/>
      <c r="J9" s="115">
        <v>0</v>
      </c>
      <c r="K9" s="115">
        <v>0</v>
      </c>
      <c r="L9" s="115">
        <v>0</v>
      </c>
      <c r="M9" s="115">
        <f t="shared" si="0"/>
        <v>0</v>
      </c>
      <c r="N9" s="108">
        <f t="shared" si="1"/>
        <v>0</v>
      </c>
      <c r="O9" s="107"/>
      <c r="P9" s="107"/>
      <c r="Q9" s="107"/>
      <c r="R9" s="107"/>
      <c r="V9"/>
    </row>
    <row r="10" spans="1:24" x14ac:dyDescent="0.3">
      <c r="A10" t="s">
        <v>21</v>
      </c>
      <c r="B10" t="s">
        <v>75</v>
      </c>
      <c r="C10" t="s">
        <v>1643</v>
      </c>
      <c r="D10" s="115">
        <v>16465883</v>
      </c>
      <c r="E10" s="115">
        <v>7362783.54</v>
      </c>
      <c r="F10" s="115">
        <v>864628</v>
      </c>
      <c r="G10" s="115">
        <v>0</v>
      </c>
      <c r="H10" s="115">
        <v>0</v>
      </c>
      <c r="I10" s="115"/>
      <c r="J10" s="115">
        <v>0</v>
      </c>
      <c r="K10" s="115">
        <v>0</v>
      </c>
      <c r="L10" s="115">
        <v>0</v>
      </c>
      <c r="M10" s="115">
        <f t="shared" si="0"/>
        <v>0</v>
      </c>
      <c r="N10" s="108">
        <f t="shared" si="1"/>
        <v>0</v>
      </c>
      <c r="O10" s="107"/>
      <c r="P10" s="107"/>
      <c r="Q10" s="107"/>
      <c r="R10" s="107"/>
      <c r="V10"/>
    </row>
    <row r="11" spans="1:24" x14ac:dyDescent="0.3">
      <c r="A11" t="s">
        <v>21</v>
      </c>
      <c r="B11" t="s">
        <v>83</v>
      </c>
      <c r="C11" t="s">
        <v>1695</v>
      </c>
      <c r="D11" s="115">
        <v>14446400</v>
      </c>
      <c r="E11" s="115">
        <v>1116500</v>
      </c>
      <c r="F11" s="115">
        <v>855600</v>
      </c>
      <c r="G11" s="115"/>
      <c r="H11" s="115"/>
      <c r="I11" s="115"/>
      <c r="J11" s="115">
        <v>647500</v>
      </c>
      <c r="K11" s="115"/>
      <c r="L11" s="115"/>
      <c r="M11" s="115">
        <f t="shared" si="0"/>
        <v>647500</v>
      </c>
      <c r="N11" s="108">
        <f t="shared" si="1"/>
        <v>0.75677886863020105</v>
      </c>
      <c r="O11" s="107"/>
      <c r="P11" s="107"/>
      <c r="Q11" s="107"/>
      <c r="R11" s="107"/>
      <c r="V11"/>
    </row>
    <row r="12" spans="1:24" x14ac:dyDescent="0.3">
      <c r="A12" t="s">
        <v>21</v>
      </c>
      <c r="B12" t="s">
        <v>146</v>
      </c>
      <c r="C12" t="s">
        <v>1695</v>
      </c>
      <c r="D12" s="115">
        <v>14446400</v>
      </c>
      <c r="E12" s="115">
        <v>999000</v>
      </c>
      <c r="F12" s="115">
        <v>855600</v>
      </c>
      <c r="G12" s="115"/>
      <c r="H12" s="115"/>
      <c r="I12" s="115"/>
      <c r="J12" s="115">
        <v>556000</v>
      </c>
      <c r="K12" s="115"/>
      <c r="L12" s="115"/>
      <c r="M12" s="115">
        <f t="shared" si="0"/>
        <v>556000</v>
      </c>
      <c r="N12" s="108">
        <f t="shared" si="1"/>
        <v>0.64983637213651235</v>
      </c>
    </row>
    <row r="13" spans="1:24" x14ac:dyDescent="0.3">
      <c r="A13" t="s">
        <v>21</v>
      </c>
      <c r="B13" t="s">
        <v>98</v>
      </c>
      <c r="C13" t="s">
        <v>1679</v>
      </c>
      <c r="D13" s="115">
        <v>14396400</v>
      </c>
      <c r="E13" s="115">
        <v>1686228</v>
      </c>
      <c r="F13" s="115">
        <v>984486</v>
      </c>
      <c r="G13" s="115">
        <v>0</v>
      </c>
      <c r="H13" s="115"/>
      <c r="I13" s="115"/>
      <c r="J13" s="115">
        <v>0</v>
      </c>
      <c r="K13" s="115">
        <v>0</v>
      </c>
      <c r="L13" s="115">
        <v>0</v>
      </c>
      <c r="M13" s="115">
        <f t="shared" si="0"/>
        <v>0</v>
      </c>
      <c r="N13" s="108">
        <f t="shared" si="1"/>
        <v>0</v>
      </c>
    </row>
    <row r="14" spans="1:24" x14ac:dyDescent="0.3">
      <c r="A14" t="s">
        <v>21</v>
      </c>
      <c r="B14" t="s">
        <v>114</v>
      </c>
      <c r="C14" t="s">
        <v>1645</v>
      </c>
      <c r="D14" s="115">
        <v>9412200</v>
      </c>
      <c r="E14" s="115">
        <v>8472834.4199999999</v>
      </c>
      <c r="F14" s="115">
        <v>507479</v>
      </c>
      <c r="G14" s="115"/>
      <c r="H14" s="115"/>
      <c r="I14" s="115"/>
      <c r="J14" s="115"/>
      <c r="K14" s="115"/>
      <c r="L14" s="115"/>
      <c r="M14" s="115">
        <f t="shared" si="0"/>
        <v>0</v>
      </c>
      <c r="N14" s="108">
        <f t="shared" si="1"/>
        <v>0</v>
      </c>
    </row>
    <row r="15" spans="1:24" x14ac:dyDescent="0.3">
      <c r="A15" t="s">
        <v>21</v>
      </c>
      <c r="B15" t="s">
        <v>96</v>
      </c>
      <c r="C15" t="s">
        <v>1645</v>
      </c>
      <c r="D15" s="115">
        <v>9412200</v>
      </c>
      <c r="E15" s="115">
        <v>8521068.0399999991</v>
      </c>
      <c r="F15" s="115">
        <v>504629</v>
      </c>
      <c r="G15" s="115"/>
      <c r="H15" s="115"/>
      <c r="I15" s="115"/>
      <c r="J15" s="115"/>
      <c r="K15" s="115"/>
      <c r="L15" s="115"/>
      <c r="M15" s="115">
        <f t="shared" si="0"/>
        <v>0</v>
      </c>
      <c r="N15" s="108">
        <f t="shared" si="1"/>
        <v>0</v>
      </c>
    </row>
    <row r="16" spans="1:24" x14ac:dyDescent="0.3">
      <c r="A16" t="s">
        <v>21</v>
      </c>
      <c r="B16" t="s">
        <v>110</v>
      </c>
      <c r="C16" t="s">
        <v>1641</v>
      </c>
      <c r="D16" s="115">
        <v>9297200</v>
      </c>
      <c r="E16" s="115">
        <v>19584358.120000001</v>
      </c>
      <c r="F16" s="115">
        <v>829374</v>
      </c>
      <c r="G16" s="115"/>
      <c r="H16" s="115"/>
      <c r="I16" s="115"/>
      <c r="J16" s="115">
        <v>0</v>
      </c>
      <c r="K16" s="115">
        <v>0</v>
      </c>
      <c r="L16" s="115">
        <v>0</v>
      </c>
      <c r="M16" s="115">
        <f t="shared" si="0"/>
        <v>0</v>
      </c>
      <c r="N16" s="108">
        <f t="shared" si="1"/>
        <v>0</v>
      </c>
    </row>
    <row r="17" spans="1:17" x14ac:dyDescent="0.3">
      <c r="A17" t="s">
        <v>21</v>
      </c>
      <c r="B17" t="s">
        <v>133</v>
      </c>
      <c r="C17" t="s">
        <v>1645</v>
      </c>
      <c r="D17" s="115">
        <v>8595000</v>
      </c>
      <c r="E17" s="115">
        <v>8117293.96</v>
      </c>
      <c r="F17" s="115">
        <v>424250</v>
      </c>
      <c r="G17" s="115"/>
      <c r="H17" s="115"/>
      <c r="I17" s="115"/>
      <c r="J17" s="115"/>
      <c r="K17" s="115"/>
      <c r="L17" s="115"/>
      <c r="M17" s="115">
        <f t="shared" si="0"/>
        <v>0</v>
      </c>
      <c r="N17" s="108">
        <f t="shared" si="1"/>
        <v>0</v>
      </c>
    </row>
    <row r="18" spans="1:17" x14ac:dyDescent="0.3">
      <c r="A18" t="s">
        <v>21</v>
      </c>
      <c r="B18" t="s">
        <v>80</v>
      </c>
      <c r="C18" t="s">
        <v>1645</v>
      </c>
      <c r="D18" s="115">
        <v>8595000</v>
      </c>
      <c r="E18" s="115">
        <v>8910802.5800000001</v>
      </c>
      <c r="F18" s="115">
        <v>529967</v>
      </c>
      <c r="G18" s="115"/>
      <c r="H18" s="115"/>
      <c r="I18" s="115"/>
      <c r="J18" s="115"/>
      <c r="K18" s="115"/>
      <c r="L18" s="115"/>
      <c r="M18" s="115">
        <f t="shared" si="0"/>
        <v>0</v>
      </c>
      <c r="N18" s="108">
        <f t="shared" si="1"/>
        <v>0</v>
      </c>
    </row>
    <row r="19" spans="1:17" x14ac:dyDescent="0.3">
      <c r="A19" t="s">
        <v>21</v>
      </c>
      <c r="B19" t="s">
        <v>116</v>
      </c>
      <c r="C19" t="s">
        <v>1644</v>
      </c>
      <c r="D19" s="115">
        <v>8002112</v>
      </c>
      <c r="E19" s="115">
        <v>2647002</v>
      </c>
      <c r="F19" s="115">
        <v>497587</v>
      </c>
      <c r="G19" s="115"/>
      <c r="H19" s="115">
        <v>167883.5</v>
      </c>
      <c r="I19" s="115"/>
      <c r="J19" s="115">
        <v>24300</v>
      </c>
      <c r="K19" s="115">
        <v>328038.5</v>
      </c>
      <c r="L19" s="115">
        <v>126481</v>
      </c>
      <c r="M19" s="115">
        <f t="shared" si="0"/>
        <v>161675.75</v>
      </c>
      <c r="N19" s="108">
        <f t="shared" si="1"/>
        <v>0.32491956180527226</v>
      </c>
    </row>
    <row r="20" spans="1:17" x14ac:dyDescent="0.3">
      <c r="A20" t="s">
        <v>21</v>
      </c>
      <c r="B20" t="s">
        <v>104</v>
      </c>
      <c r="C20" t="s">
        <v>1678</v>
      </c>
      <c r="D20" s="115">
        <v>7420000</v>
      </c>
      <c r="E20" s="115">
        <v>8799267.5500000007</v>
      </c>
      <c r="F20" s="115">
        <v>824400</v>
      </c>
      <c r="G20" s="115"/>
      <c r="H20" s="115"/>
      <c r="I20" s="115"/>
      <c r="J20" s="115">
        <v>0</v>
      </c>
      <c r="K20" s="115">
        <v>0</v>
      </c>
      <c r="L20" s="115">
        <v>0</v>
      </c>
      <c r="M20" s="115">
        <f t="shared" si="0"/>
        <v>0</v>
      </c>
      <c r="N20" s="108">
        <f t="shared" si="1"/>
        <v>0</v>
      </c>
    </row>
    <row r="21" spans="1:17" x14ac:dyDescent="0.3">
      <c r="A21" t="s">
        <v>21</v>
      </c>
      <c r="B21" t="s">
        <v>106</v>
      </c>
      <c r="C21" t="s">
        <v>1642</v>
      </c>
      <c r="D21" s="115">
        <v>6938187</v>
      </c>
      <c r="E21" s="115">
        <v>1700000</v>
      </c>
      <c r="F21" s="115">
        <v>618263</v>
      </c>
      <c r="G21" s="115">
        <v>109500</v>
      </c>
      <c r="H21" s="115">
        <v>149200</v>
      </c>
      <c r="I21" s="115"/>
      <c r="J21" s="115">
        <v>0</v>
      </c>
      <c r="K21" s="115">
        <v>0</v>
      </c>
      <c r="L21" s="115">
        <v>0</v>
      </c>
      <c r="M21" s="115">
        <f t="shared" si="0"/>
        <v>51740</v>
      </c>
      <c r="N21" s="713">
        <f>M21/F21</f>
        <v>8.3686068873602332E-2</v>
      </c>
    </row>
    <row r="22" spans="1:17" x14ac:dyDescent="0.3">
      <c r="A22" t="s">
        <v>21</v>
      </c>
      <c r="B22" t="s">
        <v>1546</v>
      </c>
      <c r="C22" t="s">
        <v>1694</v>
      </c>
      <c r="D22" s="115">
        <v>6818058</v>
      </c>
      <c r="E22" s="115">
        <v>11257131</v>
      </c>
      <c r="F22" s="115">
        <v>392516</v>
      </c>
      <c r="G22" s="115">
        <v>58140</v>
      </c>
      <c r="H22" s="115"/>
      <c r="I22" s="115"/>
      <c r="J22" s="115">
        <v>511332</v>
      </c>
      <c r="K22" s="115">
        <v>544884</v>
      </c>
      <c r="L22" s="115">
        <v>245254</v>
      </c>
      <c r="M22" s="115">
        <f t="shared" si="0"/>
        <v>339902.5</v>
      </c>
      <c r="N22" s="713">
        <f t="shared" si="1"/>
        <v>0.8659583303610553</v>
      </c>
    </row>
    <row r="23" spans="1:17" x14ac:dyDescent="0.3">
      <c r="A23" t="s">
        <v>21</v>
      </c>
      <c r="B23" t="s">
        <v>63</v>
      </c>
      <c r="C23" t="s">
        <v>1640</v>
      </c>
      <c r="D23" s="115">
        <v>5962387</v>
      </c>
      <c r="E23" s="115">
        <v>2296787.5700000003</v>
      </c>
      <c r="F23" s="115">
        <v>469966</v>
      </c>
      <c r="G23" s="115">
        <v>375282.49</v>
      </c>
      <c r="H23" s="115">
        <v>0</v>
      </c>
      <c r="I23" s="115">
        <v>0</v>
      </c>
      <c r="J23" s="115">
        <v>24249.5</v>
      </c>
      <c r="K23" s="115">
        <v>48499</v>
      </c>
      <c r="L23" s="115">
        <v>0</v>
      </c>
      <c r="M23" s="115">
        <f t="shared" si="0"/>
        <v>74671.831666666665</v>
      </c>
      <c r="N23" s="713">
        <f t="shared" si="1"/>
        <v>0.15888773159476785</v>
      </c>
      <c r="O23" s="115"/>
      <c r="P23" s="115"/>
      <c r="Q23" s="108"/>
    </row>
    <row r="24" spans="1:17" x14ac:dyDescent="0.3">
      <c r="A24" t="s">
        <v>21</v>
      </c>
      <c r="B24" t="s">
        <v>100</v>
      </c>
      <c r="C24" t="s">
        <v>1677</v>
      </c>
      <c r="D24" s="115">
        <v>5415000</v>
      </c>
      <c r="E24" s="115">
        <v>7008304</v>
      </c>
      <c r="F24" s="115">
        <v>518873</v>
      </c>
      <c r="G24" s="115">
        <v>176821</v>
      </c>
      <c r="H24" s="115"/>
      <c r="I24" s="115"/>
      <c r="J24" s="115">
        <v>406749</v>
      </c>
      <c r="K24" s="115">
        <v>245162</v>
      </c>
      <c r="L24" s="115">
        <v>0</v>
      </c>
      <c r="M24" s="115">
        <f t="shared" si="0"/>
        <v>207183</v>
      </c>
      <c r="N24" s="713">
        <f t="shared" si="1"/>
        <v>0.39929423963089233</v>
      </c>
    </row>
    <row r="25" spans="1:17" x14ac:dyDescent="0.3">
      <c r="A25" t="s">
        <v>24</v>
      </c>
      <c r="B25" t="s">
        <v>124</v>
      </c>
      <c r="C25" t="s">
        <v>1493</v>
      </c>
      <c r="D25" s="115">
        <v>22359460</v>
      </c>
      <c r="E25" s="115">
        <v>19307291.666666664</v>
      </c>
      <c r="F25" s="115">
        <v>2496926</v>
      </c>
      <c r="G25" s="115">
        <v>1327250</v>
      </c>
      <c r="H25" s="115">
        <v>1800000</v>
      </c>
      <c r="I25" s="115">
        <v>5819625</v>
      </c>
      <c r="J25" s="115"/>
      <c r="K25" s="115">
        <v>3480000</v>
      </c>
      <c r="L25" s="115">
        <v>1270000</v>
      </c>
      <c r="M25" s="115">
        <f t="shared" si="0"/>
        <v>2739375</v>
      </c>
      <c r="N25" s="713">
        <f t="shared" ref="N25:N87" si="2">M25/F25</f>
        <v>1.0970989929216965</v>
      </c>
    </row>
    <row r="26" spans="1:17" x14ac:dyDescent="0.3">
      <c r="A26" t="s">
        <v>24</v>
      </c>
      <c r="B26" t="s">
        <v>130</v>
      </c>
      <c r="C26" t="s">
        <v>1686</v>
      </c>
      <c r="D26" s="115">
        <v>9640642</v>
      </c>
      <c r="E26" s="115">
        <v>14876603</v>
      </c>
      <c r="F26" s="115">
        <v>3074893</v>
      </c>
      <c r="G26" s="115">
        <v>2198150</v>
      </c>
      <c r="H26" s="115">
        <v>0</v>
      </c>
      <c r="I26" s="115"/>
      <c r="J26" s="115"/>
      <c r="K26" s="115"/>
      <c r="L26" s="115"/>
      <c r="M26" s="115">
        <f t="shared" si="0"/>
        <v>1099075</v>
      </c>
      <c r="N26" s="108">
        <f t="shared" si="2"/>
        <v>0.35743520181027438</v>
      </c>
    </row>
    <row r="27" spans="1:17" x14ac:dyDescent="0.3">
      <c r="A27" t="s">
        <v>24</v>
      </c>
      <c r="B27" t="s">
        <v>60</v>
      </c>
      <c r="C27" t="s">
        <v>1640</v>
      </c>
      <c r="D27" s="115">
        <v>7185942</v>
      </c>
      <c r="E27" s="115">
        <v>2732918</v>
      </c>
      <c r="F27" s="115">
        <v>960680</v>
      </c>
      <c r="G27" s="115">
        <v>0</v>
      </c>
      <c r="H27" s="115">
        <v>0</v>
      </c>
      <c r="I27" s="115"/>
      <c r="J27" s="115">
        <v>0</v>
      </c>
      <c r="K27" s="115">
        <v>0</v>
      </c>
      <c r="L27" s="115">
        <v>0</v>
      </c>
      <c r="M27" s="115">
        <f t="shared" si="0"/>
        <v>0</v>
      </c>
      <c r="N27" s="108">
        <f t="shared" si="2"/>
        <v>0</v>
      </c>
    </row>
    <row r="28" spans="1:17" x14ac:dyDescent="0.3">
      <c r="A28" t="s">
        <v>24</v>
      </c>
      <c r="B28" t="s">
        <v>193</v>
      </c>
      <c r="C28" t="s">
        <v>1665</v>
      </c>
      <c r="D28" s="115">
        <v>5490000</v>
      </c>
      <c r="E28" s="115">
        <v>673700</v>
      </c>
      <c r="F28" s="115">
        <v>413290</v>
      </c>
      <c r="G28" s="115"/>
      <c r="H28" s="115"/>
      <c r="I28" s="115"/>
      <c r="J28" s="115">
        <v>0</v>
      </c>
      <c r="K28" s="115">
        <v>377100</v>
      </c>
      <c r="L28" s="115">
        <v>296600</v>
      </c>
      <c r="M28" s="115">
        <f t="shared" si="0"/>
        <v>224566.66666666666</v>
      </c>
      <c r="N28" s="108">
        <f t="shared" si="2"/>
        <v>0.5433634171324413</v>
      </c>
    </row>
    <row r="29" spans="1:17" x14ac:dyDescent="0.3">
      <c r="A29" t="s">
        <v>24</v>
      </c>
      <c r="B29" t="s">
        <v>142</v>
      </c>
      <c r="C29" t="s">
        <v>1664</v>
      </c>
      <c r="D29" s="115">
        <v>4910685</v>
      </c>
      <c r="E29" s="115">
        <v>1742278</v>
      </c>
      <c r="F29" s="115">
        <v>472477</v>
      </c>
      <c r="G29" s="115"/>
      <c r="H29" s="115"/>
      <c r="I29" s="115">
        <v>1032747.5</v>
      </c>
      <c r="J29" s="115">
        <v>205240</v>
      </c>
      <c r="K29" s="115">
        <v>424978</v>
      </c>
      <c r="L29" s="115">
        <v>79312.5</v>
      </c>
      <c r="M29" s="115">
        <f t="shared" si="0"/>
        <v>435569.5</v>
      </c>
      <c r="N29" s="108">
        <f t="shared" si="2"/>
        <v>0.92188508646981759</v>
      </c>
    </row>
    <row r="30" spans="1:17" x14ac:dyDescent="0.3">
      <c r="A30" t="s">
        <v>24</v>
      </c>
      <c r="B30" t="s">
        <v>144</v>
      </c>
      <c r="C30" t="s">
        <v>1664</v>
      </c>
      <c r="D30" s="115">
        <v>4910685</v>
      </c>
      <c r="E30" s="115">
        <v>1742278</v>
      </c>
      <c r="F30" s="115">
        <v>674745</v>
      </c>
      <c r="G30" s="115"/>
      <c r="H30" s="115"/>
      <c r="I30" s="115">
        <v>1032747.5</v>
      </c>
      <c r="J30" s="115">
        <v>205240</v>
      </c>
      <c r="K30" s="115">
        <v>424978</v>
      </c>
      <c r="L30" s="115">
        <v>79312.5</v>
      </c>
      <c r="M30" s="115">
        <f t="shared" si="0"/>
        <v>435569.5</v>
      </c>
      <c r="N30" s="108">
        <f t="shared" si="2"/>
        <v>0.6455320157985609</v>
      </c>
    </row>
    <row r="31" spans="1:17" x14ac:dyDescent="0.3">
      <c r="A31" t="s">
        <v>24</v>
      </c>
      <c r="B31" t="s">
        <v>87</v>
      </c>
      <c r="C31" t="s">
        <v>1691</v>
      </c>
      <c r="D31" s="115">
        <v>4715000</v>
      </c>
      <c r="E31" s="115">
        <v>6824828</v>
      </c>
      <c r="F31" s="115">
        <v>551283</v>
      </c>
      <c r="G31" s="115">
        <v>0</v>
      </c>
      <c r="H31" s="115">
        <v>0</v>
      </c>
      <c r="I31" s="115">
        <v>1474506</v>
      </c>
      <c r="J31" s="115">
        <v>40800</v>
      </c>
      <c r="K31" s="115">
        <v>0</v>
      </c>
      <c r="L31" s="115"/>
      <c r="M31" s="115">
        <f t="shared" si="0"/>
        <v>303061.2</v>
      </c>
      <c r="N31" s="108">
        <f t="shared" si="2"/>
        <v>0.54973797486953169</v>
      </c>
    </row>
    <row r="32" spans="1:17" x14ac:dyDescent="0.3">
      <c r="A32" t="s">
        <v>24</v>
      </c>
      <c r="B32" t="s">
        <v>120</v>
      </c>
      <c r="C32" t="s">
        <v>1493</v>
      </c>
      <c r="D32" s="115">
        <v>4171088</v>
      </c>
      <c r="E32" s="115">
        <v>11412479.166666666</v>
      </c>
      <c r="F32" s="115">
        <v>1012173</v>
      </c>
      <c r="G32" s="115">
        <v>1327250</v>
      </c>
      <c r="H32" s="115">
        <v>900000</v>
      </c>
      <c r="I32" s="115">
        <v>2909812.5</v>
      </c>
      <c r="J32" s="115"/>
      <c r="K32" s="115">
        <v>1740000</v>
      </c>
      <c r="L32" s="115">
        <v>635000</v>
      </c>
      <c r="M32" s="115">
        <f t="shared" si="0"/>
        <v>1502412.5</v>
      </c>
      <c r="N32" s="108">
        <f t="shared" si="2"/>
        <v>1.4843435855333031</v>
      </c>
    </row>
    <row r="33" spans="1:14" x14ac:dyDescent="0.3">
      <c r="A33" t="s">
        <v>24</v>
      </c>
      <c r="B33" t="s">
        <v>121</v>
      </c>
      <c r="C33" t="s">
        <v>1493</v>
      </c>
      <c r="D33" s="115">
        <v>4171088</v>
      </c>
      <c r="E33" s="115">
        <v>11412479.166666666</v>
      </c>
      <c r="F33" s="115">
        <v>1012173</v>
      </c>
      <c r="G33" s="115">
        <v>1327250</v>
      </c>
      <c r="H33" s="115">
        <v>900000</v>
      </c>
      <c r="I33" s="115">
        <v>2909812.5</v>
      </c>
      <c r="J33" s="115"/>
      <c r="K33" s="115">
        <v>1740000</v>
      </c>
      <c r="L33" s="115">
        <v>635000</v>
      </c>
      <c r="M33" s="115">
        <f t="shared" si="0"/>
        <v>1502412.5</v>
      </c>
      <c r="N33" s="108">
        <f t="shared" si="2"/>
        <v>1.4843435855333031</v>
      </c>
    </row>
    <row r="34" spans="1:14" x14ac:dyDescent="0.3">
      <c r="A34" t="s">
        <v>24</v>
      </c>
      <c r="B34" t="s">
        <v>113</v>
      </c>
      <c r="C34" t="s">
        <v>1493</v>
      </c>
      <c r="D34" s="115">
        <v>3706000</v>
      </c>
      <c r="E34" s="115">
        <v>16272745</v>
      </c>
      <c r="F34" s="115">
        <v>541370</v>
      </c>
      <c r="G34" s="115">
        <v>359125</v>
      </c>
      <c r="H34" s="115">
        <v>714925</v>
      </c>
      <c r="I34" s="115">
        <v>377400</v>
      </c>
      <c r="J34" s="115">
        <v>574900</v>
      </c>
      <c r="K34" s="115">
        <v>986225</v>
      </c>
      <c r="L34" s="115">
        <v>843500</v>
      </c>
      <c r="M34" s="115">
        <f t="shared" si="0"/>
        <v>642679.16666666663</v>
      </c>
      <c r="N34" s="108">
        <f t="shared" si="2"/>
        <v>1.1871347999827597</v>
      </c>
    </row>
    <row r="35" spans="1:14" x14ac:dyDescent="0.3">
      <c r="A35" t="s">
        <v>24</v>
      </c>
      <c r="B35" t="s">
        <v>89</v>
      </c>
      <c r="C35" t="s">
        <v>1660</v>
      </c>
      <c r="D35" s="115">
        <v>3650000</v>
      </c>
      <c r="E35" s="115">
        <v>1576640</v>
      </c>
      <c r="F35" s="115">
        <v>1194783</v>
      </c>
      <c r="G35" s="115">
        <v>431600</v>
      </c>
      <c r="H35" s="115">
        <v>107800</v>
      </c>
      <c r="I35" s="115">
        <v>80800</v>
      </c>
      <c r="J35" s="115">
        <v>191400</v>
      </c>
      <c r="K35" s="115">
        <v>62000</v>
      </c>
      <c r="L35" s="115">
        <v>67800</v>
      </c>
      <c r="M35" s="115">
        <f t="shared" si="0"/>
        <v>156900</v>
      </c>
      <c r="N35" s="108">
        <f t="shared" si="2"/>
        <v>0.13132091768965579</v>
      </c>
    </row>
    <row r="36" spans="1:14" x14ac:dyDescent="0.3">
      <c r="A36" t="s">
        <v>24</v>
      </c>
      <c r="B36" t="s">
        <v>164</v>
      </c>
      <c r="C36" t="s">
        <v>1525</v>
      </c>
      <c r="D36" s="115">
        <v>3460830</v>
      </c>
      <c r="E36" s="115">
        <v>1661053</v>
      </c>
      <c r="F36" s="115">
        <v>259561</v>
      </c>
      <c r="G36" s="115"/>
      <c r="H36" s="115"/>
      <c r="I36" s="115"/>
      <c r="J36" s="115"/>
      <c r="K36" s="115">
        <v>746733</v>
      </c>
      <c r="L36" s="115">
        <v>914320</v>
      </c>
      <c r="M36" s="115">
        <f t="shared" si="0"/>
        <v>830526.5</v>
      </c>
      <c r="N36" s="108">
        <f t="shared" si="2"/>
        <v>3.1997353223327081</v>
      </c>
    </row>
    <row r="37" spans="1:14" x14ac:dyDescent="0.3">
      <c r="A37" t="s">
        <v>24</v>
      </c>
      <c r="B37" t="s">
        <v>190</v>
      </c>
      <c r="C37" t="s">
        <v>1664</v>
      </c>
      <c r="D37" s="115">
        <v>3276255</v>
      </c>
      <c r="E37" s="115">
        <v>3452278</v>
      </c>
      <c r="F37" s="115">
        <v>386629</v>
      </c>
      <c r="G37" s="115"/>
      <c r="H37" s="115"/>
      <c r="I37" s="115">
        <v>1032747.5</v>
      </c>
      <c r="J37" s="115">
        <v>205240</v>
      </c>
      <c r="K37" s="115">
        <v>424978</v>
      </c>
      <c r="L37" s="115">
        <v>79312.5</v>
      </c>
      <c r="M37" s="115">
        <f t="shared" si="0"/>
        <v>435569.5</v>
      </c>
      <c r="N37" s="108">
        <f t="shared" si="2"/>
        <v>1.1265825895108748</v>
      </c>
    </row>
    <row r="38" spans="1:14" x14ac:dyDescent="0.3">
      <c r="A38" t="s">
        <v>24</v>
      </c>
      <c r="B38" t="s">
        <v>118</v>
      </c>
      <c r="C38" t="s">
        <v>1684</v>
      </c>
      <c r="D38" s="115">
        <v>3100000</v>
      </c>
      <c r="E38" s="115">
        <v>2491525.5</v>
      </c>
      <c r="F38" s="115">
        <v>29400</v>
      </c>
      <c r="G38" s="115">
        <v>0</v>
      </c>
      <c r="H38" s="115">
        <v>0</v>
      </c>
      <c r="I38" s="115"/>
      <c r="J38" s="115">
        <v>0</v>
      </c>
      <c r="K38" s="115">
        <v>0</v>
      </c>
      <c r="L38" s="115">
        <v>0</v>
      </c>
      <c r="M38" s="115">
        <f t="shared" si="0"/>
        <v>0</v>
      </c>
      <c r="N38" s="108">
        <f t="shared" si="2"/>
        <v>0</v>
      </c>
    </row>
    <row r="39" spans="1:14" x14ac:dyDescent="0.3">
      <c r="A39" t="s">
        <v>24</v>
      </c>
      <c r="B39" t="s">
        <v>188</v>
      </c>
      <c r="C39" t="s">
        <v>1689</v>
      </c>
      <c r="D39" s="115">
        <v>3047232</v>
      </c>
      <c r="E39" s="115">
        <v>1068530</v>
      </c>
      <c r="F39" s="115">
        <v>455552</v>
      </c>
      <c r="G39" s="115"/>
      <c r="H39" s="115">
        <v>416420</v>
      </c>
      <c r="I39" s="115"/>
      <c r="J39" s="115"/>
      <c r="K39" s="115"/>
      <c r="L39" s="115"/>
      <c r="M39" s="115">
        <f t="shared" si="0"/>
        <v>416420</v>
      </c>
      <c r="N39" s="108">
        <f t="shared" si="2"/>
        <v>0.91409981736442825</v>
      </c>
    </row>
    <row r="40" spans="1:14" x14ac:dyDescent="0.3">
      <c r="A40" t="s">
        <v>24</v>
      </c>
      <c r="B40" t="s">
        <v>103</v>
      </c>
      <c r="C40" t="s">
        <v>1493</v>
      </c>
      <c r="D40" s="115">
        <v>3032232</v>
      </c>
      <c r="E40" s="115">
        <v>1025080</v>
      </c>
      <c r="F40" s="115">
        <v>147374</v>
      </c>
      <c r="G40" s="115">
        <v>381770</v>
      </c>
      <c r="H40" s="115">
        <v>0</v>
      </c>
      <c r="I40" s="115"/>
      <c r="J40" s="115"/>
      <c r="K40" s="115"/>
      <c r="L40" s="115">
        <v>391470</v>
      </c>
      <c r="M40" s="115">
        <f t="shared" si="0"/>
        <v>257746.66666666666</v>
      </c>
      <c r="N40" s="108">
        <f t="shared" si="2"/>
        <v>1.7489290286391539</v>
      </c>
    </row>
    <row r="41" spans="1:14" x14ac:dyDescent="0.3">
      <c r="A41" t="s">
        <v>24</v>
      </c>
      <c r="B41" t="s">
        <v>192</v>
      </c>
      <c r="C41" t="s">
        <v>1493</v>
      </c>
      <c r="D41" s="115">
        <v>2998200</v>
      </c>
      <c r="E41" s="115">
        <v>1461600</v>
      </c>
      <c r="F41" s="115">
        <v>320078</v>
      </c>
      <c r="G41" s="115"/>
      <c r="H41" s="115"/>
      <c r="I41" s="115"/>
      <c r="J41" s="115">
        <v>229400</v>
      </c>
      <c r="K41" s="115">
        <v>236500</v>
      </c>
      <c r="L41" s="115">
        <v>995700</v>
      </c>
      <c r="M41" s="115">
        <f t="shared" si="0"/>
        <v>487200</v>
      </c>
      <c r="N41" s="108">
        <f t="shared" si="2"/>
        <v>1.5221289810608665</v>
      </c>
    </row>
    <row r="42" spans="1:14" x14ac:dyDescent="0.3">
      <c r="A42" t="s">
        <v>24</v>
      </c>
      <c r="B42" t="s">
        <v>109</v>
      </c>
      <c r="C42" t="s">
        <v>1690</v>
      </c>
      <c r="D42" s="115">
        <v>2915000</v>
      </c>
      <c r="E42" s="115">
        <v>2563000</v>
      </c>
      <c r="F42" s="115">
        <v>307062</v>
      </c>
      <c r="G42" s="115">
        <v>0</v>
      </c>
      <c r="H42" s="115">
        <v>0</v>
      </c>
      <c r="I42" s="115">
        <v>844820</v>
      </c>
      <c r="J42" s="115">
        <v>174700</v>
      </c>
      <c r="K42" s="115"/>
      <c r="L42" s="115"/>
      <c r="M42" s="115">
        <f t="shared" si="0"/>
        <v>254880</v>
      </c>
      <c r="N42" s="108">
        <f t="shared" si="2"/>
        <v>0.83006037868573779</v>
      </c>
    </row>
    <row r="43" spans="1:14" x14ac:dyDescent="0.3">
      <c r="A43" t="s">
        <v>24</v>
      </c>
      <c r="B43" t="s">
        <v>71</v>
      </c>
      <c r="C43" t="s">
        <v>1692</v>
      </c>
      <c r="D43" s="115">
        <v>2915000</v>
      </c>
      <c r="E43" s="115">
        <v>1592380</v>
      </c>
      <c r="F43" s="115">
        <v>305347</v>
      </c>
      <c r="G43" s="115">
        <v>17500</v>
      </c>
      <c r="H43" s="115">
        <v>75800</v>
      </c>
      <c r="I43" s="115">
        <v>348380</v>
      </c>
      <c r="J43" s="115">
        <v>0</v>
      </c>
      <c r="K43" s="115">
        <v>0</v>
      </c>
      <c r="L43" s="115">
        <v>0</v>
      </c>
      <c r="M43" s="115">
        <f t="shared" si="0"/>
        <v>73613.333333333328</v>
      </c>
      <c r="N43" s="108">
        <f t="shared" si="2"/>
        <v>0.24108091231724343</v>
      </c>
    </row>
    <row r="44" spans="1:14" x14ac:dyDescent="0.3">
      <c r="A44" t="s">
        <v>24</v>
      </c>
      <c r="B44" t="s">
        <v>181</v>
      </c>
      <c r="C44" t="s">
        <v>1686</v>
      </c>
      <c r="D44" s="115">
        <v>2894655</v>
      </c>
      <c r="E44" s="115">
        <v>0</v>
      </c>
      <c r="F44" s="115">
        <v>529290</v>
      </c>
      <c r="G44" s="115"/>
      <c r="H44" s="115">
        <v>0</v>
      </c>
      <c r="I44" s="115"/>
      <c r="J44" s="115"/>
      <c r="K44" s="115"/>
      <c r="L44" s="115"/>
      <c r="M44" s="115">
        <f t="shared" si="0"/>
        <v>0</v>
      </c>
      <c r="N44" s="108">
        <f t="shared" si="2"/>
        <v>0</v>
      </c>
    </row>
    <row r="45" spans="1:14" x14ac:dyDescent="0.3">
      <c r="A45" t="s">
        <v>24</v>
      </c>
      <c r="B45" t="s">
        <v>76</v>
      </c>
      <c r="C45" t="s">
        <v>1663</v>
      </c>
      <c r="D45" s="115">
        <v>2868545</v>
      </c>
      <c r="E45" s="115">
        <v>19598746.34</v>
      </c>
      <c r="F45" s="115">
        <v>586886</v>
      </c>
      <c r="G45" s="115">
        <v>147358</v>
      </c>
      <c r="H45" s="115">
        <v>1219060</v>
      </c>
      <c r="I45" s="115">
        <v>964490</v>
      </c>
      <c r="J45" s="115">
        <v>597810</v>
      </c>
      <c r="K45" s="115">
        <v>442650</v>
      </c>
      <c r="L45" s="115"/>
      <c r="M45" s="115">
        <f t="shared" si="0"/>
        <v>674273.6</v>
      </c>
      <c r="N45" s="108">
        <f t="shared" si="2"/>
        <v>1.1489004678932535</v>
      </c>
    </row>
    <row r="46" spans="1:14" x14ac:dyDescent="0.3">
      <c r="A46" t="s">
        <v>24</v>
      </c>
      <c r="B46" t="s">
        <v>72</v>
      </c>
      <c r="C46" t="s">
        <v>1493</v>
      </c>
      <c r="D46" s="115">
        <v>2668545</v>
      </c>
      <c r="E46" s="115">
        <v>13933860</v>
      </c>
      <c r="F46" s="115">
        <v>499567</v>
      </c>
      <c r="G46" s="115">
        <v>519620</v>
      </c>
      <c r="H46" s="115">
        <v>486400</v>
      </c>
      <c r="I46" s="115">
        <v>523620</v>
      </c>
      <c r="J46" s="115">
        <v>269500</v>
      </c>
      <c r="K46" s="115">
        <v>559660</v>
      </c>
      <c r="L46" s="115">
        <v>768330</v>
      </c>
      <c r="M46" s="115">
        <f t="shared" si="0"/>
        <v>521188.33333333331</v>
      </c>
      <c r="N46" s="108">
        <f t="shared" si="2"/>
        <v>1.0432801472742061</v>
      </c>
    </row>
    <row r="47" spans="1:14" x14ac:dyDescent="0.3">
      <c r="A47" t="s">
        <v>24</v>
      </c>
      <c r="B47" t="s">
        <v>86</v>
      </c>
      <c r="C47" t="s">
        <v>1493</v>
      </c>
      <c r="D47" s="115">
        <v>2615000</v>
      </c>
      <c r="E47" s="115">
        <v>1605015</v>
      </c>
      <c r="F47" s="115">
        <v>124814</v>
      </c>
      <c r="G47" s="115"/>
      <c r="H47" s="115">
        <v>328080</v>
      </c>
      <c r="I47" s="115"/>
      <c r="J47" s="115">
        <v>337476</v>
      </c>
      <c r="K47" s="115">
        <v>0</v>
      </c>
      <c r="L47" s="115">
        <v>0</v>
      </c>
      <c r="M47" s="115">
        <f t="shared" si="0"/>
        <v>166389</v>
      </c>
      <c r="N47" s="108">
        <f t="shared" si="2"/>
        <v>1.3330956463217267</v>
      </c>
    </row>
    <row r="48" spans="1:14" x14ac:dyDescent="0.3">
      <c r="A48" t="s">
        <v>24</v>
      </c>
      <c r="B48" t="s">
        <v>85</v>
      </c>
      <c r="C48" t="s">
        <v>1664</v>
      </c>
      <c r="D48" s="115">
        <v>2587355</v>
      </c>
      <c r="E48" s="115">
        <v>15191773.5</v>
      </c>
      <c r="F48" s="115">
        <v>223571</v>
      </c>
      <c r="G48" s="115">
        <v>3372670</v>
      </c>
      <c r="H48" s="115">
        <v>539515</v>
      </c>
      <c r="I48" s="115">
        <v>4130990</v>
      </c>
      <c r="J48" s="115">
        <v>205240</v>
      </c>
      <c r="K48" s="115">
        <v>424978</v>
      </c>
      <c r="L48" s="115">
        <v>79312.5</v>
      </c>
      <c r="M48" s="115">
        <f t="shared" si="0"/>
        <v>1458784.25</v>
      </c>
      <c r="N48" s="108">
        <f t="shared" si="2"/>
        <v>6.5249260861202929</v>
      </c>
    </row>
    <row r="49" spans="1:14" x14ac:dyDescent="0.3">
      <c r="A49" t="s">
        <v>24</v>
      </c>
      <c r="B49" t="s">
        <v>90</v>
      </c>
      <c r="C49" t="s">
        <v>1640</v>
      </c>
      <c r="D49" s="115">
        <v>2565000</v>
      </c>
      <c r="E49" s="115">
        <v>872400</v>
      </c>
      <c r="F49" s="115">
        <v>154595</v>
      </c>
      <c r="G49" s="115"/>
      <c r="H49" s="115"/>
      <c r="I49" s="115">
        <v>97600</v>
      </c>
      <c r="J49" s="115">
        <v>0</v>
      </c>
      <c r="K49" s="115">
        <v>0</v>
      </c>
      <c r="L49" s="115">
        <v>212900</v>
      </c>
      <c r="M49" s="115">
        <f t="shared" si="0"/>
        <v>77625</v>
      </c>
      <c r="N49" s="108">
        <f t="shared" si="2"/>
        <v>0.50211843850059834</v>
      </c>
    </row>
    <row r="50" spans="1:14" x14ac:dyDescent="0.3">
      <c r="A50" t="s">
        <v>24</v>
      </c>
      <c r="B50" t="s">
        <v>93</v>
      </c>
      <c r="C50" t="s">
        <v>1493</v>
      </c>
      <c r="D50" s="115">
        <v>2549913</v>
      </c>
      <c r="E50" s="115">
        <v>9859732</v>
      </c>
      <c r="F50" s="115">
        <v>237632</v>
      </c>
      <c r="G50" s="115">
        <v>671485</v>
      </c>
      <c r="H50" s="115">
        <v>766780</v>
      </c>
      <c r="I50" s="115">
        <v>660790</v>
      </c>
      <c r="J50" s="115">
        <v>280370</v>
      </c>
      <c r="K50" s="115">
        <v>77280</v>
      </c>
      <c r="L50" s="115">
        <v>923220</v>
      </c>
      <c r="M50" s="115">
        <f t="shared" si="0"/>
        <v>563320.83333333337</v>
      </c>
      <c r="N50" s="108">
        <f t="shared" si="2"/>
        <v>2.370559660876201</v>
      </c>
    </row>
    <row r="51" spans="1:14" x14ac:dyDescent="0.3">
      <c r="A51" t="s">
        <v>24</v>
      </c>
      <c r="B51" t="s">
        <v>99</v>
      </c>
      <c r="C51" t="s">
        <v>1685</v>
      </c>
      <c r="D51" s="115">
        <v>1962000</v>
      </c>
      <c r="E51" s="115">
        <v>5860926.7400000002</v>
      </c>
      <c r="F51" s="115">
        <v>458397</v>
      </c>
      <c r="G51" s="115">
        <v>87516</v>
      </c>
      <c r="H51" s="115">
        <v>57000</v>
      </c>
      <c r="I51" s="115"/>
      <c r="J51" s="115">
        <v>21000</v>
      </c>
      <c r="K51" s="115">
        <v>79754</v>
      </c>
      <c r="L51" s="115"/>
      <c r="M51" s="115">
        <f t="shared" si="0"/>
        <v>61317.5</v>
      </c>
      <c r="N51" s="108">
        <f t="shared" si="2"/>
        <v>0.1337650551814257</v>
      </c>
    </row>
    <row r="52" spans="1:14" x14ac:dyDescent="0.3">
      <c r="A52" t="s">
        <v>49</v>
      </c>
      <c r="B52" t="s">
        <v>101</v>
      </c>
      <c r="C52" t="s">
        <v>1493</v>
      </c>
      <c r="D52" s="115">
        <v>7115000</v>
      </c>
      <c r="E52" s="115">
        <v>6489789.4500000002</v>
      </c>
      <c r="F52" s="115">
        <v>624712</v>
      </c>
      <c r="G52" s="115">
        <v>703037.3</v>
      </c>
      <c r="H52" s="115">
        <v>77975</v>
      </c>
      <c r="I52" s="115">
        <v>207281.5</v>
      </c>
      <c r="J52" s="115">
        <v>310130.15000000002</v>
      </c>
      <c r="K52" s="115">
        <v>466119</v>
      </c>
      <c r="L52" s="115">
        <v>195891.5</v>
      </c>
      <c r="M52" s="115">
        <f t="shared" si="0"/>
        <v>326739.07500000001</v>
      </c>
      <c r="N52" s="108">
        <f t="shared" si="2"/>
        <v>0.52302352924227491</v>
      </c>
    </row>
    <row r="53" spans="1:14" x14ac:dyDescent="0.3">
      <c r="A53" t="s">
        <v>49</v>
      </c>
      <c r="B53" t="s">
        <v>101</v>
      </c>
      <c r="C53" t="s">
        <v>1667</v>
      </c>
      <c r="D53" s="115">
        <v>7115000</v>
      </c>
      <c r="E53" s="115">
        <v>3051548.45</v>
      </c>
      <c r="F53" s="115">
        <v>554232</v>
      </c>
      <c r="G53" s="115">
        <v>703037.3</v>
      </c>
      <c r="H53" s="115">
        <v>77975</v>
      </c>
      <c r="I53" s="115">
        <v>207281.5</v>
      </c>
      <c r="J53" s="115">
        <v>310130.15000000002</v>
      </c>
      <c r="K53" s="115">
        <v>466119</v>
      </c>
      <c r="L53" s="115">
        <v>195891.5</v>
      </c>
      <c r="M53" s="115">
        <f t="shared" si="0"/>
        <v>326739.07500000001</v>
      </c>
      <c r="N53" s="108">
        <f t="shared" si="2"/>
        <v>0.58953484280950941</v>
      </c>
    </row>
    <row r="54" spans="1:14" x14ac:dyDescent="0.3">
      <c r="A54" t="s">
        <v>49</v>
      </c>
      <c r="B54" t="s">
        <v>128</v>
      </c>
      <c r="C54" t="s">
        <v>1662</v>
      </c>
      <c r="D54" s="115">
        <v>8800000</v>
      </c>
      <c r="E54" s="115">
        <v>22502431</v>
      </c>
      <c r="F54" s="115">
        <v>379664</v>
      </c>
      <c r="G54" s="115">
        <v>3250213</v>
      </c>
      <c r="H54" s="115">
        <v>3363259</v>
      </c>
      <c r="I54" s="115">
        <v>2171078</v>
      </c>
      <c r="J54" s="115">
        <v>5612247</v>
      </c>
      <c r="K54" s="115">
        <v>221538</v>
      </c>
      <c r="L54" s="115">
        <v>418339</v>
      </c>
      <c r="M54" s="115">
        <f t="shared" si="0"/>
        <v>2506112.3333333335</v>
      </c>
      <c r="N54" s="108">
        <f t="shared" si="2"/>
        <v>6.600869014005367</v>
      </c>
    </row>
    <row r="55" spans="1:14" x14ac:dyDescent="0.3">
      <c r="A55" t="s">
        <v>49</v>
      </c>
      <c r="B55" t="s">
        <v>106</v>
      </c>
      <c r="C55" t="s">
        <v>1648</v>
      </c>
      <c r="D55" s="115">
        <v>8800000</v>
      </c>
      <c r="E55" s="115">
        <v>4376854</v>
      </c>
      <c r="F55" s="115">
        <v>513512</v>
      </c>
      <c r="G55" s="115"/>
      <c r="H55" s="115"/>
      <c r="I55" s="115">
        <v>191590</v>
      </c>
      <c r="J55" s="115">
        <v>0</v>
      </c>
      <c r="K55" s="115">
        <v>180500</v>
      </c>
      <c r="L55" s="115">
        <v>363600</v>
      </c>
      <c r="M55" s="115">
        <f t="shared" si="0"/>
        <v>183922.5</v>
      </c>
      <c r="N55" s="108">
        <f t="shared" si="2"/>
        <v>0.35816592406798675</v>
      </c>
    </row>
    <row r="56" spans="1:14" x14ac:dyDescent="0.3">
      <c r="A56" t="s">
        <v>49</v>
      </c>
      <c r="B56" t="s">
        <v>95</v>
      </c>
      <c r="C56" t="s">
        <v>1666</v>
      </c>
      <c r="D56" s="115">
        <v>7091000</v>
      </c>
      <c r="E56" s="115">
        <v>11561014</v>
      </c>
      <c r="F56" s="115">
        <v>510888</v>
      </c>
      <c r="G56" s="115">
        <v>0</v>
      </c>
      <c r="H56" s="115">
        <v>0</v>
      </c>
      <c r="I56" s="115"/>
      <c r="J56" s="115">
        <v>0</v>
      </c>
      <c r="K56" s="115">
        <v>0</v>
      </c>
      <c r="L56" s="115">
        <v>0</v>
      </c>
      <c r="M56" s="115">
        <f t="shared" si="0"/>
        <v>0</v>
      </c>
      <c r="N56" s="108">
        <f t="shared" si="2"/>
        <v>0</v>
      </c>
    </row>
    <row r="57" spans="1:14" x14ac:dyDescent="0.3">
      <c r="A57" t="s">
        <v>49</v>
      </c>
      <c r="B57" t="s">
        <v>89</v>
      </c>
      <c r="C57" t="s">
        <v>1660</v>
      </c>
      <c r="D57" s="115">
        <v>6941887</v>
      </c>
      <c r="E57" s="115">
        <v>943495.4</v>
      </c>
      <c r="F57" s="115">
        <v>882971</v>
      </c>
      <c r="G57" s="115">
        <v>246700</v>
      </c>
      <c r="H57" s="115"/>
      <c r="I57" s="115">
        <v>2800</v>
      </c>
      <c r="J57" s="115">
        <v>142222</v>
      </c>
      <c r="K57" s="115">
        <v>417191.4</v>
      </c>
      <c r="L57" s="115">
        <v>134582</v>
      </c>
      <c r="M57" s="115">
        <f t="shared" si="0"/>
        <v>188699.08000000002</v>
      </c>
      <c r="N57" s="108">
        <f t="shared" si="2"/>
        <v>0.21370926111956115</v>
      </c>
    </row>
    <row r="58" spans="1:14" x14ac:dyDescent="0.3">
      <c r="A58" t="s">
        <v>49</v>
      </c>
      <c r="B58" t="s">
        <v>143</v>
      </c>
      <c r="C58" t="s">
        <v>1493</v>
      </c>
      <c r="D58" s="115">
        <v>4620000</v>
      </c>
      <c r="E58" s="115">
        <v>11816933.870000003</v>
      </c>
      <c r="F58" s="115">
        <v>1411927</v>
      </c>
      <c r="G58" s="115"/>
      <c r="H58" s="115">
        <v>3484134.2</v>
      </c>
      <c r="I58" s="115">
        <v>5106783.6700000027</v>
      </c>
      <c r="J58" s="115">
        <v>1516016</v>
      </c>
      <c r="K58" s="115"/>
      <c r="L58" s="115"/>
      <c r="M58" s="115">
        <f t="shared" si="0"/>
        <v>3368977.9566666675</v>
      </c>
      <c r="N58" s="108">
        <f t="shared" si="2"/>
        <v>2.3860850856075899</v>
      </c>
    </row>
    <row r="59" spans="1:14" x14ac:dyDescent="0.3">
      <c r="A59" t="s">
        <v>49</v>
      </c>
      <c r="B59" t="s">
        <v>126</v>
      </c>
      <c r="C59" t="s">
        <v>1669</v>
      </c>
      <c r="D59" s="115">
        <v>4520275</v>
      </c>
      <c r="E59" s="115">
        <v>8038455</v>
      </c>
      <c r="F59" s="115">
        <v>400000</v>
      </c>
      <c r="G59" s="115">
        <v>571545</v>
      </c>
      <c r="H59" s="115">
        <v>-18142</v>
      </c>
      <c r="I59" s="115">
        <v>441948</v>
      </c>
      <c r="J59" s="115">
        <v>141569</v>
      </c>
      <c r="K59" s="115">
        <v>520230</v>
      </c>
      <c r="L59" s="115">
        <v>188558</v>
      </c>
      <c r="M59" s="115">
        <f t="shared" si="0"/>
        <v>307618</v>
      </c>
      <c r="N59" s="108">
        <f t="shared" si="2"/>
        <v>0.76904499999999998</v>
      </c>
    </row>
    <row r="60" spans="1:14" x14ac:dyDescent="0.3">
      <c r="A60" t="s">
        <v>49</v>
      </c>
      <c r="B60" t="s">
        <v>74</v>
      </c>
      <c r="C60" t="s">
        <v>1661</v>
      </c>
      <c r="D60" s="115">
        <v>4500000</v>
      </c>
      <c r="E60" s="115">
        <v>4921583</v>
      </c>
      <c r="F60" s="115">
        <v>385623</v>
      </c>
      <c r="G60" s="115">
        <v>440940</v>
      </c>
      <c r="H60" s="115"/>
      <c r="I60" s="115">
        <v>372653</v>
      </c>
      <c r="J60" s="115">
        <v>165400</v>
      </c>
      <c r="K60" s="115">
        <v>0</v>
      </c>
      <c r="L60" s="115">
        <v>0</v>
      </c>
      <c r="M60" s="115">
        <f t="shared" si="0"/>
        <v>195798.6</v>
      </c>
      <c r="N60" s="108">
        <f t="shared" si="2"/>
        <v>0.50774616659276028</v>
      </c>
    </row>
    <row r="61" spans="1:14" x14ac:dyDescent="0.3">
      <c r="A61" t="s">
        <v>49</v>
      </c>
      <c r="B61" t="s">
        <v>131</v>
      </c>
      <c r="C61" t="s">
        <v>1683</v>
      </c>
      <c r="D61" s="115">
        <v>4500000</v>
      </c>
      <c r="E61" s="115">
        <v>16627034.43</v>
      </c>
      <c r="F61" s="115">
        <v>1237668</v>
      </c>
      <c r="G61" s="115"/>
      <c r="H61" s="115">
        <v>3825383</v>
      </c>
      <c r="I61" s="115"/>
      <c r="J61" s="115">
        <v>2118492.66</v>
      </c>
      <c r="K61" s="115">
        <v>0</v>
      </c>
      <c r="L61" s="115">
        <v>0</v>
      </c>
      <c r="M61" s="115">
        <f t="shared" si="0"/>
        <v>1485968.915</v>
      </c>
      <c r="N61" s="108">
        <f t="shared" si="2"/>
        <v>1.2006199683598511</v>
      </c>
    </row>
    <row r="62" spans="1:14" x14ac:dyDescent="0.3">
      <c r="A62" t="s">
        <v>49</v>
      </c>
      <c r="B62" t="s">
        <v>108</v>
      </c>
      <c r="C62" t="s">
        <v>1640</v>
      </c>
      <c r="D62" s="115">
        <v>4500000</v>
      </c>
      <c r="E62" s="115">
        <v>1872277.19</v>
      </c>
      <c r="F62" s="115">
        <v>404240</v>
      </c>
      <c r="G62" s="115">
        <v>181755</v>
      </c>
      <c r="H62" s="115">
        <v>0</v>
      </c>
      <c r="I62" s="115">
        <v>0</v>
      </c>
      <c r="J62" s="115">
        <v>73919.67</v>
      </c>
      <c r="K62" s="115">
        <v>0</v>
      </c>
      <c r="L62" s="115">
        <v>0</v>
      </c>
      <c r="M62" s="115">
        <f t="shared" si="0"/>
        <v>42612.445</v>
      </c>
      <c r="N62" s="108">
        <f t="shared" si="2"/>
        <v>0.10541372699386503</v>
      </c>
    </row>
    <row r="63" spans="1:14" x14ac:dyDescent="0.3">
      <c r="A63" t="s">
        <v>49</v>
      </c>
      <c r="B63" t="s">
        <v>70</v>
      </c>
      <c r="C63" t="s">
        <v>1668</v>
      </c>
      <c r="D63" s="115">
        <v>4350000</v>
      </c>
      <c r="E63" s="115">
        <v>9510884.3999999985</v>
      </c>
      <c r="F63" s="115">
        <v>391086</v>
      </c>
      <c r="G63" s="115"/>
      <c r="H63" s="115"/>
      <c r="I63" s="115"/>
      <c r="J63" s="115">
        <v>0</v>
      </c>
      <c r="K63" s="115">
        <v>0</v>
      </c>
      <c r="L63" s="115">
        <v>0</v>
      </c>
      <c r="M63" s="115">
        <f t="shared" si="0"/>
        <v>0</v>
      </c>
      <c r="N63" s="108">
        <f t="shared" si="2"/>
        <v>0</v>
      </c>
    </row>
    <row r="64" spans="1:14" x14ac:dyDescent="0.3">
      <c r="A64" t="s">
        <v>49</v>
      </c>
      <c r="B64" t="s">
        <v>121</v>
      </c>
      <c r="C64" t="s">
        <v>1493</v>
      </c>
      <c r="D64" s="115">
        <v>4115000</v>
      </c>
      <c r="E64" s="115">
        <v>10801441.25</v>
      </c>
      <c r="F64" s="115">
        <v>216625</v>
      </c>
      <c r="G64" s="115">
        <v>575090</v>
      </c>
      <c r="H64" s="115">
        <v>1430316.75</v>
      </c>
      <c r="I64" s="115">
        <v>959210</v>
      </c>
      <c r="J64" s="115">
        <v>688263</v>
      </c>
      <c r="K64" s="115">
        <v>237745</v>
      </c>
      <c r="L64" s="115">
        <v>125317.5</v>
      </c>
      <c r="M64" s="115">
        <f t="shared" si="0"/>
        <v>669323.70833333337</v>
      </c>
      <c r="N64" s="108">
        <f t="shared" si="2"/>
        <v>3.0897805347182152</v>
      </c>
    </row>
    <row r="65" spans="1:14" x14ac:dyDescent="0.3">
      <c r="A65" t="s">
        <v>49</v>
      </c>
      <c r="B65" t="s">
        <v>124</v>
      </c>
      <c r="C65" t="s">
        <v>1493</v>
      </c>
      <c r="D65" s="115">
        <v>4115000</v>
      </c>
      <c r="E65" s="115">
        <v>10801441.25</v>
      </c>
      <c r="F65" s="115">
        <v>220363</v>
      </c>
      <c r="G65" s="115">
        <v>575090</v>
      </c>
      <c r="H65" s="115">
        <v>1430316.75</v>
      </c>
      <c r="I65" s="115">
        <v>959210</v>
      </c>
      <c r="J65" s="115">
        <v>688263</v>
      </c>
      <c r="K65" s="115">
        <v>237745</v>
      </c>
      <c r="L65" s="115">
        <v>125317.5</v>
      </c>
      <c r="M65" s="115">
        <f t="shared" si="0"/>
        <v>669323.70833333337</v>
      </c>
      <c r="N65" s="108">
        <f t="shared" si="2"/>
        <v>3.0373688338483928</v>
      </c>
    </row>
    <row r="66" spans="1:14" x14ac:dyDescent="0.3">
      <c r="A66" t="s">
        <v>49</v>
      </c>
      <c r="B66" t="s">
        <v>120</v>
      </c>
      <c r="C66" t="s">
        <v>1493</v>
      </c>
      <c r="D66" s="115">
        <v>4115000</v>
      </c>
      <c r="E66" s="115">
        <v>14047028.5</v>
      </c>
      <c r="F66" s="115">
        <v>283560</v>
      </c>
      <c r="G66" s="115">
        <v>575090</v>
      </c>
      <c r="H66" s="115">
        <v>1430316.75</v>
      </c>
      <c r="I66" s="115">
        <v>959210</v>
      </c>
      <c r="J66" s="115">
        <v>688263</v>
      </c>
      <c r="K66" s="115">
        <v>237745</v>
      </c>
      <c r="L66" s="115">
        <v>125317.5</v>
      </c>
      <c r="M66" s="115">
        <f t="shared" si="0"/>
        <v>669323.70833333337</v>
      </c>
      <c r="N66" s="108">
        <f t="shared" si="2"/>
        <v>2.3604306260873655</v>
      </c>
    </row>
    <row r="67" spans="1:14" x14ac:dyDescent="0.3">
      <c r="A67" t="s">
        <v>49</v>
      </c>
      <c r="B67" t="s">
        <v>122</v>
      </c>
      <c r="C67" t="s">
        <v>1493</v>
      </c>
      <c r="D67" s="115">
        <v>4115000</v>
      </c>
      <c r="E67" s="115">
        <v>10801441.25</v>
      </c>
      <c r="F67" s="115">
        <v>195417</v>
      </c>
      <c r="G67" s="115">
        <v>575090</v>
      </c>
      <c r="H67" s="115">
        <v>1430316.75</v>
      </c>
      <c r="I67" s="115">
        <v>959210</v>
      </c>
      <c r="J67" s="115">
        <v>688263</v>
      </c>
      <c r="K67" s="115">
        <v>237745</v>
      </c>
      <c r="L67" s="115">
        <v>125317.5</v>
      </c>
      <c r="M67" s="115">
        <f t="shared" si="0"/>
        <v>669323.70833333337</v>
      </c>
      <c r="N67" s="108">
        <f t="shared" si="2"/>
        <v>3.4251048185845314</v>
      </c>
    </row>
    <row r="68" spans="1:14" x14ac:dyDescent="0.3">
      <c r="A68" t="s">
        <v>49</v>
      </c>
      <c r="B68" t="s">
        <v>67</v>
      </c>
      <c r="C68" t="s">
        <v>1493</v>
      </c>
      <c r="D68" s="115">
        <v>4100000</v>
      </c>
      <c r="E68" s="115">
        <v>10796715</v>
      </c>
      <c r="F68" s="115">
        <v>163502</v>
      </c>
      <c r="G68" s="115"/>
      <c r="H68" s="115">
        <v>1284379</v>
      </c>
      <c r="I68" s="115">
        <v>500000</v>
      </c>
      <c r="J68" s="115">
        <v>0</v>
      </c>
      <c r="K68" s="115">
        <v>0</v>
      </c>
      <c r="L68" s="115">
        <v>0</v>
      </c>
      <c r="M68" s="115">
        <f t="shared" si="0"/>
        <v>356875.8</v>
      </c>
      <c r="N68" s="108">
        <f t="shared" si="2"/>
        <v>2.1826999058115497</v>
      </c>
    </row>
    <row r="69" spans="1:14" x14ac:dyDescent="0.3">
      <c r="A69" t="s">
        <v>49</v>
      </c>
      <c r="B69" t="s">
        <v>78</v>
      </c>
      <c r="C69" t="s">
        <v>1648</v>
      </c>
      <c r="D69" s="115">
        <v>2606483</v>
      </c>
      <c r="E69" s="115">
        <v>4156187.42</v>
      </c>
      <c r="F69" s="115">
        <v>250000</v>
      </c>
      <c r="G69" s="115">
        <v>271000</v>
      </c>
      <c r="H69" s="115">
        <v>265200</v>
      </c>
      <c r="I69" s="115"/>
      <c r="J69" s="115">
        <v>24000</v>
      </c>
      <c r="K69" s="115">
        <v>0</v>
      </c>
      <c r="L69" s="115">
        <v>262200</v>
      </c>
      <c r="M69" s="115">
        <f t="shared" si="0"/>
        <v>164480</v>
      </c>
      <c r="N69" s="108">
        <f t="shared" si="2"/>
        <v>0.65791999999999995</v>
      </c>
    </row>
    <row r="70" spans="1:14" x14ac:dyDescent="0.3">
      <c r="A70" t="s">
        <v>49</v>
      </c>
      <c r="B70" t="s">
        <v>91</v>
      </c>
      <c r="C70" t="s">
        <v>1493</v>
      </c>
      <c r="D70" s="115">
        <v>420800</v>
      </c>
      <c r="E70" s="115">
        <v>7052960</v>
      </c>
      <c r="F70" s="115">
        <v>327855</v>
      </c>
      <c r="G70" s="115">
        <v>232304</v>
      </c>
      <c r="H70" s="115"/>
      <c r="I70" s="115">
        <v>1779910</v>
      </c>
      <c r="J70" s="115">
        <v>184333</v>
      </c>
      <c r="K70" s="115">
        <v>602718</v>
      </c>
      <c r="L70" s="115">
        <v>1050917</v>
      </c>
      <c r="M70" s="115">
        <f t="shared" si="0"/>
        <v>770036.4</v>
      </c>
      <c r="N70" s="108">
        <f t="shared" si="2"/>
        <v>2.3487102530081896</v>
      </c>
    </row>
    <row r="71" spans="1:14" x14ac:dyDescent="0.3">
      <c r="A71" t="s">
        <v>51</v>
      </c>
      <c r="B71" t="s">
        <v>171</v>
      </c>
      <c r="C71" t="s">
        <v>1493</v>
      </c>
      <c r="D71" s="115">
        <v>15492667</v>
      </c>
      <c r="E71" s="115">
        <v>19335600</v>
      </c>
      <c r="F71" s="115">
        <v>4804146</v>
      </c>
      <c r="G71" s="115"/>
      <c r="H71" s="115">
        <v>2462400</v>
      </c>
      <c r="I71" s="115">
        <v>16873200</v>
      </c>
      <c r="J71" s="115"/>
      <c r="K71" s="115"/>
      <c r="L71" s="115"/>
      <c r="M71" s="115">
        <f t="shared" ref="M71:M116" si="3">IFERROR(AVERAGE(G71:L71),0)</f>
        <v>9667800</v>
      </c>
      <c r="N71" s="108">
        <f t="shared" si="2"/>
        <v>2.012386800900722</v>
      </c>
    </row>
    <row r="72" spans="1:14" x14ac:dyDescent="0.3">
      <c r="A72" t="s">
        <v>51</v>
      </c>
      <c r="B72" t="s">
        <v>107</v>
      </c>
      <c r="D72" s="115">
        <v>11298511.5</v>
      </c>
      <c r="E72" s="115">
        <v>32735672</v>
      </c>
      <c r="F72" s="115">
        <v>4212607</v>
      </c>
      <c r="G72" s="115">
        <v>2287400</v>
      </c>
      <c r="H72" s="115">
        <v>2865200</v>
      </c>
      <c r="I72" s="115">
        <v>244000</v>
      </c>
      <c r="J72" s="115"/>
      <c r="K72" s="115">
        <v>23200</v>
      </c>
      <c r="L72" s="115">
        <v>1944800</v>
      </c>
      <c r="M72" s="115">
        <f t="shared" si="3"/>
        <v>1472920</v>
      </c>
      <c r="N72" s="108">
        <f t="shared" si="2"/>
        <v>0.34964571819778106</v>
      </c>
    </row>
    <row r="73" spans="1:14" x14ac:dyDescent="0.3">
      <c r="A73" t="s">
        <v>51</v>
      </c>
      <c r="B73" t="s">
        <v>105</v>
      </c>
      <c r="C73" t="s">
        <v>1646</v>
      </c>
      <c r="D73" s="115">
        <v>5459835</v>
      </c>
      <c r="E73" s="115">
        <v>9408600</v>
      </c>
      <c r="F73" s="115">
        <v>742864</v>
      </c>
      <c r="G73" s="115"/>
      <c r="H73" s="115"/>
      <c r="I73" s="115">
        <v>5229900</v>
      </c>
      <c r="J73" s="115">
        <v>0</v>
      </c>
      <c r="K73" s="115">
        <v>0</v>
      </c>
      <c r="L73" s="115">
        <v>0</v>
      </c>
      <c r="M73" s="115">
        <f t="shared" si="3"/>
        <v>1307475</v>
      </c>
      <c r="N73" s="108">
        <f t="shared" si="2"/>
        <v>1.7600462534191992</v>
      </c>
    </row>
    <row r="74" spans="1:14" x14ac:dyDescent="0.3">
      <c r="A74" t="s">
        <v>51</v>
      </c>
      <c r="B74" t="s">
        <v>62</v>
      </c>
      <c r="C74" t="s">
        <v>1493</v>
      </c>
      <c r="D74" s="115">
        <v>3592655</v>
      </c>
      <c r="E74" s="115">
        <v>3161900</v>
      </c>
      <c r="F74" s="115">
        <v>356735</v>
      </c>
      <c r="G74" s="115">
        <v>247800</v>
      </c>
      <c r="H74" s="115">
        <v>69000</v>
      </c>
      <c r="I74" s="115">
        <v>578400</v>
      </c>
      <c r="J74" s="115">
        <v>390600</v>
      </c>
      <c r="K74" s="115">
        <v>499100</v>
      </c>
      <c r="L74" s="115">
        <v>0</v>
      </c>
      <c r="M74" s="115">
        <f t="shared" si="3"/>
        <v>297483.33333333331</v>
      </c>
      <c r="N74" s="108">
        <f t="shared" si="2"/>
        <v>0.83390565358973279</v>
      </c>
    </row>
    <row r="75" spans="1:14" x14ac:dyDescent="0.3">
      <c r="A75" t="s">
        <v>51</v>
      </c>
      <c r="B75" t="s">
        <v>59</v>
      </c>
      <c r="C75" t="s">
        <v>1697</v>
      </c>
      <c r="D75" s="115">
        <v>3592655</v>
      </c>
      <c r="E75" s="115">
        <v>4179600</v>
      </c>
      <c r="F75" s="115">
        <v>314974</v>
      </c>
      <c r="G75" s="115">
        <v>0</v>
      </c>
      <c r="H75" s="115"/>
      <c r="I75" s="115">
        <v>206000</v>
      </c>
      <c r="J75" s="115">
        <v>0</v>
      </c>
      <c r="K75" s="115">
        <v>189000</v>
      </c>
      <c r="L75" s="115"/>
      <c r="M75" s="115">
        <f t="shared" si="3"/>
        <v>98750</v>
      </c>
      <c r="N75" s="108">
        <f t="shared" si="2"/>
        <v>0.3135179411633976</v>
      </c>
    </row>
    <row r="76" spans="1:14" x14ac:dyDescent="0.3">
      <c r="A76" t="s">
        <v>51</v>
      </c>
      <c r="B76" t="s">
        <v>65</v>
      </c>
      <c r="C76" t="s">
        <v>1696</v>
      </c>
      <c r="D76" s="115">
        <v>3432757</v>
      </c>
      <c r="E76" s="115">
        <v>3089410</v>
      </c>
      <c r="F76" s="115">
        <v>251530</v>
      </c>
      <c r="G76" s="115">
        <v>478700</v>
      </c>
      <c r="H76" s="115">
        <v>105000</v>
      </c>
      <c r="I76" s="115">
        <v>118700</v>
      </c>
      <c r="J76" s="115">
        <v>274000</v>
      </c>
      <c r="K76" s="115">
        <v>160000</v>
      </c>
      <c r="L76" s="115">
        <v>105000</v>
      </c>
      <c r="M76" s="115">
        <f t="shared" si="3"/>
        <v>206900</v>
      </c>
      <c r="N76" s="108">
        <f t="shared" si="2"/>
        <v>0.82256589671212177</v>
      </c>
    </row>
    <row r="77" spans="1:14" x14ac:dyDescent="0.3">
      <c r="A77" t="s">
        <v>51</v>
      </c>
      <c r="B77" t="s">
        <v>69</v>
      </c>
      <c r="C77" t="s">
        <v>1682</v>
      </c>
      <c r="D77" s="115">
        <v>3432757</v>
      </c>
      <c r="E77" s="115">
        <v>1304728.8400000001</v>
      </c>
      <c r="F77" s="115">
        <v>214221</v>
      </c>
      <c r="G77" s="115">
        <v>52404</v>
      </c>
      <c r="H77" s="115"/>
      <c r="I77" s="115">
        <v>145891.79999999999</v>
      </c>
      <c r="J77" s="115"/>
      <c r="K77" s="115"/>
      <c r="L77" s="115"/>
      <c r="M77" s="115">
        <f t="shared" si="3"/>
        <v>99147.9</v>
      </c>
      <c r="N77" s="108">
        <f t="shared" si="2"/>
        <v>0.46282997465234499</v>
      </c>
    </row>
    <row r="78" spans="1:14" x14ac:dyDescent="0.3">
      <c r="A78" t="s">
        <v>22</v>
      </c>
      <c r="B78" t="s">
        <v>112</v>
      </c>
      <c r="C78" t="s">
        <v>1670</v>
      </c>
      <c r="D78" s="115">
        <v>8622430</v>
      </c>
      <c r="E78" s="115">
        <v>39960894.960000001</v>
      </c>
      <c r="F78" s="115">
        <v>1018392</v>
      </c>
      <c r="G78" s="115"/>
      <c r="H78" s="115"/>
      <c r="I78" s="115">
        <v>5323496</v>
      </c>
      <c r="J78" s="115">
        <v>0</v>
      </c>
      <c r="K78" s="115">
        <v>0</v>
      </c>
      <c r="L78" s="115">
        <v>0</v>
      </c>
      <c r="M78" s="115">
        <f t="shared" si="3"/>
        <v>1330874</v>
      </c>
      <c r="N78" s="108">
        <f t="shared" si="2"/>
        <v>1.3068386240268972</v>
      </c>
    </row>
    <row r="79" spans="1:14" x14ac:dyDescent="0.3">
      <c r="A79" t="s">
        <v>22</v>
      </c>
      <c r="B79" t="s">
        <v>187</v>
      </c>
      <c r="C79" t="s">
        <v>1493</v>
      </c>
      <c r="D79" s="115">
        <v>3559449.9999999898</v>
      </c>
      <c r="E79" s="115">
        <v>2725423</v>
      </c>
      <c r="F79" s="115">
        <v>325425</v>
      </c>
      <c r="G79" s="115"/>
      <c r="H79" s="115"/>
      <c r="I79" s="115"/>
      <c r="J79" s="115">
        <v>0</v>
      </c>
      <c r="K79" s="115">
        <v>2100066.06</v>
      </c>
      <c r="L79" s="115">
        <v>625357</v>
      </c>
      <c r="M79" s="115">
        <f t="shared" si="3"/>
        <v>908474.35333333339</v>
      </c>
      <c r="N79" s="108">
        <f t="shared" si="2"/>
        <v>2.7916550766945791</v>
      </c>
    </row>
    <row r="80" spans="1:14" x14ac:dyDescent="0.3">
      <c r="A80" t="s">
        <v>22</v>
      </c>
      <c r="B80" t="s">
        <v>174</v>
      </c>
      <c r="C80" t="s">
        <v>1493</v>
      </c>
      <c r="D80" s="115">
        <v>3382372</v>
      </c>
      <c r="E80" s="115">
        <v>4576272</v>
      </c>
      <c r="F80" s="115">
        <v>421334</v>
      </c>
      <c r="G80" s="115"/>
      <c r="H80" s="115"/>
      <c r="I80" s="115">
        <v>1525424</v>
      </c>
      <c r="J80" s="115"/>
      <c r="K80" s="115">
        <v>3050848</v>
      </c>
      <c r="L80" s="115">
        <v>0</v>
      </c>
      <c r="M80" s="115">
        <f t="shared" si="3"/>
        <v>1525424</v>
      </c>
      <c r="N80" s="108">
        <f t="shared" si="2"/>
        <v>3.6204626258502755</v>
      </c>
    </row>
    <row r="81" spans="1:14" x14ac:dyDescent="0.3">
      <c r="A81" t="s">
        <v>22</v>
      </c>
      <c r="B81" t="s">
        <v>107</v>
      </c>
      <c r="D81" s="115">
        <v>3025396</v>
      </c>
      <c r="E81" s="115">
        <v>10887009.27</v>
      </c>
      <c r="F81" s="115">
        <v>434352</v>
      </c>
      <c r="G81" s="115">
        <v>0</v>
      </c>
      <c r="H81" s="115">
        <v>1292669</v>
      </c>
      <c r="I81" s="115">
        <v>0</v>
      </c>
      <c r="J81" s="115">
        <v>0</v>
      </c>
      <c r="K81" s="115">
        <v>526366.68000000005</v>
      </c>
      <c r="L81" s="115">
        <v>1261672</v>
      </c>
      <c r="M81" s="115">
        <f t="shared" si="3"/>
        <v>513451.28</v>
      </c>
      <c r="N81" s="108">
        <f t="shared" si="2"/>
        <v>1.1821087044608982</v>
      </c>
    </row>
    <row r="82" spans="1:14" x14ac:dyDescent="0.3">
      <c r="A82" t="s">
        <v>22</v>
      </c>
      <c r="B82" t="s">
        <v>104</v>
      </c>
      <c r="C82" t="s">
        <v>1673</v>
      </c>
      <c r="D82" s="115">
        <v>2382020</v>
      </c>
      <c r="E82" s="115">
        <v>2284000</v>
      </c>
      <c r="F82" s="115">
        <v>184057</v>
      </c>
      <c r="G82" s="115"/>
      <c r="H82" s="115"/>
      <c r="I82" s="115">
        <v>144000</v>
      </c>
      <c r="J82" s="115">
        <v>0</v>
      </c>
      <c r="K82" s="115">
        <v>1064000</v>
      </c>
      <c r="L82" s="115">
        <v>468000</v>
      </c>
      <c r="M82" s="115">
        <f t="shared" si="3"/>
        <v>419000</v>
      </c>
      <c r="N82" s="108">
        <f t="shared" si="2"/>
        <v>2.2764687026301633</v>
      </c>
    </row>
    <row r="83" spans="1:14" x14ac:dyDescent="0.3">
      <c r="A83" t="s">
        <v>22</v>
      </c>
      <c r="B83" t="s">
        <v>143</v>
      </c>
      <c r="C83" t="s">
        <v>1493</v>
      </c>
      <c r="D83" s="115">
        <v>2372967</v>
      </c>
      <c r="E83" s="115">
        <v>7706078</v>
      </c>
      <c r="F83" s="115">
        <v>225890</v>
      </c>
      <c r="G83" s="115"/>
      <c r="H83" s="115">
        <v>6404744.666666667</v>
      </c>
      <c r="I83" s="115">
        <v>-408666.66666666669</v>
      </c>
      <c r="J83" s="115">
        <v>0</v>
      </c>
      <c r="K83" s="115">
        <v>0</v>
      </c>
      <c r="L83" s="115">
        <v>0</v>
      </c>
      <c r="M83" s="115">
        <f t="shared" si="3"/>
        <v>1199215.6000000001</v>
      </c>
      <c r="N83" s="108">
        <f t="shared" si="2"/>
        <v>5.3088476692195323</v>
      </c>
    </row>
    <row r="84" spans="1:14" x14ac:dyDescent="0.3">
      <c r="A84" t="s">
        <v>22</v>
      </c>
      <c r="B84" t="s">
        <v>132</v>
      </c>
      <c r="C84" t="s">
        <v>1672</v>
      </c>
      <c r="D84" s="115">
        <v>2100000</v>
      </c>
      <c r="E84" s="115">
        <v>1262500</v>
      </c>
      <c r="F84" s="115">
        <v>125042</v>
      </c>
      <c r="G84" s="115"/>
      <c r="H84" s="115"/>
      <c r="I84" s="115"/>
      <c r="J84" s="115">
        <v>0</v>
      </c>
      <c r="K84" s="115">
        <v>0</v>
      </c>
      <c r="L84" s="115">
        <v>0</v>
      </c>
      <c r="M84" s="115">
        <f t="shared" si="3"/>
        <v>0</v>
      </c>
      <c r="N84" s="108">
        <f t="shared" si="2"/>
        <v>0</v>
      </c>
    </row>
    <row r="85" spans="1:14" x14ac:dyDescent="0.3">
      <c r="A85" t="s">
        <v>22</v>
      </c>
      <c r="B85" t="s">
        <v>1622</v>
      </c>
      <c r="C85" t="s">
        <v>1645</v>
      </c>
      <c r="D85" s="115">
        <v>2059750</v>
      </c>
      <c r="E85" s="115">
        <v>2003250</v>
      </c>
      <c r="F85" s="115">
        <v>100802</v>
      </c>
      <c r="G85" s="115">
        <v>0</v>
      </c>
      <c r="H85" s="115">
        <v>0</v>
      </c>
      <c r="I85" s="115">
        <v>112250</v>
      </c>
      <c r="J85" s="115">
        <v>0</v>
      </c>
      <c r="K85" s="115">
        <v>0</v>
      </c>
      <c r="L85" s="115"/>
      <c r="M85" s="115">
        <f t="shared" si="3"/>
        <v>22450</v>
      </c>
      <c r="N85" s="108">
        <f t="shared" si="2"/>
        <v>0.2227138350429555</v>
      </c>
    </row>
    <row r="86" spans="1:14" x14ac:dyDescent="0.3">
      <c r="A86" t="s">
        <v>22</v>
      </c>
      <c r="B86" t="s">
        <v>94</v>
      </c>
      <c r="C86" t="s">
        <v>1658</v>
      </c>
      <c r="D86" s="115">
        <v>1515000</v>
      </c>
      <c r="E86" s="115">
        <v>779540</v>
      </c>
      <c r="F86" s="115">
        <v>109047</v>
      </c>
      <c r="G86" s="115"/>
      <c r="H86" s="115"/>
      <c r="I86" s="115"/>
      <c r="J86" s="115">
        <v>0</v>
      </c>
      <c r="K86" s="115">
        <v>0</v>
      </c>
      <c r="L86" s="115">
        <v>0</v>
      </c>
      <c r="M86" s="115">
        <f t="shared" si="3"/>
        <v>0</v>
      </c>
      <c r="N86" s="108">
        <f t="shared" si="2"/>
        <v>0</v>
      </c>
    </row>
    <row r="87" spans="1:14" x14ac:dyDescent="0.3">
      <c r="A87" t="s">
        <v>22</v>
      </c>
      <c r="B87" t="s">
        <v>1520</v>
      </c>
      <c r="C87" t="s">
        <v>1640</v>
      </c>
      <c r="D87" s="115">
        <v>1262290</v>
      </c>
      <c r="E87" s="115">
        <v>7244936.9000000013</v>
      </c>
      <c r="F87" s="115">
        <v>450000</v>
      </c>
      <c r="G87" s="115"/>
      <c r="H87" s="115">
        <v>3202372.3333333335</v>
      </c>
      <c r="I87" s="115">
        <v>-204333.33333333334</v>
      </c>
      <c r="J87" s="115">
        <v>0</v>
      </c>
      <c r="K87" s="115">
        <v>0</v>
      </c>
      <c r="L87" s="115">
        <v>0</v>
      </c>
      <c r="M87" s="115">
        <f t="shared" si="3"/>
        <v>599607.80000000005</v>
      </c>
      <c r="N87" s="108">
        <f t="shared" si="2"/>
        <v>1.3324617777777779</v>
      </c>
    </row>
    <row r="88" spans="1:14" x14ac:dyDescent="0.3">
      <c r="A88" t="s">
        <v>22</v>
      </c>
      <c r="B88" t="s">
        <v>95</v>
      </c>
      <c r="C88" t="s">
        <v>1666</v>
      </c>
      <c r="D88" s="115">
        <v>1197250</v>
      </c>
      <c r="E88" s="115">
        <v>2973746</v>
      </c>
      <c r="F88" s="115">
        <v>247788</v>
      </c>
      <c r="G88" s="115">
        <v>0</v>
      </c>
      <c r="H88" s="115">
        <v>0</v>
      </c>
      <c r="I88" s="115">
        <v>0</v>
      </c>
      <c r="J88" s="115">
        <v>0</v>
      </c>
      <c r="K88" s="115">
        <v>0</v>
      </c>
      <c r="L88" s="115">
        <v>0</v>
      </c>
      <c r="M88" s="115">
        <f t="shared" si="3"/>
        <v>0</v>
      </c>
      <c r="N88" s="108">
        <f t="shared" ref="N88:N116" si="4">M88/F88</f>
        <v>0</v>
      </c>
    </row>
    <row r="89" spans="1:14" x14ac:dyDescent="0.3">
      <c r="A89" t="s">
        <v>22</v>
      </c>
      <c r="B89" t="s">
        <v>178</v>
      </c>
      <c r="C89" t="s">
        <v>1657</v>
      </c>
      <c r="D89" s="115">
        <v>1194415</v>
      </c>
      <c r="E89" s="115">
        <v>0</v>
      </c>
      <c r="F89" s="115">
        <v>125415</v>
      </c>
      <c r="G89" s="115"/>
      <c r="H89" s="115"/>
      <c r="I89" s="115"/>
      <c r="J89" s="115">
        <v>0</v>
      </c>
      <c r="K89" s="115">
        <v>0</v>
      </c>
      <c r="L89" s="115">
        <v>0</v>
      </c>
      <c r="M89" s="115">
        <f t="shared" si="3"/>
        <v>0</v>
      </c>
      <c r="N89" s="108">
        <f t="shared" si="4"/>
        <v>0</v>
      </c>
    </row>
    <row r="90" spans="1:14" x14ac:dyDescent="0.3">
      <c r="A90" t="s">
        <v>22</v>
      </c>
      <c r="B90" t="s">
        <v>125</v>
      </c>
      <c r="C90" t="s">
        <v>1657</v>
      </c>
      <c r="D90" s="115">
        <v>1194415</v>
      </c>
      <c r="E90" s="115">
        <v>1710000</v>
      </c>
      <c r="F90" s="115">
        <v>125415</v>
      </c>
      <c r="G90" s="115"/>
      <c r="H90" s="115"/>
      <c r="I90" s="115"/>
      <c r="J90" s="115">
        <v>0</v>
      </c>
      <c r="K90" s="115">
        <v>0</v>
      </c>
      <c r="L90" s="115">
        <v>0</v>
      </c>
      <c r="M90" s="115">
        <f t="shared" si="3"/>
        <v>0</v>
      </c>
      <c r="N90" s="108">
        <f t="shared" si="4"/>
        <v>0</v>
      </c>
    </row>
    <row r="91" spans="1:14" x14ac:dyDescent="0.3">
      <c r="A91" t="s">
        <v>22</v>
      </c>
      <c r="B91" t="s">
        <v>91</v>
      </c>
      <c r="C91" t="s">
        <v>1659</v>
      </c>
      <c r="D91" s="115">
        <v>1071664</v>
      </c>
      <c r="E91" s="115">
        <v>675000</v>
      </c>
      <c r="F91" s="115">
        <v>95790</v>
      </c>
      <c r="G91" s="115"/>
      <c r="H91" s="115"/>
      <c r="I91" s="115">
        <v>363000</v>
      </c>
      <c r="J91" s="115">
        <v>0</v>
      </c>
      <c r="K91" s="115">
        <v>0</v>
      </c>
      <c r="L91" s="115"/>
      <c r="M91" s="115">
        <f t="shared" si="3"/>
        <v>121000</v>
      </c>
      <c r="N91" s="108">
        <f t="shared" si="4"/>
        <v>1.2631798726380625</v>
      </c>
    </row>
    <row r="92" spans="1:14" x14ac:dyDescent="0.3">
      <c r="A92" t="s">
        <v>22</v>
      </c>
      <c r="B92" t="s">
        <v>120</v>
      </c>
      <c r="C92" t="s">
        <v>1493</v>
      </c>
      <c r="D92" s="115">
        <v>1071000</v>
      </c>
      <c r="E92" s="115">
        <v>1752750</v>
      </c>
      <c r="F92" s="115">
        <v>98797</v>
      </c>
      <c r="G92" s="115">
        <v>76000</v>
      </c>
      <c r="H92" s="115">
        <v>133000</v>
      </c>
      <c r="I92" s="115">
        <v>152000</v>
      </c>
      <c r="J92" s="115">
        <v>0</v>
      </c>
      <c r="K92" s="115">
        <v>270750</v>
      </c>
      <c r="L92" s="115">
        <v>104500</v>
      </c>
      <c r="M92" s="115">
        <f t="shared" si="3"/>
        <v>122708.33333333333</v>
      </c>
      <c r="N92" s="108">
        <f t="shared" si="4"/>
        <v>1.2420248927936408</v>
      </c>
    </row>
    <row r="93" spans="1:14" x14ac:dyDescent="0.3">
      <c r="A93" t="s">
        <v>22</v>
      </c>
      <c r="B93" t="s">
        <v>121</v>
      </c>
      <c r="C93" t="s">
        <v>1493</v>
      </c>
      <c r="D93" s="115">
        <v>1065000</v>
      </c>
      <c r="E93" s="115">
        <v>1752750</v>
      </c>
      <c r="F93" s="115">
        <v>88427</v>
      </c>
      <c r="G93" s="115">
        <v>76000</v>
      </c>
      <c r="H93" s="115">
        <v>133000</v>
      </c>
      <c r="I93" s="115">
        <v>152000</v>
      </c>
      <c r="J93" s="115">
        <v>0</v>
      </c>
      <c r="K93" s="115">
        <v>270750</v>
      </c>
      <c r="L93" s="115">
        <v>104500</v>
      </c>
      <c r="M93" s="115">
        <f t="shared" si="3"/>
        <v>122708.33333333333</v>
      </c>
      <c r="N93" s="108">
        <f t="shared" si="4"/>
        <v>1.3876794794953276</v>
      </c>
    </row>
    <row r="94" spans="1:14" x14ac:dyDescent="0.3">
      <c r="A94" t="s">
        <v>22</v>
      </c>
      <c r="B94" t="s">
        <v>124</v>
      </c>
      <c r="C94" t="s">
        <v>1493</v>
      </c>
      <c r="D94" s="115">
        <v>1065000</v>
      </c>
      <c r="E94" s="115">
        <v>1752750</v>
      </c>
      <c r="F94" s="115">
        <v>87448</v>
      </c>
      <c r="G94" s="115">
        <v>76000</v>
      </c>
      <c r="H94" s="115">
        <v>133000</v>
      </c>
      <c r="I94" s="115">
        <v>152000</v>
      </c>
      <c r="J94" s="115">
        <v>0</v>
      </c>
      <c r="K94" s="115">
        <v>270750</v>
      </c>
      <c r="L94" s="115">
        <v>104500</v>
      </c>
      <c r="M94" s="115">
        <f t="shared" si="3"/>
        <v>122708.33333333333</v>
      </c>
      <c r="N94" s="108">
        <f t="shared" si="4"/>
        <v>1.4032148629280639</v>
      </c>
    </row>
    <row r="95" spans="1:14" x14ac:dyDescent="0.3">
      <c r="A95" t="s">
        <v>22</v>
      </c>
      <c r="B95" t="s">
        <v>123</v>
      </c>
      <c r="C95" t="s">
        <v>1493</v>
      </c>
      <c r="D95" s="115">
        <v>1055000</v>
      </c>
      <c r="E95" s="115">
        <v>1752750</v>
      </c>
      <c r="F95" s="115">
        <v>88427</v>
      </c>
      <c r="G95" s="115">
        <v>76000</v>
      </c>
      <c r="H95" s="115">
        <v>133000</v>
      </c>
      <c r="I95" s="115">
        <v>152000</v>
      </c>
      <c r="J95" s="115">
        <v>0</v>
      </c>
      <c r="K95" s="115">
        <v>270750</v>
      </c>
      <c r="L95" s="115">
        <v>104500</v>
      </c>
      <c r="M95" s="115">
        <f t="shared" si="3"/>
        <v>122708.33333333333</v>
      </c>
      <c r="N95" s="108">
        <f t="shared" si="4"/>
        <v>1.3876794794953276</v>
      </c>
    </row>
    <row r="96" spans="1:14" x14ac:dyDescent="0.3">
      <c r="A96" t="s">
        <v>22</v>
      </c>
      <c r="B96" t="s">
        <v>73</v>
      </c>
      <c r="C96" t="s">
        <v>1640</v>
      </c>
      <c r="D96" s="115">
        <v>1000000</v>
      </c>
      <c r="E96" s="115">
        <v>1555085.1099999999</v>
      </c>
      <c r="F96" s="115">
        <v>60135</v>
      </c>
      <c r="G96" s="115"/>
      <c r="H96" s="115"/>
      <c r="I96" s="115"/>
      <c r="J96" s="115">
        <v>0</v>
      </c>
      <c r="K96" s="115">
        <v>0</v>
      </c>
      <c r="L96" s="115">
        <v>0</v>
      </c>
      <c r="M96" s="115">
        <f t="shared" si="3"/>
        <v>0</v>
      </c>
      <c r="N96" s="108">
        <f t="shared" si="4"/>
        <v>0</v>
      </c>
    </row>
    <row r="97" spans="1:14" x14ac:dyDescent="0.3">
      <c r="A97" t="s">
        <v>25</v>
      </c>
      <c r="B97" t="s">
        <v>92</v>
      </c>
      <c r="C97" t="s">
        <v>1654</v>
      </c>
      <c r="D97" s="115">
        <v>17326991</v>
      </c>
      <c r="E97" s="115">
        <v>4084000</v>
      </c>
      <c r="F97" s="115">
        <v>1242200</v>
      </c>
      <c r="G97" s="115">
        <v>65150</v>
      </c>
      <c r="H97" s="115">
        <v>0</v>
      </c>
      <c r="I97" s="115">
        <v>285700</v>
      </c>
      <c r="J97" s="115"/>
      <c r="K97" s="115"/>
      <c r="L97" s="115"/>
      <c r="M97" s="115">
        <f t="shared" si="3"/>
        <v>116950</v>
      </c>
      <c r="N97" s="108">
        <f t="shared" si="4"/>
        <v>9.4147480276928028E-2</v>
      </c>
    </row>
    <row r="98" spans="1:14" x14ac:dyDescent="0.3">
      <c r="A98" t="s">
        <v>25</v>
      </c>
      <c r="B98" t="s">
        <v>1510</v>
      </c>
      <c r="C98" t="s">
        <v>1651</v>
      </c>
      <c r="D98" s="115">
        <v>6101141</v>
      </c>
      <c r="E98" s="115">
        <v>1241400</v>
      </c>
      <c r="F98" s="115">
        <v>432965</v>
      </c>
      <c r="G98" s="115"/>
      <c r="H98" s="115"/>
      <c r="I98" s="115"/>
      <c r="J98" s="115">
        <v>404200</v>
      </c>
      <c r="K98" s="115">
        <v>111800</v>
      </c>
      <c r="L98" s="115">
        <v>725400</v>
      </c>
      <c r="M98" s="115">
        <f t="shared" si="3"/>
        <v>413800</v>
      </c>
      <c r="N98" s="108">
        <f t="shared" si="4"/>
        <v>0.95573545205732569</v>
      </c>
    </row>
    <row r="99" spans="1:14" x14ac:dyDescent="0.3">
      <c r="A99" t="s">
        <v>25</v>
      </c>
      <c r="B99" t="s">
        <v>81</v>
      </c>
      <c r="C99" t="s">
        <v>1674</v>
      </c>
      <c r="D99" s="115">
        <v>5662000</v>
      </c>
      <c r="E99" s="115">
        <v>1640327.8</v>
      </c>
      <c r="F99" s="115">
        <v>319800</v>
      </c>
      <c r="G99" s="115"/>
      <c r="H99" s="115"/>
      <c r="I99" s="115">
        <v>350000</v>
      </c>
      <c r="J99" s="115">
        <v>0</v>
      </c>
      <c r="K99" s="115">
        <v>315000</v>
      </c>
      <c r="L99" s="115">
        <v>0</v>
      </c>
      <c r="M99" s="115">
        <f t="shared" si="3"/>
        <v>166250</v>
      </c>
      <c r="N99" s="108">
        <f t="shared" si="4"/>
        <v>0.51985616010006253</v>
      </c>
    </row>
    <row r="100" spans="1:14" x14ac:dyDescent="0.3">
      <c r="A100" t="s">
        <v>25</v>
      </c>
      <c r="B100" t="s">
        <v>102</v>
      </c>
      <c r="C100" t="s">
        <v>1648</v>
      </c>
      <c r="D100" s="115">
        <v>3393744</v>
      </c>
      <c r="E100" s="115">
        <v>6007419.6000000006</v>
      </c>
      <c r="F100" s="115">
        <v>469938</v>
      </c>
      <c r="G100" s="115"/>
      <c r="H100" s="115">
        <v>335396</v>
      </c>
      <c r="I100" s="115"/>
      <c r="J100" s="115">
        <v>165306</v>
      </c>
      <c r="K100" s="115">
        <v>243590</v>
      </c>
      <c r="L100" s="115">
        <v>158203.20000000001</v>
      </c>
      <c r="M100" s="115">
        <f t="shared" si="3"/>
        <v>225623.8</v>
      </c>
      <c r="N100" s="108">
        <f t="shared" si="4"/>
        <v>0.48011397248147625</v>
      </c>
    </row>
    <row r="101" spans="1:14" x14ac:dyDescent="0.3">
      <c r="A101" t="s">
        <v>25</v>
      </c>
      <c r="B101" t="s">
        <v>131</v>
      </c>
      <c r="C101" t="s">
        <v>1675</v>
      </c>
      <c r="D101" s="115">
        <v>1170000</v>
      </c>
      <c r="E101" s="115">
        <v>10087208.59</v>
      </c>
      <c r="F101" s="115">
        <v>358020</v>
      </c>
      <c r="G101" s="115"/>
      <c r="H101" s="115"/>
      <c r="I101" s="115"/>
      <c r="J101" s="115">
        <v>0</v>
      </c>
      <c r="K101" s="115">
        <v>1229364.25</v>
      </c>
      <c r="L101" s="115">
        <v>0</v>
      </c>
      <c r="M101" s="115">
        <f t="shared" si="3"/>
        <v>409788.08333333331</v>
      </c>
      <c r="N101" s="108">
        <f t="shared" si="4"/>
        <v>1.1445955067687092</v>
      </c>
    </row>
    <row r="102" spans="1:14" x14ac:dyDescent="0.3">
      <c r="A102" t="s">
        <v>25</v>
      </c>
      <c r="B102" t="s">
        <v>88</v>
      </c>
      <c r="C102" t="s">
        <v>1649</v>
      </c>
      <c r="D102" s="115">
        <v>593821</v>
      </c>
      <c r="E102" s="115">
        <v>112700</v>
      </c>
      <c r="F102" s="115">
        <v>80770</v>
      </c>
      <c r="G102" s="115"/>
      <c r="H102" s="115"/>
      <c r="I102" s="115"/>
      <c r="J102" s="115">
        <v>0</v>
      </c>
      <c r="K102" s="115">
        <v>0</v>
      </c>
      <c r="L102" s="115">
        <v>0</v>
      </c>
      <c r="M102" s="115">
        <f t="shared" si="3"/>
        <v>0</v>
      </c>
      <c r="N102" s="108">
        <f t="shared" si="4"/>
        <v>0</v>
      </c>
    </row>
    <row r="103" spans="1:14" x14ac:dyDescent="0.3">
      <c r="A103" t="s">
        <v>25</v>
      </c>
      <c r="B103" t="s">
        <v>88</v>
      </c>
      <c r="C103" t="s">
        <v>1650</v>
      </c>
      <c r="D103" s="115">
        <v>401644</v>
      </c>
      <c r="E103" s="115">
        <v>49500</v>
      </c>
      <c r="F103" s="115">
        <v>42750</v>
      </c>
      <c r="G103" s="115"/>
      <c r="H103" s="115">
        <v>20000</v>
      </c>
      <c r="I103" s="115"/>
      <c r="J103" s="115">
        <v>0</v>
      </c>
      <c r="K103" s="115">
        <v>0</v>
      </c>
      <c r="L103" s="115">
        <v>0</v>
      </c>
      <c r="M103" s="115">
        <f t="shared" si="3"/>
        <v>5000</v>
      </c>
      <c r="N103" s="108">
        <f t="shared" si="4"/>
        <v>0.11695906432748537</v>
      </c>
    </row>
    <row r="104" spans="1:14" x14ac:dyDescent="0.3">
      <c r="A104" t="s">
        <v>25</v>
      </c>
      <c r="B104" t="s">
        <v>119</v>
      </c>
      <c r="C104" t="s">
        <v>1676</v>
      </c>
      <c r="D104" s="115">
        <v>653000</v>
      </c>
      <c r="E104" s="115">
        <v>571500</v>
      </c>
      <c r="F104" s="115">
        <v>79375</v>
      </c>
      <c r="G104" s="115"/>
      <c r="H104" s="115"/>
      <c r="I104" s="115"/>
      <c r="J104" s="115"/>
      <c r="K104" s="115"/>
      <c r="L104" s="115"/>
      <c r="M104" s="115">
        <f t="shared" si="3"/>
        <v>0</v>
      </c>
      <c r="N104" s="108">
        <f t="shared" si="4"/>
        <v>0</v>
      </c>
    </row>
    <row r="105" spans="1:14" x14ac:dyDescent="0.3">
      <c r="A105" t="s">
        <v>25</v>
      </c>
      <c r="B105" t="s">
        <v>127</v>
      </c>
      <c r="C105" t="s">
        <v>1652</v>
      </c>
      <c r="D105" s="115">
        <v>633821</v>
      </c>
      <c r="E105" s="115">
        <v>87100</v>
      </c>
      <c r="F105" s="115">
        <v>63930</v>
      </c>
      <c r="G105" s="115"/>
      <c r="H105" s="115"/>
      <c r="I105" s="115"/>
      <c r="J105" s="115">
        <v>0</v>
      </c>
      <c r="K105" s="115">
        <v>0</v>
      </c>
      <c r="L105" s="115">
        <v>0</v>
      </c>
      <c r="M105" s="115">
        <f t="shared" si="3"/>
        <v>0</v>
      </c>
      <c r="N105" s="108">
        <f t="shared" si="4"/>
        <v>0</v>
      </c>
    </row>
    <row r="106" spans="1:14" x14ac:dyDescent="0.3">
      <c r="A106" t="s">
        <v>25</v>
      </c>
      <c r="B106" t="s">
        <v>91</v>
      </c>
      <c r="C106" t="s">
        <v>1493</v>
      </c>
      <c r="D106" s="115">
        <v>626704</v>
      </c>
      <c r="E106" s="115">
        <v>6071399.9999999991</v>
      </c>
      <c r="F106" s="115">
        <v>128317</v>
      </c>
      <c r="G106" s="115">
        <v>65150</v>
      </c>
      <c r="H106" s="115">
        <v>0</v>
      </c>
      <c r="I106" s="115">
        <v>404200</v>
      </c>
      <c r="J106" s="115">
        <v>1327900</v>
      </c>
      <c r="K106" s="115">
        <v>-243600</v>
      </c>
      <c r="L106" s="115">
        <v>287700</v>
      </c>
      <c r="M106" s="115">
        <f t="shared" si="3"/>
        <v>306891.66666666669</v>
      </c>
      <c r="N106" s="108">
        <f t="shared" si="4"/>
        <v>2.3916680304766063</v>
      </c>
    </row>
    <row r="107" spans="1:14" x14ac:dyDescent="0.3">
      <c r="A107" t="s">
        <v>25</v>
      </c>
      <c r="B107" t="s">
        <v>79</v>
      </c>
      <c r="C107" t="s">
        <v>1505</v>
      </c>
      <c r="D107" s="115">
        <v>532660</v>
      </c>
      <c r="E107" s="115">
        <v>6717854.3499999996</v>
      </c>
      <c r="F107" s="115">
        <v>68306</v>
      </c>
      <c r="G107" s="115">
        <v>1087200</v>
      </c>
      <c r="H107" s="115">
        <v>350000</v>
      </c>
      <c r="I107" s="115"/>
      <c r="J107" s="115">
        <v>0</v>
      </c>
      <c r="K107" s="115">
        <v>217600</v>
      </c>
      <c r="L107" s="115">
        <v>106400</v>
      </c>
      <c r="M107" s="115">
        <f t="shared" si="3"/>
        <v>352240</v>
      </c>
      <c r="N107" s="108">
        <f t="shared" si="4"/>
        <v>5.1567944250871083</v>
      </c>
    </row>
    <row r="108" spans="1:14" x14ac:dyDescent="0.3">
      <c r="A108" t="s">
        <v>25</v>
      </c>
      <c r="B108" t="s">
        <v>56</v>
      </c>
      <c r="C108" t="s">
        <v>1653</v>
      </c>
      <c r="D108" s="115">
        <v>483475</v>
      </c>
      <c r="E108" s="115">
        <v>573391</v>
      </c>
      <c r="F108" s="115">
        <v>143250</v>
      </c>
      <c r="G108" s="115">
        <v>0</v>
      </c>
      <c r="H108" s="115">
        <v>0</v>
      </c>
      <c r="I108" s="115">
        <v>0</v>
      </c>
      <c r="J108" s="115">
        <v>155085</v>
      </c>
      <c r="K108" s="115"/>
      <c r="L108" s="115">
        <v>113390</v>
      </c>
      <c r="M108" s="115">
        <f t="shared" si="3"/>
        <v>53695</v>
      </c>
      <c r="N108" s="108">
        <f t="shared" si="4"/>
        <v>0.37483420593368239</v>
      </c>
    </row>
    <row r="109" spans="1:14" x14ac:dyDescent="0.3">
      <c r="A109" t="s">
        <v>50</v>
      </c>
      <c r="B109" t="s">
        <v>189</v>
      </c>
      <c r="C109" t="s">
        <v>1538</v>
      </c>
      <c r="D109" s="115">
        <v>21992876</v>
      </c>
      <c r="E109" s="115">
        <v>185100</v>
      </c>
      <c r="F109" s="115">
        <v>1808443</v>
      </c>
      <c r="G109" s="115"/>
      <c r="H109" s="115"/>
      <c r="I109" s="115">
        <v>41600</v>
      </c>
      <c r="J109" s="115">
        <v>0</v>
      </c>
      <c r="K109" s="115">
        <v>0</v>
      </c>
      <c r="L109" s="115"/>
      <c r="M109" s="115">
        <f t="shared" si="3"/>
        <v>13866.666666666666</v>
      </c>
      <c r="N109" s="108">
        <f t="shared" si="4"/>
        <v>7.6677377537841479E-3</v>
      </c>
    </row>
    <row r="110" spans="1:14" x14ac:dyDescent="0.3">
      <c r="A110" t="s">
        <v>50</v>
      </c>
      <c r="B110" t="s">
        <v>84</v>
      </c>
      <c r="C110" t="s">
        <v>1521</v>
      </c>
      <c r="D110" s="115">
        <v>2324427</v>
      </c>
      <c r="E110" s="115">
        <v>295500</v>
      </c>
      <c r="F110" s="115">
        <v>166828</v>
      </c>
      <c r="G110" s="115"/>
      <c r="H110" s="115"/>
      <c r="I110" s="115"/>
      <c r="J110" s="115"/>
      <c r="K110" s="115"/>
      <c r="L110" s="115"/>
      <c r="M110" s="115">
        <f t="shared" si="3"/>
        <v>0</v>
      </c>
      <c r="N110" s="108">
        <f t="shared" si="4"/>
        <v>0</v>
      </c>
    </row>
    <row r="111" spans="1:14" x14ac:dyDescent="0.3">
      <c r="A111" t="s">
        <v>50</v>
      </c>
      <c r="B111" t="s">
        <v>126</v>
      </c>
      <c r="C111" t="s">
        <v>1656</v>
      </c>
      <c r="D111" s="115">
        <v>2324427</v>
      </c>
      <c r="E111" s="115">
        <v>1849740</v>
      </c>
      <c r="F111" s="115">
        <v>92242</v>
      </c>
      <c r="G111" s="115">
        <v>100200</v>
      </c>
      <c r="H111" s="115"/>
      <c r="I111" s="115">
        <v>273000</v>
      </c>
      <c r="J111" s="115">
        <v>0</v>
      </c>
      <c r="K111" s="115">
        <v>0</v>
      </c>
      <c r="L111" s="115"/>
      <c r="M111" s="115">
        <f t="shared" si="3"/>
        <v>93300</v>
      </c>
      <c r="N111" s="108">
        <f t="shared" si="4"/>
        <v>1.0114698293618958</v>
      </c>
    </row>
    <row r="112" spans="1:14" x14ac:dyDescent="0.3">
      <c r="A112" t="s">
        <v>50</v>
      </c>
      <c r="B112" t="s">
        <v>77</v>
      </c>
      <c r="C112" t="s">
        <v>1656</v>
      </c>
      <c r="D112" s="115">
        <v>2076170</v>
      </c>
      <c r="E112" s="115">
        <v>1235121.55</v>
      </c>
      <c r="F112" s="115">
        <v>113459</v>
      </c>
      <c r="G112" s="115"/>
      <c r="H112" s="115"/>
      <c r="I112" s="115">
        <v>203075</v>
      </c>
      <c r="J112" s="115">
        <v>0</v>
      </c>
      <c r="K112" s="115">
        <v>0</v>
      </c>
      <c r="L112" s="115"/>
      <c r="M112" s="115">
        <f t="shared" si="3"/>
        <v>67691.666666666672</v>
      </c>
      <c r="N112" s="108">
        <f t="shared" si="4"/>
        <v>0.59661786783478321</v>
      </c>
    </row>
    <row r="113" spans="1:14" x14ac:dyDescent="0.3">
      <c r="A113" t="s">
        <v>52</v>
      </c>
      <c r="B113" t="s">
        <v>117</v>
      </c>
      <c r="C113" t="s">
        <v>1651</v>
      </c>
      <c r="D113" s="115">
        <v>2270000</v>
      </c>
      <c r="E113" s="115">
        <v>2752000</v>
      </c>
      <c r="F113" s="115">
        <v>380500</v>
      </c>
      <c r="G113" s="115">
        <v>0</v>
      </c>
      <c r="H113" s="115"/>
      <c r="I113" s="115">
        <v>1198000</v>
      </c>
      <c r="J113" s="115">
        <v>0</v>
      </c>
      <c r="K113" s="115">
        <v>-120000</v>
      </c>
      <c r="L113" s="115">
        <v>120000</v>
      </c>
      <c r="M113" s="115">
        <f t="shared" si="3"/>
        <v>239600</v>
      </c>
      <c r="N113" s="108">
        <f t="shared" si="4"/>
        <v>0.62969776609724049</v>
      </c>
    </row>
    <row r="114" spans="1:14" x14ac:dyDescent="0.3">
      <c r="A114" t="s">
        <v>52</v>
      </c>
      <c r="B114" t="s">
        <v>84</v>
      </c>
      <c r="C114" t="s">
        <v>1677</v>
      </c>
      <c r="D114" s="115">
        <v>2164000</v>
      </c>
      <c r="E114" s="115">
        <v>2091600</v>
      </c>
      <c r="F114" s="115">
        <v>292900</v>
      </c>
      <c r="G114" s="115"/>
      <c r="H114" s="115">
        <v>357700</v>
      </c>
      <c r="I114" s="115">
        <v>135000</v>
      </c>
      <c r="J114" s="115">
        <v>225400</v>
      </c>
      <c r="K114" s="115">
        <v>0</v>
      </c>
      <c r="L114" s="115">
        <v>247700</v>
      </c>
      <c r="M114" s="115">
        <f t="shared" si="3"/>
        <v>193160</v>
      </c>
      <c r="N114" s="108">
        <f t="shared" si="4"/>
        <v>0.65947422328439742</v>
      </c>
    </row>
    <row r="115" spans="1:14" x14ac:dyDescent="0.3">
      <c r="A115" t="s">
        <v>52</v>
      </c>
      <c r="B115" t="s">
        <v>59</v>
      </c>
      <c r="C115" t="s">
        <v>1693</v>
      </c>
      <c r="D115" s="115">
        <v>2120000</v>
      </c>
      <c r="E115" s="115">
        <v>3244000</v>
      </c>
      <c r="F115" s="115">
        <v>270000</v>
      </c>
      <c r="G115" s="115"/>
      <c r="H115" s="115"/>
      <c r="I115" s="115">
        <v>569000</v>
      </c>
      <c r="J115" s="115">
        <v>0</v>
      </c>
      <c r="K115" s="115">
        <v>170000</v>
      </c>
      <c r="L115" s="115"/>
      <c r="M115" s="115">
        <f t="shared" si="3"/>
        <v>246333.33333333334</v>
      </c>
      <c r="N115" s="108">
        <f t="shared" si="4"/>
        <v>0.91234567901234576</v>
      </c>
    </row>
    <row r="116" spans="1:14" x14ac:dyDescent="0.3">
      <c r="A116" t="s">
        <v>52</v>
      </c>
      <c r="B116" t="s">
        <v>137</v>
      </c>
      <c r="C116" t="s">
        <v>1531</v>
      </c>
      <c r="D116" s="115">
        <v>1904821</v>
      </c>
      <c r="E116" s="115">
        <v>368850</v>
      </c>
      <c r="F116" s="115">
        <v>299183</v>
      </c>
      <c r="G116" s="115"/>
      <c r="H116" s="115"/>
      <c r="I116" s="115"/>
      <c r="J116" s="115">
        <v>368850</v>
      </c>
      <c r="K116" s="115"/>
      <c r="L116" s="115"/>
      <c r="M116" s="115">
        <f t="shared" si="3"/>
        <v>368850</v>
      </c>
      <c r="N116" s="108">
        <f t="shared" si="4"/>
        <v>1.2328574818756413</v>
      </c>
    </row>
    <row r="117" spans="1:14" x14ac:dyDescent="0.3">
      <c r="A117" t="s">
        <v>53</v>
      </c>
      <c r="B117" t="s">
        <v>175</v>
      </c>
      <c r="C117" t="s">
        <v>1656</v>
      </c>
      <c r="D117" s="115">
        <v>4528470</v>
      </c>
      <c r="E117" s="115">
        <v>543500</v>
      </c>
      <c r="F117" s="115">
        <v>306830</v>
      </c>
      <c r="G117" s="115"/>
      <c r="H117" s="115">
        <v>64500</v>
      </c>
      <c r="I117" s="115">
        <v>180000</v>
      </c>
      <c r="J117" s="115"/>
      <c r="K117" s="115"/>
      <c r="L117" s="115"/>
      <c r="M117" s="115"/>
      <c r="N117" s="108"/>
    </row>
    <row r="118" spans="1:14" x14ac:dyDescent="0.3">
      <c r="A118" t="s">
        <v>53</v>
      </c>
      <c r="B118" t="s">
        <v>64</v>
      </c>
      <c r="C118" t="s">
        <v>1656</v>
      </c>
      <c r="D118" s="115">
        <v>3727984</v>
      </c>
      <c r="E118" s="115">
        <v>844500</v>
      </c>
      <c r="F118" s="115">
        <v>275624</v>
      </c>
      <c r="G118" s="115">
        <v>77500</v>
      </c>
      <c r="H118" s="115">
        <v>16400</v>
      </c>
      <c r="I118" s="115">
        <v>140000</v>
      </c>
      <c r="J118" s="115">
        <v>0</v>
      </c>
      <c r="K118" s="115">
        <v>0</v>
      </c>
      <c r="L118" s="115">
        <v>0</v>
      </c>
      <c r="M118" s="115"/>
      <c r="N118" s="108"/>
    </row>
    <row r="119" spans="1:14" x14ac:dyDescent="0.3">
      <c r="I119"/>
    </row>
    <row r="120" spans="1:14" x14ac:dyDescent="0.3">
      <c r="I120"/>
    </row>
    <row r="121" spans="1:14" x14ac:dyDescent="0.3">
      <c r="I121"/>
    </row>
    <row r="122" spans="1:14" x14ac:dyDescent="0.3">
      <c r="I122"/>
    </row>
    <row r="123" spans="1:14" x14ac:dyDescent="0.3">
      <c r="I123"/>
    </row>
    <row r="124" spans="1:14" x14ac:dyDescent="0.3">
      <c r="I124"/>
    </row>
    <row r="125" spans="1:14" x14ac:dyDescent="0.3">
      <c r="I125"/>
    </row>
    <row r="126" spans="1:14" x14ac:dyDescent="0.3">
      <c r="I126"/>
    </row>
    <row r="127" spans="1:14" x14ac:dyDescent="0.3">
      <c r="I127"/>
    </row>
    <row r="128" spans="1:14"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row r="145" spans="9:9" x14ac:dyDescent="0.3">
      <c r="I145"/>
    </row>
    <row r="146" spans="9:9" x14ac:dyDescent="0.3">
      <c r="I146"/>
    </row>
    <row r="147" spans="9:9" x14ac:dyDescent="0.3">
      <c r="I147"/>
    </row>
    <row r="148" spans="9:9" x14ac:dyDescent="0.3">
      <c r="I148"/>
    </row>
    <row r="149" spans="9:9" x14ac:dyDescent="0.3">
      <c r="I149"/>
    </row>
    <row r="150" spans="9:9" x14ac:dyDescent="0.3">
      <c r="I150"/>
    </row>
    <row r="151" spans="9:9" x14ac:dyDescent="0.3">
      <c r="I151"/>
    </row>
    <row r="152" spans="9:9" x14ac:dyDescent="0.3">
      <c r="I152"/>
    </row>
    <row r="153" spans="9:9" x14ac:dyDescent="0.3">
      <c r="I153"/>
    </row>
    <row r="154" spans="9:9" x14ac:dyDescent="0.3">
      <c r="I154"/>
    </row>
    <row r="155" spans="9:9" x14ac:dyDescent="0.3">
      <c r="I155"/>
    </row>
    <row r="156" spans="9:9" x14ac:dyDescent="0.3">
      <c r="I156"/>
    </row>
    <row r="157" spans="9:9" x14ac:dyDescent="0.3">
      <c r="I157"/>
    </row>
    <row r="158" spans="9:9" x14ac:dyDescent="0.3">
      <c r="I158"/>
    </row>
    <row r="159" spans="9:9" x14ac:dyDescent="0.3">
      <c r="I159"/>
    </row>
    <row r="160" spans="9:9" x14ac:dyDescent="0.3">
      <c r="I160"/>
    </row>
    <row r="161" spans="9:9" x14ac:dyDescent="0.3">
      <c r="I161"/>
    </row>
    <row r="162" spans="9:9" x14ac:dyDescent="0.3">
      <c r="I162"/>
    </row>
    <row r="163" spans="9:9" x14ac:dyDescent="0.3">
      <c r="I163"/>
    </row>
    <row r="164" spans="9:9" x14ac:dyDescent="0.3">
      <c r="I164"/>
    </row>
    <row r="165" spans="9:9" x14ac:dyDescent="0.3">
      <c r="I165"/>
    </row>
    <row r="166" spans="9:9" x14ac:dyDescent="0.3">
      <c r="I166"/>
    </row>
    <row r="167" spans="9:9" x14ac:dyDescent="0.3">
      <c r="I167"/>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E4C39-EDEC-4350-ACF2-8A6819BB19E2}">
  <dimension ref="A1:P116"/>
  <sheetViews>
    <sheetView zoomScale="90" workbookViewId="0">
      <pane xSplit="1" topLeftCell="B1" activePane="topRight" state="frozen"/>
      <selection pane="topRight" activeCell="B8" sqref="B8"/>
    </sheetView>
  </sheetViews>
  <sheetFormatPr defaultRowHeight="14.4" outlineLevelCol="1" x14ac:dyDescent="0.3"/>
  <cols>
    <col min="1" max="1" width="13.5546875" customWidth="1"/>
    <col min="2" max="2" width="48.33203125" customWidth="1"/>
    <col min="3" max="3" width="18.6640625" hidden="1" customWidth="1"/>
    <col min="4" max="4" width="14.77734375" customWidth="1"/>
    <col min="5" max="5" width="15" bestFit="1" customWidth="1"/>
    <col min="6" max="6" width="14.5546875" bestFit="1" customWidth="1"/>
    <col min="7" max="7" width="12.5546875" hidden="1" customWidth="1" outlineLevel="1"/>
    <col min="8" max="8" width="12.44140625" hidden="1" customWidth="1" outlineLevel="1"/>
    <col min="9" max="9" width="12.77734375" hidden="1" customWidth="1" outlineLevel="1"/>
    <col min="10" max="10" width="12.6640625" hidden="1" customWidth="1" outlineLevel="1"/>
    <col min="11" max="11" width="12.21875" hidden="1" customWidth="1" outlineLevel="1"/>
    <col min="12" max="12" width="12.33203125" hidden="1" customWidth="1" outlineLevel="1"/>
    <col min="13" max="13" width="16.109375" bestFit="1" customWidth="1" collapsed="1"/>
    <col min="14" max="14" width="8.109375" bestFit="1" customWidth="1"/>
    <col min="15" max="15" width="50.77734375" style="102" customWidth="1"/>
  </cols>
  <sheetData>
    <row r="1" spans="1:16" ht="43.2" x14ac:dyDescent="0.3">
      <c r="A1" s="614" t="s">
        <v>202</v>
      </c>
      <c r="B1" s="614" t="s">
        <v>216</v>
      </c>
      <c r="C1" s="614" t="s">
        <v>1491</v>
      </c>
      <c r="D1" s="614" t="s">
        <v>39</v>
      </c>
      <c r="E1" s="614" t="s">
        <v>1377</v>
      </c>
      <c r="F1" s="614" t="s">
        <v>1552</v>
      </c>
      <c r="G1" s="614" t="s">
        <v>1480</v>
      </c>
      <c r="H1" s="614" t="s">
        <v>1481</v>
      </c>
      <c r="I1" s="614" t="s">
        <v>1482</v>
      </c>
      <c r="J1" s="614" t="s">
        <v>1483</v>
      </c>
      <c r="K1" s="614" t="s">
        <v>1484</v>
      </c>
      <c r="L1" s="614" t="s">
        <v>1490</v>
      </c>
      <c r="M1" s="608" t="s">
        <v>1567</v>
      </c>
      <c r="N1" s="608" t="s">
        <v>1558</v>
      </c>
      <c r="O1" s="614" t="s">
        <v>1602</v>
      </c>
    </row>
    <row r="2" spans="1:16" x14ac:dyDescent="0.3">
      <c r="A2" t="s">
        <v>21</v>
      </c>
      <c r="D2" s="107">
        <f>SUMIF($A$8:$A$80,$A2,D8:D80)</f>
        <v>212668044</v>
      </c>
      <c r="E2" s="107">
        <f t="shared" ref="E2:M2" si="0">SUMIF($A$8:$A$80,$A2,E8:E80)</f>
        <v>212358985.66613033</v>
      </c>
      <c r="F2" s="107">
        <f t="shared" si="0"/>
        <v>18841866</v>
      </c>
      <c r="G2" s="107">
        <f t="shared" si="0"/>
        <v>6893451.4800000004</v>
      </c>
      <c r="H2" s="107">
        <f t="shared" si="0"/>
        <v>719743.49</v>
      </c>
      <c r="I2" s="107">
        <f t="shared" si="0"/>
        <v>484967</v>
      </c>
      <c r="J2" s="107">
        <f t="shared" si="0"/>
        <v>4313609</v>
      </c>
      <c r="K2" s="107">
        <f t="shared" si="0"/>
        <v>6055272.5</v>
      </c>
      <c r="L2" s="107">
        <f t="shared" si="0"/>
        <v>6528992</v>
      </c>
      <c r="M2" s="107">
        <f t="shared" si="0"/>
        <v>4166005.9116666662</v>
      </c>
      <c r="N2" s="108">
        <f>M2/F2</f>
        <v>0.22110368005306194</v>
      </c>
    </row>
    <row r="3" spans="1:16" x14ac:dyDescent="0.3">
      <c r="A3" t="s">
        <v>24</v>
      </c>
      <c r="D3" s="107">
        <f>SUMIF($A$8:$A$80,$A3,D8:D80)</f>
        <v>120366352</v>
      </c>
      <c r="E3" s="107">
        <f t="shared" ref="E3:M3" si="1">SUMIF($A$8:$A$80,$A3,E8:E80)</f>
        <v>165207270.08000001</v>
      </c>
      <c r="F3" s="107">
        <f t="shared" si="1"/>
        <v>17430548</v>
      </c>
      <c r="G3" s="107">
        <f t="shared" si="1"/>
        <v>10367703</v>
      </c>
      <c r="H3" s="107">
        <f t="shared" si="1"/>
        <v>12168544</v>
      </c>
      <c r="I3" s="107">
        <f t="shared" si="1"/>
        <v>8311780</v>
      </c>
      <c r="J3" s="107">
        <f t="shared" si="1"/>
        <v>24240888.5</v>
      </c>
      <c r="K3" s="107">
        <f t="shared" si="1"/>
        <v>4120656</v>
      </c>
      <c r="L3" s="107">
        <f t="shared" si="1"/>
        <v>12227814</v>
      </c>
      <c r="M3" s="107">
        <f t="shared" si="1"/>
        <v>11906230.916666666</v>
      </c>
      <c r="N3" s="108">
        <f>M3/F3</f>
        <v>0.68306693034933075</v>
      </c>
      <c r="P3" s="108"/>
    </row>
    <row r="4" spans="1:16" x14ac:dyDescent="0.3">
      <c r="A4" t="s">
        <v>49</v>
      </c>
      <c r="D4" s="107">
        <f>SUMIF($A$8:$A$80,$A4,D8:D80)</f>
        <v>96440445</v>
      </c>
      <c r="E4" s="107">
        <f t="shared" ref="E4:M4" si="2">SUMIF($A$8:$A$80,$A4,E8:E80)</f>
        <v>167478219.85999998</v>
      </c>
      <c r="F4" s="107">
        <f t="shared" si="2"/>
        <v>9353845</v>
      </c>
      <c r="G4" s="107">
        <f t="shared" si="2"/>
        <v>9527183.9000000004</v>
      </c>
      <c r="H4" s="107">
        <f t="shared" si="2"/>
        <v>8900891.5999999996</v>
      </c>
      <c r="I4" s="107">
        <f t="shared" si="2"/>
        <v>18081430.199999999</v>
      </c>
      <c r="J4" s="107">
        <f t="shared" si="2"/>
        <v>14818165.670000002</v>
      </c>
      <c r="K4" s="107">
        <f t="shared" si="2"/>
        <v>13351511.630000001</v>
      </c>
      <c r="L4" s="107">
        <f t="shared" si="2"/>
        <v>3753765.4</v>
      </c>
      <c r="M4" s="107">
        <f t="shared" si="2"/>
        <v>11405491.4</v>
      </c>
      <c r="N4" s="108">
        <f>M4/F4</f>
        <v>1.2193372244248222</v>
      </c>
    </row>
    <row r="5" spans="1:16" x14ac:dyDescent="0.3">
      <c r="A5" t="s">
        <v>51</v>
      </c>
      <c r="D5" s="107">
        <f>SUMIF($A$8:$A$80,$A5,D8:D80)</f>
        <v>46301837.5</v>
      </c>
      <c r="E5" s="107">
        <f t="shared" ref="E5:M5" si="3">SUMIF($A$8:$A$80,$A5,E8:E80)</f>
        <v>71428894.180000007</v>
      </c>
      <c r="F5" s="107">
        <f t="shared" si="3"/>
        <v>10897077</v>
      </c>
      <c r="G5" s="107">
        <f t="shared" si="3"/>
        <v>3882221.3</v>
      </c>
      <c r="H5" s="107">
        <f t="shared" si="3"/>
        <v>3066304</v>
      </c>
      <c r="I5" s="107">
        <f t="shared" si="3"/>
        <v>5501600</v>
      </c>
      <c r="J5" s="107">
        <f>SUMIF($A$8:$A$80,$A5,J8:J80)</f>
        <v>23396091.800000001</v>
      </c>
      <c r="K5" s="107">
        <f t="shared" si="3"/>
        <v>664600</v>
      </c>
      <c r="L5" s="107">
        <f t="shared" si="3"/>
        <v>1134483.3400000001</v>
      </c>
      <c r="M5" s="107">
        <f t="shared" si="3"/>
        <v>6274216.7400000002</v>
      </c>
      <c r="N5" s="108">
        <f>M5/F5</f>
        <v>0.57577061628544979</v>
      </c>
    </row>
    <row r="8" spans="1:16" ht="43.2" x14ac:dyDescent="0.3">
      <c r="A8" s="614" t="s">
        <v>202</v>
      </c>
      <c r="B8" s="614" t="s">
        <v>216</v>
      </c>
      <c r="C8" s="614" t="s">
        <v>1491</v>
      </c>
      <c r="D8" s="614" t="s">
        <v>39</v>
      </c>
      <c r="E8" s="614" t="s">
        <v>1377</v>
      </c>
      <c r="F8" s="614" t="s">
        <v>1552</v>
      </c>
      <c r="G8" s="614" t="s">
        <v>1480</v>
      </c>
      <c r="H8" s="614" t="s">
        <v>1481</v>
      </c>
      <c r="I8" s="614" t="s">
        <v>1482</v>
      </c>
      <c r="J8" s="614" t="s">
        <v>1483</v>
      </c>
      <c r="K8" s="614" t="s">
        <v>1484</v>
      </c>
      <c r="L8" s="614" t="s">
        <v>1490</v>
      </c>
      <c r="M8" s="608" t="s">
        <v>1567</v>
      </c>
      <c r="N8" s="608" t="s">
        <v>1558</v>
      </c>
      <c r="O8" s="614" t="s">
        <v>1570</v>
      </c>
    </row>
    <row r="9" spans="1:16" ht="46.2" customHeight="1" x14ac:dyDescent="0.3">
      <c r="A9" t="s">
        <v>21</v>
      </c>
      <c r="B9" t="s">
        <v>138</v>
      </c>
      <c r="C9" t="s">
        <v>1494</v>
      </c>
      <c r="D9" s="115">
        <v>25027938</v>
      </c>
      <c r="E9" s="115">
        <v>6462518.4299999997</v>
      </c>
      <c r="F9" s="115">
        <v>2885447</v>
      </c>
      <c r="G9" s="115">
        <v>12320</v>
      </c>
      <c r="H9" s="115">
        <v>0</v>
      </c>
      <c r="I9" s="115">
        <v>0</v>
      </c>
      <c r="J9" s="115">
        <v>1849806</v>
      </c>
      <c r="K9" s="115">
        <v>0</v>
      </c>
      <c r="L9" s="115">
        <v>1541262</v>
      </c>
      <c r="M9" s="115">
        <f>AVERAGE(G9:L9)</f>
        <v>567231.33333333337</v>
      </c>
      <c r="N9" s="108">
        <f>M9/F9</f>
        <v>0.19658352183676683</v>
      </c>
      <c r="O9" s="102" t="s">
        <v>1572</v>
      </c>
    </row>
    <row r="10" spans="1:16" x14ac:dyDescent="0.3">
      <c r="A10" t="s">
        <v>21</v>
      </c>
      <c r="B10" t="s">
        <v>58</v>
      </c>
      <c r="C10" t="s">
        <v>1493</v>
      </c>
      <c r="D10" s="115">
        <v>18831680</v>
      </c>
      <c r="E10" s="115">
        <v>93756678.099999994</v>
      </c>
      <c r="F10" s="115">
        <v>2459926</v>
      </c>
      <c r="G10" s="115">
        <v>3637852.48</v>
      </c>
      <c r="H10" s="115">
        <v>0</v>
      </c>
      <c r="I10" s="115">
        <v>0</v>
      </c>
      <c r="J10" s="115">
        <v>2463803</v>
      </c>
      <c r="K10" s="115">
        <v>4416842</v>
      </c>
      <c r="L10" s="115">
        <v>3493108</v>
      </c>
      <c r="M10" s="115">
        <f t="shared" ref="M10:M73" si="4">AVERAGE(G10:L10)</f>
        <v>2335267.58</v>
      </c>
      <c r="N10" s="108">
        <f t="shared" ref="N10:N73" si="5">M10/F10</f>
        <v>0.9493243211381156</v>
      </c>
      <c r="O10" s="102" t="s">
        <v>1592</v>
      </c>
    </row>
    <row r="11" spans="1:16" ht="30.6" customHeight="1" x14ac:dyDescent="0.3">
      <c r="A11" t="s">
        <v>21</v>
      </c>
      <c r="B11" t="s">
        <v>115</v>
      </c>
      <c r="C11" t="s">
        <v>1494</v>
      </c>
      <c r="D11" s="115">
        <v>18824399</v>
      </c>
      <c r="E11" s="115">
        <v>5032518.5561303068</v>
      </c>
      <c r="F11" s="115">
        <v>1550725</v>
      </c>
      <c r="G11" s="115">
        <v>425000</v>
      </c>
      <c r="H11" s="115">
        <v>0</v>
      </c>
      <c r="I11" s="115">
        <v>167883.5</v>
      </c>
      <c r="J11" s="115">
        <v>0</v>
      </c>
      <c r="K11" s="115">
        <v>24300</v>
      </c>
      <c r="L11" s="115">
        <v>328038.5</v>
      </c>
      <c r="M11" s="115">
        <f t="shared" si="4"/>
        <v>157537</v>
      </c>
      <c r="N11" s="108">
        <f t="shared" si="5"/>
        <v>0.10158925663802415</v>
      </c>
      <c r="O11" s="102" t="s">
        <v>1573</v>
      </c>
    </row>
    <row r="12" spans="1:16" ht="45" customHeight="1" x14ac:dyDescent="0.3">
      <c r="A12" t="s">
        <v>21</v>
      </c>
      <c r="B12" t="s">
        <v>111</v>
      </c>
      <c r="C12" t="s">
        <v>1534</v>
      </c>
      <c r="D12" s="115">
        <v>18808000</v>
      </c>
      <c r="E12" s="115">
        <v>9998644.8000000007</v>
      </c>
      <c r="F12" s="115">
        <v>3123750</v>
      </c>
      <c r="G12" s="115">
        <v>0</v>
      </c>
      <c r="H12" s="115">
        <v>0</v>
      </c>
      <c r="I12" s="115">
        <v>0</v>
      </c>
      <c r="J12" s="115">
        <v>0</v>
      </c>
      <c r="K12" s="115">
        <v>0</v>
      </c>
      <c r="L12" s="115">
        <v>0</v>
      </c>
      <c r="M12" s="115">
        <f t="shared" si="4"/>
        <v>0</v>
      </c>
      <c r="N12" s="108">
        <f t="shared" si="5"/>
        <v>0</v>
      </c>
      <c r="O12" s="102" t="s">
        <v>1571</v>
      </c>
    </row>
    <row r="13" spans="1:16" ht="30.6" customHeight="1" x14ac:dyDescent="0.3">
      <c r="A13" t="s">
        <v>21</v>
      </c>
      <c r="B13" t="s">
        <v>75</v>
      </c>
      <c r="C13" t="s">
        <v>940</v>
      </c>
      <c r="D13" s="115">
        <v>16465883</v>
      </c>
      <c r="E13" s="115">
        <v>7362783.54</v>
      </c>
      <c r="F13" s="115">
        <v>864628</v>
      </c>
      <c r="G13" s="115">
        <v>0</v>
      </c>
      <c r="H13" s="115">
        <v>0</v>
      </c>
      <c r="I13" s="115">
        <v>0</v>
      </c>
      <c r="J13" s="115">
        <v>0</v>
      </c>
      <c r="K13" s="115">
        <v>0</v>
      </c>
      <c r="L13" s="115">
        <v>0</v>
      </c>
      <c r="M13" s="115">
        <f t="shared" si="4"/>
        <v>0</v>
      </c>
      <c r="N13" s="108">
        <f t="shared" si="5"/>
        <v>0</v>
      </c>
      <c r="O13" s="102" t="s">
        <v>1574</v>
      </c>
    </row>
    <row r="14" spans="1:16" x14ac:dyDescent="0.3">
      <c r="A14" t="s">
        <v>21</v>
      </c>
      <c r="B14" t="s">
        <v>83</v>
      </c>
      <c r="C14" t="s">
        <v>1494</v>
      </c>
      <c r="D14" s="115">
        <v>14446400</v>
      </c>
      <c r="E14" s="115">
        <v>1116500</v>
      </c>
      <c r="F14" s="115">
        <v>855600</v>
      </c>
      <c r="G14" s="115">
        <v>0</v>
      </c>
      <c r="H14" s="115">
        <v>0</v>
      </c>
      <c r="I14" s="115">
        <v>0</v>
      </c>
      <c r="J14" s="115">
        <v>0</v>
      </c>
      <c r="K14" s="115">
        <v>647500</v>
      </c>
      <c r="L14" s="115">
        <v>0</v>
      </c>
      <c r="M14" s="115">
        <f t="shared" si="4"/>
        <v>107916.66666666667</v>
      </c>
      <c r="N14" s="108">
        <f t="shared" si="5"/>
        <v>0.12612981143836685</v>
      </c>
      <c r="O14" s="102" t="s">
        <v>1575</v>
      </c>
    </row>
    <row r="15" spans="1:16" ht="43.8" customHeight="1" x14ac:dyDescent="0.3">
      <c r="A15" t="s">
        <v>21</v>
      </c>
      <c r="B15" t="s">
        <v>98</v>
      </c>
      <c r="C15" t="s">
        <v>1531</v>
      </c>
      <c r="D15" s="115">
        <v>14396400</v>
      </c>
      <c r="E15" s="115">
        <v>1686228</v>
      </c>
      <c r="F15" s="115">
        <v>984486</v>
      </c>
      <c r="G15" s="115">
        <v>0</v>
      </c>
      <c r="H15" s="115">
        <v>0</v>
      </c>
      <c r="I15" s="115">
        <v>0</v>
      </c>
      <c r="J15" s="115">
        <v>0</v>
      </c>
      <c r="K15" s="115">
        <v>0</v>
      </c>
      <c r="L15" s="115">
        <v>0</v>
      </c>
      <c r="M15" s="115">
        <f t="shared" si="4"/>
        <v>0</v>
      </c>
      <c r="N15" s="108">
        <f t="shared" si="5"/>
        <v>0</v>
      </c>
      <c r="O15" s="102" t="s">
        <v>1578</v>
      </c>
    </row>
    <row r="16" spans="1:16" x14ac:dyDescent="0.3">
      <c r="A16" t="s">
        <v>21</v>
      </c>
      <c r="B16" t="s">
        <v>114</v>
      </c>
      <c r="C16" t="s">
        <v>1494</v>
      </c>
      <c r="D16" s="115">
        <v>9412200</v>
      </c>
      <c r="E16" s="115">
        <v>8472834.4199999999</v>
      </c>
      <c r="F16" s="115">
        <v>507479</v>
      </c>
      <c r="G16" s="115">
        <v>387500</v>
      </c>
      <c r="H16" s="115">
        <v>0</v>
      </c>
      <c r="I16" s="115">
        <v>0</v>
      </c>
      <c r="J16" s="115">
        <v>0</v>
      </c>
      <c r="K16" s="115">
        <v>0</v>
      </c>
      <c r="L16" s="115">
        <v>0</v>
      </c>
      <c r="M16" s="115">
        <f t="shared" si="4"/>
        <v>64583.333333333336</v>
      </c>
      <c r="N16" s="108">
        <f t="shared" si="5"/>
        <v>0.12726306572948504</v>
      </c>
      <c r="O16" s="102" t="s">
        <v>1582</v>
      </c>
    </row>
    <row r="17" spans="1:15" ht="27" customHeight="1" x14ac:dyDescent="0.3">
      <c r="A17" t="s">
        <v>21</v>
      </c>
      <c r="B17" s="625" t="s">
        <v>96</v>
      </c>
      <c r="C17" t="s">
        <v>1494</v>
      </c>
      <c r="D17" s="115">
        <v>9412200</v>
      </c>
      <c r="E17" s="115">
        <v>8521068.0399999991</v>
      </c>
      <c r="F17" s="115">
        <v>504629</v>
      </c>
      <c r="G17" s="115">
        <v>375730</v>
      </c>
      <c r="H17" s="115">
        <v>0</v>
      </c>
      <c r="I17" s="115">
        <v>0</v>
      </c>
      <c r="J17" s="115">
        <v>0</v>
      </c>
      <c r="K17" s="115">
        <v>0</v>
      </c>
      <c r="L17" s="115">
        <v>0</v>
      </c>
      <c r="M17" s="115">
        <f t="shared" si="4"/>
        <v>62621.666666666664</v>
      </c>
      <c r="N17" s="108">
        <f t="shared" si="5"/>
        <v>0.12409446676006862</v>
      </c>
      <c r="O17" s="102" t="s">
        <v>1576</v>
      </c>
    </row>
    <row r="18" spans="1:15" ht="22.2" customHeight="1" x14ac:dyDescent="0.3">
      <c r="A18" t="s">
        <v>21</v>
      </c>
      <c r="B18" t="s">
        <v>110</v>
      </c>
      <c r="C18" t="s">
        <v>1504</v>
      </c>
      <c r="D18" s="115">
        <v>9297200</v>
      </c>
      <c r="E18" s="115">
        <v>19584358.120000001</v>
      </c>
      <c r="F18" s="115">
        <v>829374</v>
      </c>
      <c r="G18" s="115">
        <v>0</v>
      </c>
      <c r="H18" s="115">
        <v>0</v>
      </c>
      <c r="I18" s="115">
        <v>0</v>
      </c>
      <c r="J18" s="115">
        <v>0</v>
      </c>
      <c r="K18" s="115">
        <v>0</v>
      </c>
      <c r="L18" s="115">
        <v>0</v>
      </c>
      <c r="M18" s="115">
        <f t="shared" si="4"/>
        <v>0</v>
      </c>
      <c r="N18" s="108">
        <f t="shared" si="5"/>
        <v>0</v>
      </c>
      <c r="O18" s="102" t="s">
        <v>1577</v>
      </c>
    </row>
    <row r="19" spans="1:15" ht="35.4" customHeight="1" x14ac:dyDescent="0.3">
      <c r="A19" t="s">
        <v>21</v>
      </c>
      <c r="B19" s="625" t="s">
        <v>80</v>
      </c>
      <c r="C19" t="s">
        <v>1494</v>
      </c>
      <c r="D19" s="115">
        <v>8595000</v>
      </c>
      <c r="E19" s="115">
        <v>8910802.5800000001</v>
      </c>
      <c r="F19" s="115">
        <v>529967</v>
      </c>
      <c r="G19" s="115">
        <v>340000</v>
      </c>
      <c r="H19" s="115">
        <v>0</v>
      </c>
      <c r="I19" s="115">
        <v>0</v>
      </c>
      <c r="J19" s="115">
        <v>0</v>
      </c>
      <c r="K19" s="115">
        <v>0</v>
      </c>
      <c r="L19" s="115">
        <v>0</v>
      </c>
      <c r="M19" s="115">
        <f t="shared" si="4"/>
        <v>56666.666666666664</v>
      </c>
      <c r="N19" s="108">
        <f t="shared" si="5"/>
        <v>0.10692489658161106</v>
      </c>
      <c r="O19" s="102" t="s">
        <v>1576</v>
      </c>
    </row>
    <row r="20" spans="1:15" x14ac:dyDescent="0.3">
      <c r="A20" t="s">
        <v>21</v>
      </c>
      <c r="B20" t="s">
        <v>133</v>
      </c>
      <c r="C20" t="s">
        <v>1494</v>
      </c>
      <c r="D20" s="115">
        <v>8595000</v>
      </c>
      <c r="E20" s="115">
        <v>8117293.96</v>
      </c>
      <c r="F20" s="115">
        <v>424250</v>
      </c>
      <c r="G20" s="115">
        <v>154000</v>
      </c>
      <c r="H20" s="115">
        <v>0</v>
      </c>
      <c r="I20" s="115">
        <v>0</v>
      </c>
      <c r="J20" s="115">
        <v>0</v>
      </c>
      <c r="K20" s="115">
        <v>0</v>
      </c>
      <c r="L20" s="115">
        <v>0</v>
      </c>
      <c r="M20" s="115">
        <f t="shared" si="4"/>
        <v>25666.666666666668</v>
      </c>
      <c r="N20" s="108">
        <f t="shared" si="5"/>
        <v>6.0498919662148896E-2</v>
      </c>
      <c r="O20" s="102" t="s">
        <v>1593</v>
      </c>
    </row>
    <row r="21" spans="1:15" x14ac:dyDescent="0.3">
      <c r="A21" t="s">
        <v>21</v>
      </c>
      <c r="B21" t="s">
        <v>116</v>
      </c>
      <c r="C21" t="s">
        <v>1494</v>
      </c>
      <c r="D21" s="115">
        <v>8002112</v>
      </c>
      <c r="E21" s="115">
        <v>2520521</v>
      </c>
      <c r="F21" s="115">
        <v>497587</v>
      </c>
      <c r="G21" s="115">
        <v>398000</v>
      </c>
      <c r="H21" s="115">
        <v>0</v>
      </c>
      <c r="I21" s="115">
        <v>167883.5</v>
      </c>
      <c r="J21" s="115">
        <v>0</v>
      </c>
      <c r="K21" s="115">
        <v>24300</v>
      </c>
      <c r="L21" s="115">
        <v>328038.5</v>
      </c>
      <c r="M21" s="115">
        <f t="shared" si="4"/>
        <v>153037</v>
      </c>
      <c r="N21" s="108">
        <f t="shared" si="5"/>
        <v>0.30755827624113974</v>
      </c>
      <c r="O21" s="102" t="s">
        <v>1593</v>
      </c>
    </row>
    <row r="22" spans="1:15" ht="28.8" x14ac:dyDescent="0.3">
      <c r="A22" t="s">
        <v>21</v>
      </c>
      <c r="B22" t="s">
        <v>104</v>
      </c>
      <c r="C22" t="s">
        <v>1530</v>
      </c>
      <c r="D22" s="115">
        <v>7420000</v>
      </c>
      <c r="E22" s="115">
        <v>8799267.5500000007</v>
      </c>
      <c r="F22" s="115">
        <v>824400</v>
      </c>
      <c r="G22" s="115">
        <v>424300</v>
      </c>
      <c r="H22" s="115">
        <v>0</v>
      </c>
      <c r="I22" s="115">
        <v>0</v>
      </c>
      <c r="J22" s="115">
        <v>0</v>
      </c>
      <c r="K22" s="115">
        <v>0</v>
      </c>
      <c r="L22" s="115">
        <v>0</v>
      </c>
      <c r="M22" s="115">
        <f t="shared" si="4"/>
        <v>70716.666666666672</v>
      </c>
      <c r="N22" s="108">
        <f t="shared" si="5"/>
        <v>8.5779556849425856E-2</v>
      </c>
      <c r="O22" s="102" t="s">
        <v>1594</v>
      </c>
    </row>
    <row r="23" spans="1:15" x14ac:dyDescent="0.3">
      <c r="A23" t="s">
        <v>21</v>
      </c>
      <c r="B23" t="s">
        <v>106</v>
      </c>
      <c r="C23" t="s">
        <v>940</v>
      </c>
      <c r="D23" s="115">
        <v>6938187</v>
      </c>
      <c r="E23" s="115">
        <v>1700000</v>
      </c>
      <c r="F23" s="115">
        <v>618263</v>
      </c>
      <c r="G23" s="115">
        <v>417200</v>
      </c>
      <c r="H23" s="115">
        <v>109500</v>
      </c>
      <c r="I23" s="115">
        <v>149200</v>
      </c>
      <c r="J23" s="115">
        <v>0</v>
      </c>
      <c r="K23" s="115">
        <v>0</v>
      </c>
      <c r="L23" s="115">
        <v>0</v>
      </c>
      <c r="M23" s="115">
        <f t="shared" si="4"/>
        <v>112650</v>
      </c>
      <c r="N23" s="108">
        <f t="shared" si="5"/>
        <v>0.18220401350234447</v>
      </c>
      <c r="O23" s="102" t="s">
        <v>1582</v>
      </c>
    </row>
    <row r="24" spans="1:15" x14ac:dyDescent="0.3">
      <c r="A24" t="s">
        <v>21</v>
      </c>
      <c r="B24" t="s">
        <v>1546</v>
      </c>
      <c r="C24" t="s">
        <v>1494</v>
      </c>
      <c r="D24" s="115">
        <v>6818058</v>
      </c>
      <c r="E24" s="115">
        <v>11011877</v>
      </c>
      <c r="F24" s="115">
        <v>392516</v>
      </c>
      <c r="G24" s="115">
        <v>15980</v>
      </c>
      <c r="H24" s="115">
        <v>58140</v>
      </c>
      <c r="I24" s="115">
        <v>0</v>
      </c>
      <c r="J24" s="115">
        <v>0</v>
      </c>
      <c r="K24" s="115">
        <v>511332</v>
      </c>
      <c r="L24" s="115">
        <v>544884</v>
      </c>
      <c r="M24" s="115">
        <f t="shared" si="4"/>
        <v>188389.33333333334</v>
      </c>
      <c r="N24" s="108">
        <f t="shared" si="5"/>
        <v>0.47995325880558587</v>
      </c>
      <c r="O24" s="102" t="s">
        <v>1579</v>
      </c>
    </row>
    <row r="25" spans="1:15" x14ac:dyDescent="0.3">
      <c r="A25" t="s">
        <v>21</v>
      </c>
      <c r="B25" t="s">
        <v>63</v>
      </c>
      <c r="C25" t="s">
        <v>940</v>
      </c>
      <c r="D25" s="115">
        <v>5962387</v>
      </c>
      <c r="E25" s="115">
        <v>2296787.5700000003</v>
      </c>
      <c r="F25" s="115">
        <v>469966</v>
      </c>
      <c r="G25" s="115">
        <v>0</v>
      </c>
      <c r="H25" s="115">
        <v>375282.49</v>
      </c>
      <c r="I25" s="115">
        <v>0</v>
      </c>
      <c r="J25" s="115">
        <v>0</v>
      </c>
      <c r="K25" s="115">
        <v>24249.5</v>
      </c>
      <c r="L25" s="115">
        <v>48499</v>
      </c>
      <c r="M25" s="115">
        <f t="shared" si="4"/>
        <v>74671.831666666665</v>
      </c>
      <c r="N25" s="108">
        <f t="shared" si="5"/>
        <v>0.15888773159476785</v>
      </c>
      <c r="O25" s="102" t="s">
        <v>1595</v>
      </c>
    </row>
    <row r="26" spans="1:15" x14ac:dyDescent="0.3">
      <c r="A26" t="s">
        <v>21</v>
      </c>
      <c r="B26" t="s">
        <v>100</v>
      </c>
      <c r="C26" t="s">
        <v>1533</v>
      </c>
      <c r="D26" s="115">
        <v>5415000</v>
      </c>
      <c r="E26" s="115">
        <v>7008304</v>
      </c>
      <c r="F26" s="115">
        <v>518873</v>
      </c>
      <c r="G26" s="115">
        <v>305569</v>
      </c>
      <c r="H26" s="115">
        <v>176821</v>
      </c>
      <c r="I26" s="115">
        <v>0</v>
      </c>
      <c r="J26" s="115">
        <v>0</v>
      </c>
      <c r="K26" s="115">
        <v>406749</v>
      </c>
      <c r="L26" s="115">
        <v>245162</v>
      </c>
      <c r="M26" s="115">
        <f t="shared" si="4"/>
        <v>189050.16666666666</v>
      </c>
      <c r="N26" s="108">
        <f t="shared" si="5"/>
        <v>0.36434766632040338</v>
      </c>
      <c r="O26" s="102" t="s">
        <v>1596</v>
      </c>
    </row>
    <row r="27" spans="1:15" x14ac:dyDescent="0.3">
      <c r="A27" t="s">
        <v>24</v>
      </c>
      <c r="B27" t="s">
        <v>124</v>
      </c>
      <c r="C27" t="s">
        <v>1524</v>
      </c>
      <c r="D27" s="115">
        <v>22359460</v>
      </c>
      <c r="E27" s="115">
        <v>18037291.666666664</v>
      </c>
      <c r="F27" s="115">
        <v>2496926</v>
      </c>
      <c r="G27" s="115">
        <v>886166.66666666663</v>
      </c>
      <c r="H27" s="115">
        <v>1327250</v>
      </c>
      <c r="I27" s="115">
        <v>1800000</v>
      </c>
      <c r="J27" s="115">
        <v>5819625</v>
      </c>
      <c r="K27" s="115">
        <v>0</v>
      </c>
      <c r="L27" s="115">
        <v>3480000</v>
      </c>
      <c r="M27" s="115">
        <f t="shared" si="4"/>
        <v>2218840.2777777775</v>
      </c>
      <c r="N27" s="108">
        <f t="shared" si="5"/>
        <v>0.88862876904552934</v>
      </c>
      <c r="O27" s="102" t="s">
        <v>1583</v>
      </c>
    </row>
    <row r="28" spans="1:15" x14ac:dyDescent="0.3">
      <c r="A28" t="s">
        <v>24</v>
      </c>
      <c r="B28" t="s">
        <v>130</v>
      </c>
      <c r="C28" t="s">
        <v>1494</v>
      </c>
      <c r="D28" s="115">
        <v>9640642</v>
      </c>
      <c r="E28" s="115">
        <v>14876603</v>
      </c>
      <c r="F28" s="115">
        <v>3074893</v>
      </c>
      <c r="G28" s="115">
        <v>1174300</v>
      </c>
      <c r="H28" s="115">
        <v>2198150</v>
      </c>
      <c r="I28" s="115">
        <v>0</v>
      </c>
      <c r="J28" s="115">
        <v>0</v>
      </c>
      <c r="K28" s="115">
        <v>0</v>
      </c>
      <c r="L28" s="115">
        <v>0</v>
      </c>
      <c r="M28" s="115">
        <f t="shared" si="4"/>
        <v>562075</v>
      </c>
      <c r="N28" s="108">
        <f t="shared" si="5"/>
        <v>0.18279497855697743</v>
      </c>
      <c r="O28" s="102" t="s">
        <v>1587</v>
      </c>
    </row>
    <row r="29" spans="1:15" x14ac:dyDescent="0.3">
      <c r="A29" t="s">
        <v>24</v>
      </c>
      <c r="B29" t="s">
        <v>193</v>
      </c>
      <c r="C29" t="s">
        <v>1494</v>
      </c>
      <c r="D29" s="115">
        <v>5490000</v>
      </c>
      <c r="E29" s="115">
        <v>754200</v>
      </c>
      <c r="F29" s="115">
        <v>413290</v>
      </c>
      <c r="G29" s="115">
        <v>0</v>
      </c>
      <c r="H29" s="115">
        <v>0</v>
      </c>
      <c r="I29" s="115">
        <v>0</v>
      </c>
      <c r="J29" s="115">
        <v>0</v>
      </c>
      <c r="K29" s="115">
        <v>377100</v>
      </c>
      <c r="L29" s="115">
        <v>377100</v>
      </c>
      <c r="M29" s="115">
        <f t="shared" si="4"/>
        <v>125700</v>
      </c>
      <c r="N29" s="108">
        <f t="shared" si="5"/>
        <v>0.30414478937307943</v>
      </c>
      <c r="O29" s="102" t="s">
        <v>1583</v>
      </c>
    </row>
    <row r="30" spans="1:15" x14ac:dyDescent="0.3">
      <c r="A30" t="s">
        <v>24</v>
      </c>
      <c r="B30" t="s">
        <v>142</v>
      </c>
      <c r="C30" t="s">
        <v>1524</v>
      </c>
      <c r="D30" s="115">
        <v>4910685</v>
      </c>
      <c r="E30" s="115">
        <v>1978788.1666666667</v>
      </c>
      <c r="F30" s="115">
        <v>472477</v>
      </c>
      <c r="G30" s="115">
        <v>0</v>
      </c>
      <c r="H30" s="115">
        <v>0</v>
      </c>
      <c r="I30" s="115">
        <v>0</v>
      </c>
      <c r="J30" s="115">
        <v>1032747.5</v>
      </c>
      <c r="K30" s="115">
        <v>273653.33333333331</v>
      </c>
      <c r="L30" s="115">
        <v>566637.33333333337</v>
      </c>
      <c r="M30" s="115">
        <f t="shared" si="4"/>
        <v>312173.02777777775</v>
      </c>
      <c r="N30" s="108">
        <f t="shared" si="5"/>
        <v>0.66071581850074768</v>
      </c>
      <c r="O30" s="102" t="s">
        <v>1583</v>
      </c>
    </row>
    <row r="31" spans="1:15" x14ac:dyDescent="0.3">
      <c r="A31" t="s">
        <v>24</v>
      </c>
      <c r="B31" t="s">
        <v>144</v>
      </c>
      <c r="C31" t="s">
        <v>1505</v>
      </c>
      <c r="D31" s="115">
        <v>4910685</v>
      </c>
      <c r="E31" s="115">
        <v>1237987.5</v>
      </c>
      <c r="F31" s="115">
        <v>674745</v>
      </c>
      <c r="G31" s="115">
        <v>0</v>
      </c>
      <c r="H31" s="115">
        <v>0</v>
      </c>
      <c r="I31" s="115">
        <v>0</v>
      </c>
      <c r="J31" s="115">
        <v>1032747.5</v>
      </c>
      <c r="K31" s="115">
        <v>205240</v>
      </c>
      <c r="L31" s="115">
        <v>0</v>
      </c>
      <c r="M31" s="115">
        <f t="shared" si="4"/>
        <v>206331.25</v>
      </c>
      <c r="N31" s="108">
        <f t="shared" si="5"/>
        <v>0.30579144713928968</v>
      </c>
      <c r="O31" s="102" t="s">
        <v>1583</v>
      </c>
    </row>
    <row r="32" spans="1:15" x14ac:dyDescent="0.3">
      <c r="A32" t="s">
        <v>24</v>
      </c>
      <c r="B32" t="s">
        <v>87</v>
      </c>
      <c r="C32" t="s">
        <v>1505</v>
      </c>
      <c r="D32" s="115">
        <v>4715000</v>
      </c>
      <c r="E32" s="115">
        <v>6824828</v>
      </c>
      <c r="F32" s="115">
        <v>551283</v>
      </c>
      <c r="G32" s="115">
        <v>571425</v>
      </c>
      <c r="H32" s="115">
        <v>0</v>
      </c>
      <c r="I32" s="115">
        <v>0</v>
      </c>
      <c r="J32" s="115">
        <v>1474506</v>
      </c>
      <c r="K32" s="115">
        <v>40800</v>
      </c>
      <c r="L32" s="115">
        <v>0</v>
      </c>
      <c r="M32" s="115">
        <f t="shared" si="4"/>
        <v>347788.5</v>
      </c>
      <c r="N32" s="108">
        <f t="shared" si="5"/>
        <v>0.63087107710558821</v>
      </c>
      <c r="O32" s="102" t="s">
        <v>1588</v>
      </c>
    </row>
    <row r="33" spans="1:15" x14ac:dyDescent="0.3">
      <c r="A33" t="s">
        <v>24</v>
      </c>
      <c r="B33" t="s">
        <v>121</v>
      </c>
      <c r="C33" t="s">
        <v>1524</v>
      </c>
      <c r="D33" s="115">
        <v>4171088</v>
      </c>
      <c r="E33" s="115">
        <v>10777479.166666666</v>
      </c>
      <c r="F33" s="115">
        <v>1012173</v>
      </c>
      <c r="G33" s="115">
        <v>886166.66666666663</v>
      </c>
      <c r="H33" s="115">
        <v>1327250</v>
      </c>
      <c r="I33" s="115">
        <v>900000</v>
      </c>
      <c r="J33" s="115">
        <v>2909812.5</v>
      </c>
      <c r="K33" s="115">
        <v>0</v>
      </c>
      <c r="L33" s="115">
        <v>1740000</v>
      </c>
      <c r="M33" s="115">
        <f t="shared" si="4"/>
        <v>1293871.5277777778</v>
      </c>
      <c r="N33" s="108">
        <f t="shared" si="5"/>
        <v>1.2783106522084444</v>
      </c>
      <c r="O33" s="102" t="s">
        <v>1592</v>
      </c>
    </row>
    <row r="34" spans="1:15" x14ac:dyDescent="0.3">
      <c r="A34" t="s">
        <v>24</v>
      </c>
      <c r="B34" t="s">
        <v>120</v>
      </c>
      <c r="C34" t="s">
        <v>1524</v>
      </c>
      <c r="D34" s="115">
        <v>4171088</v>
      </c>
      <c r="E34" s="115">
        <v>10777479.166666666</v>
      </c>
      <c r="F34" s="115">
        <v>1012173</v>
      </c>
      <c r="G34" s="115">
        <v>886166.66666666663</v>
      </c>
      <c r="H34" s="115">
        <v>1327250</v>
      </c>
      <c r="I34" s="115">
        <v>900000</v>
      </c>
      <c r="J34" s="115">
        <v>2909812.5</v>
      </c>
      <c r="K34" s="115">
        <v>0</v>
      </c>
      <c r="L34" s="115">
        <v>1740000</v>
      </c>
      <c r="M34" s="115">
        <f t="shared" si="4"/>
        <v>1293871.5277777778</v>
      </c>
      <c r="N34" s="108">
        <f t="shared" si="5"/>
        <v>1.2783106522084444</v>
      </c>
      <c r="O34" s="102" t="s">
        <v>1592</v>
      </c>
    </row>
    <row r="35" spans="1:15" x14ac:dyDescent="0.3">
      <c r="A35" t="s">
        <v>24</v>
      </c>
      <c r="B35" t="s">
        <v>113</v>
      </c>
      <c r="C35" t="s">
        <v>1524</v>
      </c>
      <c r="D35" s="115">
        <v>3706000</v>
      </c>
      <c r="E35" s="115">
        <v>16272745</v>
      </c>
      <c r="F35" s="115">
        <v>541370</v>
      </c>
      <c r="G35" s="115">
        <v>505350</v>
      </c>
      <c r="H35" s="115">
        <v>359125</v>
      </c>
      <c r="I35" s="115">
        <v>714925</v>
      </c>
      <c r="J35" s="115">
        <v>377400</v>
      </c>
      <c r="K35" s="115">
        <v>574900</v>
      </c>
      <c r="L35" s="115">
        <v>986225</v>
      </c>
      <c r="M35" s="115">
        <f t="shared" si="4"/>
        <v>586320.83333333337</v>
      </c>
      <c r="N35" s="108">
        <f t="shared" si="5"/>
        <v>1.0830316296309981</v>
      </c>
      <c r="O35" s="102" t="s">
        <v>1592</v>
      </c>
    </row>
    <row r="36" spans="1:15" ht="26.4" customHeight="1" x14ac:dyDescent="0.3">
      <c r="A36" t="s">
        <v>24</v>
      </c>
      <c r="B36" t="s">
        <v>66</v>
      </c>
      <c r="C36" t="s">
        <v>1511</v>
      </c>
      <c r="D36" s="115">
        <v>3650471</v>
      </c>
      <c r="E36" s="115">
        <v>1366459</v>
      </c>
      <c r="F36" s="115">
        <v>424199</v>
      </c>
      <c r="G36" s="115">
        <v>0</v>
      </c>
      <c r="H36" s="115">
        <v>0</v>
      </c>
      <c r="I36" s="115">
        <v>0</v>
      </c>
      <c r="J36" s="115">
        <v>0</v>
      </c>
      <c r="K36" s="115">
        <v>0</v>
      </c>
      <c r="L36" s="115">
        <v>0</v>
      </c>
      <c r="M36" s="115">
        <f t="shared" si="4"/>
        <v>0</v>
      </c>
      <c r="N36" s="108">
        <f t="shared" si="5"/>
        <v>0</v>
      </c>
      <c r="O36" s="102" t="s">
        <v>1582</v>
      </c>
    </row>
    <row r="37" spans="1:15" x14ac:dyDescent="0.3">
      <c r="A37" t="s">
        <v>24</v>
      </c>
      <c r="B37" t="s">
        <v>89</v>
      </c>
      <c r="C37" t="s">
        <v>1505</v>
      </c>
      <c r="D37" s="115">
        <v>3650000</v>
      </c>
      <c r="E37" s="115">
        <v>1508840</v>
      </c>
      <c r="F37" s="115">
        <v>1194783</v>
      </c>
      <c r="G37" s="115">
        <v>278280</v>
      </c>
      <c r="H37" s="115">
        <v>431600</v>
      </c>
      <c r="I37" s="115">
        <v>107800</v>
      </c>
      <c r="J37" s="115">
        <v>80800</v>
      </c>
      <c r="K37" s="115">
        <v>191400</v>
      </c>
      <c r="L37" s="115">
        <v>62000</v>
      </c>
      <c r="M37" s="115">
        <f t="shared" si="4"/>
        <v>191980</v>
      </c>
      <c r="N37" s="108">
        <f t="shared" si="5"/>
        <v>0.16068189788438569</v>
      </c>
      <c r="O37" s="102" t="s">
        <v>1597</v>
      </c>
    </row>
    <row r="38" spans="1:15" ht="18" customHeight="1" x14ac:dyDescent="0.3">
      <c r="A38" t="s">
        <v>24</v>
      </c>
      <c r="B38" t="s">
        <v>60</v>
      </c>
      <c r="C38" t="s">
        <v>1511</v>
      </c>
      <c r="D38" s="115">
        <v>3535471</v>
      </c>
      <c r="E38" s="115">
        <v>1366459</v>
      </c>
      <c r="F38" s="115">
        <v>536481</v>
      </c>
      <c r="G38" s="115">
        <v>0</v>
      </c>
      <c r="H38" s="115">
        <v>0</v>
      </c>
      <c r="I38" s="115">
        <v>0</v>
      </c>
      <c r="J38" s="115">
        <v>0</v>
      </c>
      <c r="K38" s="115">
        <v>0</v>
      </c>
      <c r="L38" s="115">
        <v>0</v>
      </c>
      <c r="M38" s="115">
        <f t="shared" si="4"/>
        <v>0</v>
      </c>
      <c r="N38" s="108">
        <f t="shared" si="5"/>
        <v>0</v>
      </c>
      <c r="O38" s="102" t="s">
        <v>1582</v>
      </c>
    </row>
    <row r="39" spans="1:15" x14ac:dyDescent="0.3">
      <c r="A39" t="s">
        <v>24</v>
      </c>
      <c r="B39" t="s">
        <v>164</v>
      </c>
      <c r="C39" t="s">
        <v>1524</v>
      </c>
      <c r="D39" s="115">
        <v>3460830</v>
      </c>
      <c r="E39" s="115">
        <v>746733</v>
      </c>
      <c r="F39" s="115">
        <v>259561</v>
      </c>
      <c r="G39" s="115">
        <v>0</v>
      </c>
      <c r="H39" s="115">
        <v>0</v>
      </c>
      <c r="I39" s="115">
        <v>0</v>
      </c>
      <c r="J39" s="115">
        <v>0</v>
      </c>
      <c r="K39" s="115">
        <v>0</v>
      </c>
      <c r="L39" s="115">
        <v>746733</v>
      </c>
      <c r="M39" s="115">
        <f t="shared" si="4"/>
        <v>124455.5</v>
      </c>
      <c r="N39" s="108">
        <f t="shared" si="5"/>
        <v>0.47948459129067927</v>
      </c>
      <c r="O39" s="102" t="s">
        <v>1597</v>
      </c>
    </row>
    <row r="40" spans="1:15" x14ac:dyDescent="0.3">
      <c r="A40" t="s">
        <v>24</v>
      </c>
      <c r="B40" t="s">
        <v>190</v>
      </c>
      <c r="C40" t="s">
        <v>1524</v>
      </c>
      <c r="D40" s="115">
        <v>3276255</v>
      </c>
      <c r="E40" s="115">
        <v>3688788.166666667</v>
      </c>
      <c r="F40" s="115">
        <v>386629</v>
      </c>
      <c r="G40" s="115">
        <v>0</v>
      </c>
      <c r="H40" s="115">
        <v>0</v>
      </c>
      <c r="I40" s="115">
        <v>0</v>
      </c>
      <c r="J40" s="115">
        <v>1032747.5</v>
      </c>
      <c r="K40" s="115">
        <v>273653.33333333331</v>
      </c>
      <c r="L40" s="115">
        <v>566637.33333333337</v>
      </c>
      <c r="M40" s="115">
        <f t="shared" si="4"/>
        <v>312173.02777777775</v>
      </c>
      <c r="N40" s="108">
        <f t="shared" si="5"/>
        <v>0.80742269146333501</v>
      </c>
      <c r="O40" s="102" t="s">
        <v>1597</v>
      </c>
    </row>
    <row r="41" spans="1:15" ht="43.2" x14ac:dyDescent="0.3">
      <c r="A41" t="s">
        <v>24</v>
      </c>
      <c r="B41" t="s">
        <v>118</v>
      </c>
      <c r="C41" t="s">
        <v>1505</v>
      </c>
      <c r="D41" s="115">
        <v>3100000</v>
      </c>
      <c r="E41" s="115">
        <v>2491525.5</v>
      </c>
      <c r="F41" s="115">
        <v>29400</v>
      </c>
      <c r="G41" s="115">
        <v>0</v>
      </c>
      <c r="H41" s="115">
        <v>0</v>
      </c>
      <c r="I41" s="115">
        <v>0</v>
      </c>
      <c r="J41" s="115">
        <v>0</v>
      </c>
      <c r="K41" s="115">
        <v>0</v>
      </c>
      <c r="L41" s="115">
        <v>0</v>
      </c>
      <c r="M41" s="115">
        <f t="shared" si="4"/>
        <v>0</v>
      </c>
      <c r="N41" s="108">
        <f t="shared" si="5"/>
        <v>0</v>
      </c>
      <c r="O41" s="102" t="s">
        <v>1598</v>
      </c>
    </row>
    <row r="42" spans="1:15" ht="28.8" x14ac:dyDescent="0.3">
      <c r="A42" t="s">
        <v>24</v>
      </c>
      <c r="B42" t="s">
        <v>188</v>
      </c>
      <c r="C42" t="s">
        <v>1494</v>
      </c>
      <c r="D42" s="115">
        <v>3047232</v>
      </c>
      <c r="E42" s="115">
        <v>1068530</v>
      </c>
      <c r="F42" s="115">
        <v>455552</v>
      </c>
      <c r="G42" s="115">
        <v>109500</v>
      </c>
      <c r="H42" s="115">
        <v>0</v>
      </c>
      <c r="I42" s="115">
        <v>416420</v>
      </c>
      <c r="J42" s="115">
        <v>0</v>
      </c>
      <c r="K42" s="115">
        <v>0</v>
      </c>
      <c r="L42" s="115">
        <v>0</v>
      </c>
      <c r="M42" s="115">
        <f t="shared" si="4"/>
        <v>87653.333333333328</v>
      </c>
      <c r="N42" s="108">
        <f t="shared" si="5"/>
        <v>0.19241125784396365</v>
      </c>
      <c r="O42" s="102" t="s">
        <v>1589</v>
      </c>
    </row>
    <row r="43" spans="1:15" x14ac:dyDescent="0.3">
      <c r="A43" t="s">
        <v>24</v>
      </c>
      <c r="B43" t="s">
        <v>103</v>
      </c>
      <c r="C43" t="s">
        <v>1524</v>
      </c>
      <c r="D43" s="115">
        <v>3032232</v>
      </c>
      <c r="E43" s="115">
        <v>633610</v>
      </c>
      <c r="F43" s="115">
        <v>147374</v>
      </c>
      <c r="G43" s="115">
        <v>251840</v>
      </c>
      <c r="H43" s="115">
        <v>381770</v>
      </c>
      <c r="I43" s="115">
        <v>0</v>
      </c>
      <c r="J43" s="115">
        <v>0</v>
      </c>
      <c r="K43" s="115">
        <v>0</v>
      </c>
      <c r="L43" s="115">
        <v>0</v>
      </c>
      <c r="M43" s="115">
        <f t="shared" si="4"/>
        <v>105601.66666666667</v>
      </c>
      <c r="N43" s="108">
        <f t="shared" si="5"/>
        <v>0.71655561134709422</v>
      </c>
      <c r="O43" s="102" t="s">
        <v>1597</v>
      </c>
    </row>
    <row r="44" spans="1:15" ht="28.8" x14ac:dyDescent="0.3">
      <c r="A44" t="s">
        <v>24</v>
      </c>
      <c r="B44" t="s">
        <v>192</v>
      </c>
      <c r="C44" t="s">
        <v>1494</v>
      </c>
      <c r="D44" s="115">
        <v>2998200</v>
      </c>
      <c r="E44" s="115">
        <v>772700</v>
      </c>
      <c r="F44" s="115">
        <v>320078</v>
      </c>
      <c r="G44" s="115">
        <v>0</v>
      </c>
      <c r="H44" s="115">
        <v>0</v>
      </c>
      <c r="I44" s="115">
        <v>0</v>
      </c>
      <c r="J44" s="115">
        <v>0</v>
      </c>
      <c r="K44" s="115">
        <v>229400</v>
      </c>
      <c r="L44" s="115">
        <v>236500</v>
      </c>
      <c r="M44" s="115">
        <f t="shared" si="4"/>
        <v>77650</v>
      </c>
      <c r="N44" s="108">
        <f t="shared" si="5"/>
        <v>0.24259711695274278</v>
      </c>
      <c r="O44" s="102" t="s">
        <v>1601</v>
      </c>
    </row>
    <row r="45" spans="1:15" ht="28.8" x14ac:dyDescent="0.3">
      <c r="A45" t="s">
        <v>24</v>
      </c>
      <c r="B45" t="s">
        <v>71</v>
      </c>
      <c r="C45" t="s">
        <v>1539</v>
      </c>
      <c r="D45" s="115">
        <v>2915000</v>
      </c>
      <c r="E45" s="115">
        <v>1592380</v>
      </c>
      <c r="F45" s="115">
        <v>305347</v>
      </c>
      <c r="G45" s="115">
        <v>179500</v>
      </c>
      <c r="H45" s="115">
        <v>17500</v>
      </c>
      <c r="I45" s="115">
        <v>75800</v>
      </c>
      <c r="J45" s="115">
        <v>348380</v>
      </c>
      <c r="K45" s="115">
        <v>0</v>
      </c>
      <c r="L45" s="115">
        <v>0</v>
      </c>
      <c r="M45" s="115">
        <f t="shared" si="4"/>
        <v>103530</v>
      </c>
      <c r="N45" s="108">
        <f t="shared" si="5"/>
        <v>0.33905687627518855</v>
      </c>
      <c r="O45" s="102" t="s">
        <v>1590</v>
      </c>
    </row>
    <row r="46" spans="1:15" x14ac:dyDescent="0.3">
      <c r="A46" t="s">
        <v>24</v>
      </c>
      <c r="B46" t="s">
        <v>109</v>
      </c>
      <c r="C46" t="s">
        <v>1539</v>
      </c>
      <c r="D46" s="115">
        <v>2915000</v>
      </c>
      <c r="E46" s="115">
        <v>2563000</v>
      </c>
      <c r="F46" s="115">
        <v>307062</v>
      </c>
      <c r="G46" s="115">
        <v>0</v>
      </c>
      <c r="H46" s="115">
        <v>0</v>
      </c>
      <c r="I46" s="115">
        <v>0</v>
      </c>
      <c r="J46" s="115">
        <v>844820</v>
      </c>
      <c r="K46" s="115">
        <v>174700</v>
      </c>
      <c r="L46" s="115">
        <v>0</v>
      </c>
      <c r="M46" s="115">
        <f t="shared" si="4"/>
        <v>169920</v>
      </c>
      <c r="N46" s="108">
        <f t="shared" si="5"/>
        <v>0.55337358579049178</v>
      </c>
      <c r="O46" s="102" t="s">
        <v>1591</v>
      </c>
    </row>
    <row r="47" spans="1:15" x14ac:dyDescent="0.3">
      <c r="A47" t="s">
        <v>24</v>
      </c>
      <c r="B47" t="s">
        <v>181</v>
      </c>
      <c r="C47" t="s">
        <v>1539</v>
      </c>
      <c r="D47" s="115">
        <v>2894655</v>
      </c>
      <c r="E47" s="115">
        <v>0</v>
      </c>
      <c r="F47" s="115">
        <v>529290</v>
      </c>
      <c r="G47" s="115">
        <v>0</v>
      </c>
      <c r="H47" s="115">
        <v>0</v>
      </c>
      <c r="I47" s="115">
        <v>0</v>
      </c>
      <c r="J47" s="115">
        <v>0</v>
      </c>
      <c r="K47" s="115">
        <v>0</v>
      </c>
      <c r="L47" s="115">
        <v>0</v>
      </c>
      <c r="M47" s="115">
        <f t="shared" si="4"/>
        <v>0</v>
      </c>
      <c r="N47" s="108">
        <f t="shared" si="5"/>
        <v>0</v>
      </c>
      <c r="O47" s="102" t="s">
        <v>1587</v>
      </c>
    </row>
    <row r="48" spans="1:15" x14ac:dyDescent="0.3">
      <c r="A48" t="s">
        <v>24</v>
      </c>
      <c r="B48" t="s">
        <v>76</v>
      </c>
      <c r="C48" t="s">
        <v>1524</v>
      </c>
      <c r="D48" s="115">
        <v>2868545</v>
      </c>
      <c r="E48" s="115">
        <v>19598746.34</v>
      </c>
      <c r="F48" s="115">
        <v>586886</v>
      </c>
      <c r="G48" s="115">
        <v>896470</v>
      </c>
      <c r="H48" s="115">
        <v>147358</v>
      </c>
      <c r="I48" s="115">
        <v>1219060</v>
      </c>
      <c r="J48" s="115">
        <v>964490</v>
      </c>
      <c r="K48" s="115">
        <v>597810</v>
      </c>
      <c r="L48" s="115">
        <v>442650</v>
      </c>
      <c r="M48" s="115">
        <f t="shared" si="4"/>
        <v>711306.33333333337</v>
      </c>
      <c r="N48" s="108">
        <f t="shared" si="5"/>
        <v>1.2120008542260905</v>
      </c>
      <c r="O48" s="102" t="s">
        <v>1592</v>
      </c>
    </row>
    <row r="49" spans="1:15" ht="18.600000000000001" customHeight="1" x14ac:dyDescent="0.3">
      <c r="A49" t="s">
        <v>24</v>
      </c>
      <c r="B49" t="s">
        <v>72</v>
      </c>
      <c r="C49" t="s">
        <v>1505</v>
      </c>
      <c r="D49" s="115">
        <v>2668545</v>
      </c>
      <c r="E49" s="115">
        <v>13781860</v>
      </c>
      <c r="F49" s="115">
        <v>499567</v>
      </c>
      <c r="G49" s="115">
        <v>336820</v>
      </c>
      <c r="H49" s="115">
        <v>519620</v>
      </c>
      <c r="I49" s="115">
        <v>486400</v>
      </c>
      <c r="J49" s="115">
        <v>523620</v>
      </c>
      <c r="K49" s="115">
        <v>269500</v>
      </c>
      <c r="L49" s="115">
        <v>559660</v>
      </c>
      <c r="M49" s="115">
        <f t="shared" si="4"/>
        <v>449270</v>
      </c>
      <c r="N49" s="108">
        <f t="shared" si="5"/>
        <v>0.89931881008953751</v>
      </c>
      <c r="O49" s="102" t="s">
        <v>1583</v>
      </c>
    </row>
    <row r="50" spans="1:15" x14ac:dyDescent="0.3">
      <c r="A50" t="s">
        <v>24</v>
      </c>
      <c r="B50" t="s">
        <v>86</v>
      </c>
      <c r="C50" t="s">
        <v>1524</v>
      </c>
      <c r="D50" s="115">
        <v>2615000</v>
      </c>
      <c r="E50" s="115">
        <v>1605015</v>
      </c>
      <c r="F50" s="115">
        <v>124814</v>
      </c>
      <c r="G50" s="115">
        <v>0</v>
      </c>
      <c r="H50" s="115">
        <v>0</v>
      </c>
      <c r="I50" s="115">
        <v>328080</v>
      </c>
      <c r="J50" s="115">
        <v>0</v>
      </c>
      <c r="K50" s="115">
        <v>337476</v>
      </c>
      <c r="L50" s="115">
        <v>0</v>
      </c>
      <c r="M50" s="115">
        <f t="shared" si="4"/>
        <v>110926</v>
      </c>
      <c r="N50" s="108">
        <f t="shared" si="5"/>
        <v>0.88873043088115111</v>
      </c>
      <c r="O50" s="102" t="s">
        <v>1597</v>
      </c>
    </row>
    <row r="51" spans="1:15" x14ac:dyDescent="0.3">
      <c r="A51" t="s">
        <v>24</v>
      </c>
      <c r="B51" t="s">
        <v>85</v>
      </c>
      <c r="C51" t="s">
        <v>1524</v>
      </c>
      <c r="D51" s="115">
        <v>2587355</v>
      </c>
      <c r="E51" s="115">
        <v>15428283.666666666</v>
      </c>
      <c r="F51" s="115">
        <v>223571</v>
      </c>
      <c r="G51" s="115">
        <v>3201023</v>
      </c>
      <c r="H51" s="115">
        <v>3372670</v>
      </c>
      <c r="I51" s="115">
        <v>539515</v>
      </c>
      <c r="J51" s="115">
        <v>4130990</v>
      </c>
      <c r="K51" s="115">
        <v>273653.33333333331</v>
      </c>
      <c r="L51" s="115">
        <v>566637.33333333337</v>
      </c>
      <c r="M51" s="115">
        <f t="shared" si="4"/>
        <v>2014081.4444444447</v>
      </c>
      <c r="N51" s="108">
        <f t="shared" si="5"/>
        <v>9.0086882665660788</v>
      </c>
      <c r="O51" s="102" t="s">
        <v>1592</v>
      </c>
    </row>
    <row r="52" spans="1:15" x14ac:dyDescent="0.3">
      <c r="A52" t="s">
        <v>24</v>
      </c>
      <c r="B52" t="s">
        <v>90</v>
      </c>
      <c r="C52" t="s">
        <v>1511</v>
      </c>
      <c r="D52" s="115">
        <v>2565000</v>
      </c>
      <c r="E52" s="115">
        <v>659500</v>
      </c>
      <c r="F52" s="115">
        <v>154595</v>
      </c>
      <c r="G52" s="115">
        <v>-91200</v>
      </c>
      <c r="H52" s="115">
        <v>0</v>
      </c>
      <c r="I52" s="115">
        <v>0</v>
      </c>
      <c r="J52" s="115">
        <v>97600</v>
      </c>
      <c r="K52" s="115">
        <v>0</v>
      </c>
      <c r="L52" s="115">
        <v>0</v>
      </c>
      <c r="M52" s="115">
        <f t="shared" si="4"/>
        <v>1066.6666666666667</v>
      </c>
      <c r="N52" s="108">
        <f t="shared" si="5"/>
        <v>6.8997488060200309E-3</v>
      </c>
      <c r="O52" s="102" t="s">
        <v>1584</v>
      </c>
    </row>
    <row r="53" spans="1:15" x14ac:dyDescent="0.3">
      <c r="A53" t="s">
        <v>24</v>
      </c>
      <c r="B53" t="s">
        <v>93</v>
      </c>
      <c r="C53" t="s">
        <v>1524</v>
      </c>
      <c r="D53" s="115">
        <v>2549913</v>
      </c>
      <c r="E53" s="115">
        <v>8936512</v>
      </c>
      <c r="F53" s="115">
        <v>237632</v>
      </c>
      <c r="G53" s="115">
        <v>295895</v>
      </c>
      <c r="H53" s="115">
        <v>671485</v>
      </c>
      <c r="I53" s="115">
        <v>766780</v>
      </c>
      <c r="J53" s="115">
        <v>660790</v>
      </c>
      <c r="K53" s="115">
        <v>280370</v>
      </c>
      <c r="L53" s="115">
        <v>77280</v>
      </c>
      <c r="M53" s="115">
        <f t="shared" si="4"/>
        <v>458766.66666666669</v>
      </c>
      <c r="N53" s="108">
        <f t="shared" si="5"/>
        <v>1.9305761289164198</v>
      </c>
      <c r="O53" s="102" t="s">
        <v>1592</v>
      </c>
    </row>
    <row r="54" spans="1:15" x14ac:dyDescent="0.3">
      <c r="A54" t="s">
        <v>24</v>
      </c>
      <c r="B54" t="s">
        <v>99</v>
      </c>
      <c r="C54" t="s">
        <v>1505</v>
      </c>
      <c r="D54" s="115">
        <v>1962000</v>
      </c>
      <c r="E54" s="115">
        <v>5860926.7400000002</v>
      </c>
      <c r="F54" s="115">
        <v>458397</v>
      </c>
      <c r="G54" s="115">
        <v>0</v>
      </c>
      <c r="H54" s="115">
        <v>87516</v>
      </c>
      <c r="I54" s="115">
        <v>57000</v>
      </c>
      <c r="J54" s="115">
        <v>0</v>
      </c>
      <c r="K54" s="115">
        <v>21000</v>
      </c>
      <c r="L54" s="115">
        <v>79754</v>
      </c>
      <c r="M54" s="115">
        <f t="shared" si="4"/>
        <v>40878.333333333336</v>
      </c>
      <c r="N54" s="108">
        <f t="shared" si="5"/>
        <v>8.9176703454283815E-2</v>
      </c>
      <c r="O54" s="102" t="s">
        <v>1597</v>
      </c>
    </row>
    <row r="55" spans="1:15" x14ac:dyDescent="0.3">
      <c r="A55" t="s">
        <v>49</v>
      </c>
      <c r="B55" t="s">
        <v>101</v>
      </c>
      <c r="C55" t="s">
        <v>1524</v>
      </c>
      <c r="D55" s="115">
        <v>14230000</v>
      </c>
      <c r="E55" s="115">
        <v>9322910.9000000004</v>
      </c>
      <c r="F55" s="115">
        <v>1178944</v>
      </c>
      <c r="G55" s="115">
        <v>97680</v>
      </c>
      <c r="H55" s="115">
        <v>1406074.6</v>
      </c>
      <c r="I55" s="115">
        <v>155950</v>
      </c>
      <c r="J55" s="115">
        <v>414563</v>
      </c>
      <c r="K55" s="115">
        <v>620260.30000000005</v>
      </c>
      <c r="L55" s="115">
        <v>932238</v>
      </c>
      <c r="M55" s="115">
        <f t="shared" si="4"/>
        <v>604460.9833333334</v>
      </c>
      <c r="N55" s="108">
        <f t="shared" si="5"/>
        <v>0.51271390611711276</v>
      </c>
      <c r="O55" s="102" t="s">
        <v>1583</v>
      </c>
    </row>
    <row r="56" spans="1:15" x14ac:dyDescent="0.3">
      <c r="A56" t="s">
        <v>49</v>
      </c>
      <c r="B56" t="s">
        <v>128</v>
      </c>
      <c r="C56" t="s">
        <v>1524</v>
      </c>
      <c r="D56" s="115">
        <v>8800000</v>
      </c>
      <c r="E56" s="115">
        <v>22502431</v>
      </c>
      <c r="F56" s="115">
        <v>379664</v>
      </c>
      <c r="G56" s="115">
        <v>2618773</v>
      </c>
      <c r="H56" s="115">
        <v>3250213</v>
      </c>
      <c r="I56" s="115">
        <v>3363259</v>
      </c>
      <c r="J56" s="115">
        <v>2171078</v>
      </c>
      <c r="K56" s="115">
        <v>5612247</v>
      </c>
      <c r="L56" s="115">
        <v>221538</v>
      </c>
      <c r="M56" s="115">
        <f t="shared" si="4"/>
        <v>2872851.3333333335</v>
      </c>
      <c r="N56" s="108">
        <f t="shared" si="5"/>
        <v>7.5668257547024043</v>
      </c>
      <c r="O56" s="102" t="s">
        <v>1592</v>
      </c>
    </row>
    <row r="57" spans="1:15" x14ac:dyDescent="0.3">
      <c r="A57" t="s">
        <v>49</v>
      </c>
      <c r="B57" t="s">
        <v>106</v>
      </c>
      <c r="C57" t="s">
        <v>1505</v>
      </c>
      <c r="D57" s="115">
        <v>8800000</v>
      </c>
      <c r="E57" s="115">
        <v>4013254</v>
      </c>
      <c r="F57" s="115">
        <v>513512</v>
      </c>
      <c r="G57" s="115">
        <v>492790</v>
      </c>
      <c r="H57" s="115">
        <v>0</v>
      </c>
      <c r="I57" s="115">
        <v>0</v>
      </c>
      <c r="J57" s="115">
        <v>191590</v>
      </c>
      <c r="K57" s="115">
        <v>0</v>
      </c>
      <c r="L57" s="115">
        <v>180500</v>
      </c>
      <c r="M57" s="115">
        <f t="shared" si="4"/>
        <v>144146.66666666666</v>
      </c>
      <c r="N57" s="108">
        <f t="shared" si="5"/>
        <v>0.28070749401507006</v>
      </c>
      <c r="O57" s="102" t="s">
        <v>1580</v>
      </c>
    </row>
    <row r="58" spans="1:15" x14ac:dyDescent="0.3">
      <c r="A58" t="s">
        <v>49</v>
      </c>
      <c r="B58" t="s">
        <v>95</v>
      </c>
      <c r="C58" t="s">
        <v>1494</v>
      </c>
      <c r="D58" s="115">
        <v>7091000</v>
      </c>
      <c r="E58" s="115">
        <v>11561014</v>
      </c>
      <c r="F58" s="115">
        <v>510888</v>
      </c>
      <c r="G58" s="115">
        <v>0</v>
      </c>
      <c r="H58" s="115">
        <v>0</v>
      </c>
      <c r="I58" s="115">
        <v>0</v>
      </c>
      <c r="J58" s="115">
        <v>0</v>
      </c>
      <c r="K58" s="115">
        <v>0</v>
      </c>
      <c r="L58" s="115">
        <v>0</v>
      </c>
      <c r="M58" s="115">
        <f t="shared" si="4"/>
        <v>0</v>
      </c>
      <c r="N58" s="108">
        <f t="shared" si="5"/>
        <v>0</v>
      </c>
      <c r="O58" s="102" t="s">
        <v>1585</v>
      </c>
    </row>
    <row r="59" spans="1:15" ht="28.8" x14ac:dyDescent="0.3">
      <c r="A59" t="s">
        <v>49</v>
      </c>
      <c r="B59" t="s">
        <v>89</v>
      </c>
      <c r="C59" t="s">
        <v>1505</v>
      </c>
      <c r="D59" s="115">
        <v>6941887</v>
      </c>
      <c r="E59" s="115">
        <v>808913.4</v>
      </c>
      <c r="F59" s="115">
        <v>882971</v>
      </c>
      <c r="G59" s="115">
        <v>0</v>
      </c>
      <c r="H59" s="115">
        <v>246700</v>
      </c>
      <c r="I59" s="115">
        <v>0</v>
      </c>
      <c r="J59" s="115">
        <v>2800</v>
      </c>
      <c r="K59" s="115">
        <v>142222</v>
      </c>
      <c r="L59" s="115">
        <v>417191.4</v>
      </c>
      <c r="M59" s="115">
        <f t="shared" si="4"/>
        <v>134818.9</v>
      </c>
      <c r="N59" s="108">
        <f t="shared" si="5"/>
        <v>0.15268780061859336</v>
      </c>
      <c r="O59" s="102" t="s">
        <v>1599</v>
      </c>
    </row>
    <row r="60" spans="1:15" x14ac:dyDescent="0.3">
      <c r="A60" t="s">
        <v>49</v>
      </c>
      <c r="B60" t="s">
        <v>143</v>
      </c>
      <c r="C60" t="s">
        <v>1524</v>
      </c>
      <c r="D60" s="115">
        <v>4620000</v>
      </c>
      <c r="E60" s="115">
        <v>11816933.870000003</v>
      </c>
      <c r="F60" s="115">
        <v>1411927</v>
      </c>
      <c r="G60" s="115">
        <v>0</v>
      </c>
      <c r="H60" s="115">
        <v>0</v>
      </c>
      <c r="I60" s="115">
        <v>3484134.2</v>
      </c>
      <c r="J60" s="115">
        <v>5106783.6700000027</v>
      </c>
      <c r="K60" s="115">
        <v>1516016</v>
      </c>
      <c r="L60" s="115">
        <v>0</v>
      </c>
      <c r="M60" s="115">
        <f t="shared" si="4"/>
        <v>1684488.9783333337</v>
      </c>
      <c r="N60" s="108">
        <f t="shared" si="5"/>
        <v>1.193042542803795</v>
      </c>
      <c r="O60" s="102" t="s">
        <v>1592</v>
      </c>
    </row>
    <row r="61" spans="1:15" x14ac:dyDescent="0.3">
      <c r="A61" t="s">
        <v>49</v>
      </c>
      <c r="B61" t="s">
        <v>126</v>
      </c>
      <c r="C61" t="s">
        <v>1505</v>
      </c>
      <c r="D61" s="115">
        <v>4520275</v>
      </c>
      <c r="E61" s="115">
        <v>7949786</v>
      </c>
      <c r="F61" s="115">
        <v>400000</v>
      </c>
      <c r="G61" s="115">
        <v>336333</v>
      </c>
      <c r="H61" s="115">
        <v>571545</v>
      </c>
      <c r="I61" s="115">
        <v>-18142</v>
      </c>
      <c r="J61" s="115">
        <v>441948</v>
      </c>
      <c r="K61" s="115">
        <v>141569</v>
      </c>
      <c r="L61" s="115">
        <v>520230</v>
      </c>
      <c r="M61" s="115">
        <f t="shared" si="4"/>
        <v>332247.16666666669</v>
      </c>
      <c r="N61" s="108">
        <f t="shared" si="5"/>
        <v>0.83061791666666673</v>
      </c>
      <c r="O61" s="102" t="s">
        <v>1586</v>
      </c>
    </row>
    <row r="62" spans="1:15" ht="28.8" x14ac:dyDescent="0.3">
      <c r="A62" t="s">
        <v>49</v>
      </c>
      <c r="B62" t="s">
        <v>74</v>
      </c>
      <c r="C62" t="s">
        <v>1505</v>
      </c>
      <c r="D62" s="115">
        <v>4500000</v>
      </c>
      <c r="E62" s="115">
        <v>4921583</v>
      </c>
      <c r="F62" s="115">
        <v>385623</v>
      </c>
      <c r="G62" s="115">
        <v>114800</v>
      </c>
      <c r="H62" s="115">
        <v>440940</v>
      </c>
      <c r="I62" s="115">
        <v>0</v>
      </c>
      <c r="J62" s="115">
        <v>372653</v>
      </c>
      <c r="K62" s="115">
        <v>165400</v>
      </c>
      <c r="L62" s="115">
        <v>0</v>
      </c>
      <c r="M62" s="115">
        <f t="shared" si="4"/>
        <v>182298.83333333334</v>
      </c>
      <c r="N62" s="108">
        <f t="shared" si="5"/>
        <v>0.47273848638004823</v>
      </c>
      <c r="O62" s="102" t="s">
        <v>1581</v>
      </c>
    </row>
    <row r="63" spans="1:15" x14ac:dyDescent="0.3">
      <c r="A63" t="s">
        <v>49</v>
      </c>
      <c r="B63" t="s">
        <v>131</v>
      </c>
      <c r="C63" t="s">
        <v>1494</v>
      </c>
      <c r="D63" s="115">
        <v>4500000</v>
      </c>
      <c r="E63" s="115">
        <v>16627034.43</v>
      </c>
      <c r="F63" s="115">
        <v>1237668</v>
      </c>
      <c r="G63" s="115">
        <v>343605.15</v>
      </c>
      <c r="H63" s="115">
        <v>0</v>
      </c>
      <c r="I63" s="115">
        <v>3825383</v>
      </c>
      <c r="J63" s="115">
        <v>0</v>
      </c>
      <c r="K63" s="115">
        <v>2118492.66</v>
      </c>
      <c r="L63" s="115">
        <v>0</v>
      </c>
      <c r="M63" s="115">
        <f t="shared" si="4"/>
        <v>1047913.4683333334</v>
      </c>
      <c r="N63" s="108">
        <f t="shared" si="5"/>
        <v>0.84668381854692321</v>
      </c>
      <c r="O63" s="102" t="s">
        <v>1592</v>
      </c>
    </row>
    <row r="64" spans="1:15" x14ac:dyDescent="0.3">
      <c r="A64" t="s">
        <v>49</v>
      </c>
      <c r="B64" t="s">
        <v>108</v>
      </c>
      <c r="C64" t="s">
        <v>1505</v>
      </c>
      <c r="D64" s="115">
        <v>4500000</v>
      </c>
      <c r="E64" s="115">
        <v>1872277.19</v>
      </c>
      <c r="F64" s="115">
        <v>404240</v>
      </c>
      <c r="G64" s="115">
        <v>145376</v>
      </c>
      <c r="H64" s="115">
        <v>181755</v>
      </c>
      <c r="I64" s="115">
        <v>0</v>
      </c>
      <c r="J64" s="115">
        <v>0</v>
      </c>
      <c r="K64" s="115">
        <v>73919.67</v>
      </c>
      <c r="L64" s="115">
        <v>0</v>
      </c>
      <c r="M64" s="115">
        <f t="shared" si="4"/>
        <v>66841.778333333335</v>
      </c>
      <c r="N64" s="108">
        <f t="shared" si="5"/>
        <v>0.16535171762649251</v>
      </c>
      <c r="O64" s="102" t="s">
        <v>1582</v>
      </c>
    </row>
    <row r="65" spans="1:15" x14ac:dyDescent="0.3">
      <c r="A65" t="s">
        <v>49</v>
      </c>
      <c r="B65" t="s">
        <v>70</v>
      </c>
      <c r="C65" t="s">
        <v>1511</v>
      </c>
      <c r="D65" s="115">
        <v>4350000</v>
      </c>
      <c r="E65" s="115">
        <v>9510884.3999999985</v>
      </c>
      <c r="F65" s="115">
        <v>391086</v>
      </c>
      <c r="G65" s="115">
        <v>0</v>
      </c>
      <c r="H65" s="115">
        <v>0</v>
      </c>
      <c r="I65" s="115">
        <v>0</v>
      </c>
      <c r="J65" s="115">
        <v>0</v>
      </c>
      <c r="K65" s="115">
        <v>0</v>
      </c>
      <c r="L65" s="115">
        <v>0</v>
      </c>
      <c r="M65" s="115">
        <f t="shared" si="4"/>
        <v>0</v>
      </c>
      <c r="N65" s="108">
        <f t="shared" si="5"/>
        <v>0</v>
      </c>
      <c r="O65" s="102" t="s">
        <v>1582</v>
      </c>
    </row>
    <row r="66" spans="1:15" x14ac:dyDescent="0.3">
      <c r="A66" t="s">
        <v>49</v>
      </c>
      <c r="B66" t="s">
        <v>121</v>
      </c>
      <c r="C66" t="s">
        <v>1524</v>
      </c>
      <c r="D66" s="115">
        <v>4115000</v>
      </c>
      <c r="E66" s="115">
        <v>10676123.75</v>
      </c>
      <c r="F66" s="115">
        <v>216625</v>
      </c>
      <c r="G66" s="115">
        <v>1210940</v>
      </c>
      <c r="H66" s="115">
        <v>575090</v>
      </c>
      <c r="I66" s="115">
        <v>1430316.75</v>
      </c>
      <c r="J66" s="115">
        <v>959210</v>
      </c>
      <c r="K66" s="115">
        <v>688263</v>
      </c>
      <c r="L66" s="115">
        <v>237745</v>
      </c>
      <c r="M66" s="115">
        <f t="shared" si="4"/>
        <v>850260.79166666663</v>
      </c>
      <c r="N66" s="108">
        <f t="shared" si="5"/>
        <v>3.9250353914214271</v>
      </c>
      <c r="O66" s="102" t="s">
        <v>1592</v>
      </c>
    </row>
    <row r="67" spans="1:15" x14ac:dyDescent="0.3">
      <c r="A67" t="s">
        <v>49</v>
      </c>
      <c r="B67" t="s">
        <v>124</v>
      </c>
      <c r="C67" t="s">
        <v>1524</v>
      </c>
      <c r="D67" s="115">
        <v>4115000</v>
      </c>
      <c r="E67" s="115">
        <v>10676123.75</v>
      </c>
      <c r="F67" s="115">
        <v>220363</v>
      </c>
      <c r="G67" s="115">
        <v>1210940</v>
      </c>
      <c r="H67" s="115">
        <v>575090</v>
      </c>
      <c r="I67" s="115">
        <v>1430316.75</v>
      </c>
      <c r="J67" s="115">
        <v>959210</v>
      </c>
      <c r="K67" s="115">
        <v>688263</v>
      </c>
      <c r="L67" s="115">
        <v>237745</v>
      </c>
      <c r="M67" s="115">
        <f t="shared" si="4"/>
        <v>850260.79166666663</v>
      </c>
      <c r="N67" s="108">
        <f t="shared" si="5"/>
        <v>3.8584553290101633</v>
      </c>
      <c r="O67" s="102" t="s">
        <v>1592</v>
      </c>
    </row>
    <row r="68" spans="1:15" x14ac:dyDescent="0.3">
      <c r="A68" t="s">
        <v>49</v>
      </c>
      <c r="B68" t="s">
        <v>120</v>
      </c>
      <c r="C68" t="s">
        <v>1524</v>
      </c>
      <c r="D68" s="115">
        <v>4115000</v>
      </c>
      <c r="E68" s="115">
        <v>13921711</v>
      </c>
      <c r="F68" s="115">
        <v>283560</v>
      </c>
      <c r="G68" s="115">
        <v>1210939.75</v>
      </c>
      <c r="H68" s="115">
        <v>575090</v>
      </c>
      <c r="I68" s="115">
        <v>1430316.75</v>
      </c>
      <c r="J68" s="115">
        <v>959210</v>
      </c>
      <c r="K68" s="115">
        <v>688263</v>
      </c>
      <c r="L68" s="115">
        <v>237745</v>
      </c>
      <c r="M68" s="115">
        <f t="shared" si="4"/>
        <v>850260.75</v>
      </c>
      <c r="N68" s="108">
        <f t="shared" si="5"/>
        <v>2.9985214769360984</v>
      </c>
      <c r="O68" s="102" t="s">
        <v>1592</v>
      </c>
    </row>
    <row r="69" spans="1:15" x14ac:dyDescent="0.3">
      <c r="A69" t="s">
        <v>49</v>
      </c>
      <c r="B69" t="s">
        <v>122</v>
      </c>
      <c r="C69" t="s">
        <v>1524</v>
      </c>
      <c r="D69" s="115">
        <v>4115000</v>
      </c>
      <c r="E69" s="115">
        <v>10676123.75</v>
      </c>
      <c r="F69" s="115">
        <v>195417</v>
      </c>
      <c r="G69" s="115">
        <v>1210940</v>
      </c>
      <c r="H69" s="115">
        <v>575090</v>
      </c>
      <c r="I69" s="115">
        <v>1430316.75</v>
      </c>
      <c r="J69" s="115">
        <v>959210</v>
      </c>
      <c r="K69" s="115">
        <v>688263</v>
      </c>
      <c r="L69" s="115">
        <v>237745</v>
      </c>
      <c r="M69" s="115">
        <f t="shared" si="4"/>
        <v>850260.79166666663</v>
      </c>
      <c r="N69" s="108">
        <f t="shared" si="5"/>
        <v>4.3510072903926815</v>
      </c>
      <c r="O69" s="102" t="s">
        <v>1592</v>
      </c>
    </row>
    <row r="70" spans="1:15" x14ac:dyDescent="0.3">
      <c r="A70" t="s">
        <v>49</v>
      </c>
      <c r="B70" t="s">
        <v>67</v>
      </c>
      <c r="C70" t="s">
        <v>1524</v>
      </c>
      <c r="D70" s="115">
        <v>4100000</v>
      </c>
      <c r="E70" s="115">
        <v>10796715</v>
      </c>
      <c r="F70" s="115">
        <v>163502</v>
      </c>
      <c r="G70" s="115">
        <v>23244</v>
      </c>
      <c r="H70" s="115">
        <v>0</v>
      </c>
      <c r="I70" s="115">
        <v>1284379</v>
      </c>
      <c r="J70" s="115">
        <v>500000</v>
      </c>
      <c r="K70" s="115">
        <v>0</v>
      </c>
      <c r="L70" s="115">
        <v>0</v>
      </c>
      <c r="M70" s="115">
        <f t="shared" si="4"/>
        <v>301270.5</v>
      </c>
      <c r="N70" s="108">
        <f t="shared" si="5"/>
        <v>1.8426104879451015</v>
      </c>
      <c r="O70" s="102" t="s">
        <v>1592</v>
      </c>
    </row>
    <row r="71" spans="1:15" ht="28.8" x14ac:dyDescent="0.3">
      <c r="A71" t="s">
        <v>49</v>
      </c>
      <c r="B71" t="s">
        <v>78</v>
      </c>
      <c r="C71" t="s">
        <v>1494</v>
      </c>
      <c r="D71" s="115">
        <v>2606483</v>
      </c>
      <c r="E71" s="115">
        <v>3893987.42</v>
      </c>
      <c r="F71" s="115">
        <v>250000</v>
      </c>
      <c r="G71" s="115">
        <v>313800</v>
      </c>
      <c r="H71" s="115">
        <v>271000</v>
      </c>
      <c r="I71" s="115">
        <v>265200</v>
      </c>
      <c r="J71" s="115">
        <v>0</v>
      </c>
      <c r="K71" s="115">
        <v>24000</v>
      </c>
      <c r="L71" s="115">
        <v>0</v>
      </c>
      <c r="M71" s="115">
        <f t="shared" si="4"/>
        <v>145666.66666666666</v>
      </c>
      <c r="N71" s="108">
        <f t="shared" si="5"/>
        <v>0.58266666666666667</v>
      </c>
      <c r="O71" s="102" t="s">
        <v>1600</v>
      </c>
    </row>
    <row r="72" spans="1:15" x14ac:dyDescent="0.3">
      <c r="A72" t="s">
        <v>49</v>
      </c>
      <c r="B72" t="s">
        <v>91</v>
      </c>
      <c r="C72" t="s">
        <v>1524</v>
      </c>
      <c r="D72" s="115">
        <v>420800</v>
      </c>
      <c r="E72" s="115">
        <v>5930413</v>
      </c>
      <c r="F72" s="115">
        <v>327855</v>
      </c>
      <c r="G72" s="115">
        <v>197023</v>
      </c>
      <c r="H72" s="115">
        <v>232304</v>
      </c>
      <c r="I72" s="115">
        <v>0</v>
      </c>
      <c r="J72" s="115">
        <v>1779910</v>
      </c>
      <c r="K72" s="115">
        <v>184333</v>
      </c>
      <c r="L72" s="115">
        <v>531088</v>
      </c>
      <c r="M72" s="115">
        <f t="shared" si="4"/>
        <v>487443</v>
      </c>
      <c r="N72" s="108">
        <f t="shared" si="5"/>
        <v>1.4867639657775542</v>
      </c>
      <c r="O72" s="102" t="s">
        <v>1592</v>
      </c>
    </row>
    <row r="73" spans="1:15" x14ac:dyDescent="0.3">
      <c r="A73" t="s">
        <v>51</v>
      </c>
      <c r="B73" t="s">
        <v>171</v>
      </c>
      <c r="C73" t="s">
        <v>1493</v>
      </c>
      <c r="D73" s="115">
        <v>15492667</v>
      </c>
      <c r="E73" s="115">
        <v>19335600</v>
      </c>
      <c r="F73" s="115">
        <v>4804146</v>
      </c>
      <c r="G73" s="107">
        <v>0</v>
      </c>
      <c r="H73" s="107">
        <v>0</v>
      </c>
      <c r="I73" s="107">
        <v>2462400</v>
      </c>
      <c r="J73" s="107">
        <v>16873200</v>
      </c>
      <c r="K73" s="107">
        <v>0</v>
      </c>
      <c r="L73" s="107">
        <v>0</v>
      </c>
      <c r="M73" s="115">
        <f t="shared" si="4"/>
        <v>3222600</v>
      </c>
      <c r="N73" s="108">
        <f t="shared" si="5"/>
        <v>0.67079560030024066</v>
      </c>
      <c r="O73" t="s">
        <v>1596</v>
      </c>
    </row>
    <row r="74" spans="1:15" x14ac:dyDescent="0.3">
      <c r="A74" t="s">
        <v>51</v>
      </c>
      <c r="B74" t="s">
        <v>107</v>
      </c>
      <c r="C74" t="s">
        <v>1505</v>
      </c>
      <c r="D74" s="115">
        <v>5557031</v>
      </c>
      <c r="E74" s="115">
        <v>263183.34000000003</v>
      </c>
      <c r="F74" s="115">
        <v>2106303.5</v>
      </c>
      <c r="G74" s="107">
        <v>0</v>
      </c>
      <c r="H74" s="107">
        <v>0</v>
      </c>
      <c r="I74" s="107">
        <v>0</v>
      </c>
      <c r="J74" s="107">
        <v>0</v>
      </c>
      <c r="K74" s="107">
        <v>0</v>
      </c>
      <c r="L74" s="107">
        <v>263183.34000000003</v>
      </c>
      <c r="M74" s="115">
        <f t="shared" ref="M74:M115" si="6">AVERAGE(G74:L74)</f>
        <v>43863.890000000007</v>
      </c>
      <c r="N74" s="108">
        <f t="shared" ref="N74:N116" si="7">M74/F74</f>
        <v>2.0825056787875065E-2</v>
      </c>
      <c r="O74" t="s">
        <v>1505</v>
      </c>
    </row>
    <row r="75" spans="1:15" x14ac:dyDescent="0.3">
      <c r="A75" t="s">
        <v>51</v>
      </c>
      <c r="B75" t="s">
        <v>107</v>
      </c>
      <c r="C75" t="s">
        <v>1493</v>
      </c>
      <c r="D75" s="115">
        <v>5741480.5</v>
      </c>
      <c r="E75" s="115">
        <v>30790872</v>
      </c>
      <c r="F75" s="115">
        <v>2106303.5</v>
      </c>
      <c r="G75" s="107">
        <v>3437600</v>
      </c>
      <c r="H75" s="107">
        <v>2287400</v>
      </c>
      <c r="I75" s="107">
        <v>2865200</v>
      </c>
      <c r="J75" s="107">
        <v>244000</v>
      </c>
      <c r="K75" s="107">
        <v>0</v>
      </c>
      <c r="L75" s="107">
        <v>23200</v>
      </c>
      <c r="M75" s="115">
        <f t="shared" si="6"/>
        <v>1476233.3333333333</v>
      </c>
      <c r="N75" s="108">
        <f t="shared" si="7"/>
        <v>0.70086449238361581</v>
      </c>
      <c r="O75" t="s">
        <v>1620</v>
      </c>
    </row>
    <row r="76" spans="1:15" x14ac:dyDescent="0.3">
      <c r="A76" t="s">
        <v>51</v>
      </c>
      <c r="B76" t="s">
        <v>105</v>
      </c>
      <c r="C76" t="s">
        <v>1493</v>
      </c>
      <c r="D76" s="115">
        <v>5459835</v>
      </c>
      <c r="E76" s="115">
        <v>9408600</v>
      </c>
      <c r="F76" s="115">
        <v>742864</v>
      </c>
      <c r="G76" s="107">
        <v>0</v>
      </c>
      <c r="H76" s="107">
        <v>0</v>
      </c>
      <c r="I76" s="107">
        <v>0</v>
      </c>
      <c r="J76" s="107">
        <v>5229900</v>
      </c>
      <c r="K76" s="107">
        <v>0</v>
      </c>
      <c r="L76" s="107">
        <v>0</v>
      </c>
      <c r="M76" s="115">
        <f t="shared" si="6"/>
        <v>871650</v>
      </c>
      <c r="N76" s="108">
        <f t="shared" si="7"/>
        <v>1.1733641689461327</v>
      </c>
      <c r="O76" t="s">
        <v>1493</v>
      </c>
    </row>
    <row r="77" spans="1:15" x14ac:dyDescent="0.3">
      <c r="A77" t="s">
        <v>51</v>
      </c>
      <c r="B77" t="s">
        <v>62</v>
      </c>
      <c r="C77" t="s">
        <v>1493</v>
      </c>
      <c r="D77" s="115">
        <v>3592655</v>
      </c>
      <c r="E77" s="115">
        <v>3161900</v>
      </c>
      <c r="F77" s="115">
        <v>356735</v>
      </c>
      <c r="G77" s="107">
        <v>318400</v>
      </c>
      <c r="H77" s="107">
        <v>247800</v>
      </c>
      <c r="I77" s="107">
        <v>69000</v>
      </c>
      <c r="J77" s="107">
        <v>578400</v>
      </c>
      <c r="K77" s="107">
        <v>390600</v>
      </c>
      <c r="L77" s="107">
        <v>499100</v>
      </c>
      <c r="M77" s="115">
        <f t="shared" si="6"/>
        <v>350550</v>
      </c>
      <c r="N77" s="108">
        <f t="shared" si="7"/>
        <v>0.98266220023266571</v>
      </c>
      <c r="O77" t="s">
        <v>1619</v>
      </c>
    </row>
    <row r="78" spans="1:15" x14ac:dyDescent="0.3">
      <c r="A78" t="s">
        <v>51</v>
      </c>
      <c r="B78" t="s">
        <v>59</v>
      </c>
      <c r="C78" t="s">
        <v>1493</v>
      </c>
      <c r="D78" s="115">
        <v>3592655</v>
      </c>
      <c r="E78" s="115">
        <v>4179600</v>
      </c>
      <c r="F78" s="115">
        <v>314974</v>
      </c>
      <c r="G78" s="107">
        <v>0</v>
      </c>
      <c r="H78" s="107">
        <v>0</v>
      </c>
      <c r="I78" s="107">
        <v>0</v>
      </c>
      <c r="J78" s="107">
        <v>206000</v>
      </c>
      <c r="K78" s="107">
        <v>0</v>
      </c>
      <c r="L78" s="107">
        <v>189000</v>
      </c>
      <c r="M78" s="115">
        <f t="shared" si="6"/>
        <v>65833.333333333328</v>
      </c>
      <c r="N78" s="108">
        <f t="shared" si="7"/>
        <v>0.20901196077559839</v>
      </c>
      <c r="O78" t="s">
        <v>1494</v>
      </c>
    </row>
    <row r="79" spans="1:15" x14ac:dyDescent="0.3">
      <c r="A79" t="s">
        <v>51</v>
      </c>
      <c r="B79" t="s">
        <v>65</v>
      </c>
      <c r="C79" t="s">
        <v>1494</v>
      </c>
      <c r="D79" s="115">
        <v>3432757</v>
      </c>
      <c r="E79" s="115">
        <v>2984410</v>
      </c>
      <c r="F79" s="115">
        <v>251530</v>
      </c>
      <c r="G79" s="107">
        <v>0</v>
      </c>
      <c r="H79" s="107">
        <v>478700</v>
      </c>
      <c r="I79" s="107">
        <v>105000</v>
      </c>
      <c r="J79" s="107">
        <v>118700</v>
      </c>
      <c r="K79" s="107">
        <v>274000</v>
      </c>
      <c r="L79" s="107">
        <v>160000</v>
      </c>
      <c r="M79" s="115">
        <f t="shared" si="6"/>
        <v>189400</v>
      </c>
      <c r="N79" s="108">
        <f t="shared" si="7"/>
        <v>0.75299169085198581</v>
      </c>
      <c r="O79" t="s">
        <v>1494</v>
      </c>
    </row>
    <row r="80" spans="1:15" x14ac:dyDescent="0.3">
      <c r="A80" t="s">
        <v>51</v>
      </c>
      <c r="B80" t="s">
        <v>69</v>
      </c>
      <c r="C80" t="s">
        <v>1511</v>
      </c>
      <c r="D80" s="115">
        <v>3432757</v>
      </c>
      <c r="E80" s="115">
        <v>1304728.8400000001</v>
      </c>
      <c r="F80" s="115">
        <v>214221</v>
      </c>
      <c r="G80" s="107">
        <v>126221.29999999999</v>
      </c>
      <c r="H80" s="107">
        <v>52404</v>
      </c>
      <c r="I80" s="107">
        <v>0</v>
      </c>
      <c r="J80" s="107">
        <v>145891.79999999999</v>
      </c>
      <c r="K80" s="107">
        <v>0</v>
      </c>
      <c r="L80" s="107">
        <v>0</v>
      </c>
      <c r="M80" s="115">
        <f t="shared" si="6"/>
        <v>54086.183333333327</v>
      </c>
      <c r="N80" s="108">
        <f t="shared" si="7"/>
        <v>0.25247843737697673</v>
      </c>
      <c r="O80" t="s">
        <v>1511</v>
      </c>
    </row>
    <row r="81" spans="1:15" x14ac:dyDescent="0.3">
      <c r="A81" t="s">
        <v>22</v>
      </c>
      <c r="B81" t="s">
        <v>112</v>
      </c>
      <c r="C81" t="s">
        <v>1493</v>
      </c>
      <c r="D81" s="115">
        <v>8622430</v>
      </c>
      <c r="E81" s="115">
        <v>39960894.960000001</v>
      </c>
      <c r="F81" s="115">
        <v>1018392</v>
      </c>
      <c r="G81" s="107">
        <v>9472000</v>
      </c>
      <c r="H81" s="107">
        <v>0</v>
      </c>
      <c r="I81" s="107">
        <v>0</v>
      </c>
      <c r="J81" s="107">
        <v>5323496</v>
      </c>
      <c r="K81" s="107">
        <v>0</v>
      </c>
      <c r="L81" s="107">
        <v>0</v>
      </c>
      <c r="M81" s="115">
        <f t="shared" si="6"/>
        <v>2465916</v>
      </c>
      <c r="N81" s="108">
        <f t="shared" si="7"/>
        <v>2.4213819432988477</v>
      </c>
      <c r="O81" s="102" t="s">
        <v>1493</v>
      </c>
    </row>
    <row r="82" spans="1:15" x14ac:dyDescent="0.3">
      <c r="A82" t="s">
        <v>22</v>
      </c>
      <c r="B82" t="s">
        <v>187</v>
      </c>
      <c r="C82" t="s">
        <v>1493</v>
      </c>
      <c r="D82" s="115">
        <v>3559449.9999999898</v>
      </c>
      <c r="E82" s="115">
        <v>5450846.1200000001</v>
      </c>
      <c r="F82" s="115">
        <v>325425</v>
      </c>
      <c r="G82" s="107">
        <v>0</v>
      </c>
      <c r="H82" s="107">
        <v>0</v>
      </c>
      <c r="I82" s="107">
        <v>0</v>
      </c>
      <c r="J82" s="107">
        <v>0</v>
      </c>
      <c r="K82" s="107">
        <v>0</v>
      </c>
      <c r="L82" s="107">
        <v>4200132.12</v>
      </c>
      <c r="M82" s="115">
        <f t="shared" si="6"/>
        <v>700022.02</v>
      </c>
      <c r="N82" s="108">
        <f t="shared" si="7"/>
        <v>2.1511009295536607</v>
      </c>
      <c r="O82" s="102" t="s">
        <v>1493</v>
      </c>
    </row>
    <row r="83" spans="1:15" x14ac:dyDescent="0.3">
      <c r="A83" t="s">
        <v>22</v>
      </c>
      <c r="B83" t="s">
        <v>174</v>
      </c>
      <c r="C83" t="s">
        <v>1493</v>
      </c>
      <c r="D83" s="115">
        <v>3382372</v>
      </c>
      <c r="E83" s="115">
        <v>4576272</v>
      </c>
      <c r="F83" s="115">
        <v>421334</v>
      </c>
      <c r="G83" s="107">
        <v>0</v>
      </c>
      <c r="H83" s="107">
        <v>0</v>
      </c>
      <c r="I83" s="107">
        <v>0</v>
      </c>
      <c r="J83" s="107">
        <v>1525424</v>
      </c>
      <c r="K83" s="107">
        <v>0</v>
      </c>
      <c r="L83" s="107">
        <v>3050848</v>
      </c>
      <c r="M83" s="115">
        <f t="shared" si="6"/>
        <v>762712</v>
      </c>
      <c r="N83" s="108">
        <f t="shared" si="7"/>
        <v>1.8102313129251377</v>
      </c>
      <c r="O83" s="102" t="s">
        <v>1493</v>
      </c>
    </row>
    <row r="84" spans="1:15" x14ac:dyDescent="0.3">
      <c r="A84" t="s">
        <v>22</v>
      </c>
      <c r="B84" t="s">
        <v>107</v>
      </c>
      <c r="C84" t="s">
        <v>1493</v>
      </c>
      <c r="D84" s="115">
        <v>3025396</v>
      </c>
      <c r="E84" s="115">
        <v>9625337.2699999996</v>
      </c>
      <c r="F84" s="115">
        <v>434352</v>
      </c>
      <c r="G84" s="107">
        <v>750803.62</v>
      </c>
      <c r="H84" s="107">
        <v>0</v>
      </c>
      <c r="I84" s="107">
        <v>1292669</v>
      </c>
      <c r="J84" s="107">
        <v>0</v>
      </c>
      <c r="K84" s="107">
        <v>0</v>
      </c>
      <c r="L84" s="107">
        <v>526366.68000000005</v>
      </c>
      <c r="M84" s="115">
        <f t="shared" si="6"/>
        <v>428306.55000000005</v>
      </c>
      <c r="N84" s="108">
        <f t="shared" si="7"/>
        <v>0.98608168029616539</v>
      </c>
      <c r="O84" s="102" t="s">
        <v>1493</v>
      </c>
    </row>
    <row r="85" spans="1:15" x14ac:dyDescent="0.3">
      <c r="A85" t="s">
        <v>22</v>
      </c>
      <c r="B85" t="s">
        <v>104</v>
      </c>
      <c r="C85" t="s">
        <v>1493</v>
      </c>
      <c r="D85" s="115">
        <v>2382020</v>
      </c>
      <c r="E85" s="115">
        <v>1022000</v>
      </c>
      <c r="F85" s="115">
        <v>184057</v>
      </c>
      <c r="G85" s="107">
        <v>190000</v>
      </c>
      <c r="H85" s="107">
        <v>0</v>
      </c>
      <c r="I85" s="107">
        <v>0</v>
      </c>
      <c r="J85" s="107">
        <v>72000</v>
      </c>
      <c r="K85" s="107">
        <v>0</v>
      </c>
      <c r="L85" s="107">
        <v>532000</v>
      </c>
      <c r="M85" s="115">
        <f t="shared" si="6"/>
        <v>132333.33333333334</v>
      </c>
      <c r="N85" s="108">
        <f t="shared" si="7"/>
        <v>0.71898017099775258</v>
      </c>
      <c r="O85" s="102" t="s">
        <v>1493</v>
      </c>
    </row>
    <row r="86" spans="1:15" x14ac:dyDescent="0.3">
      <c r="A86" t="s">
        <v>22</v>
      </c>
      <c r="B86" t="s">
        <v>143</v>
      </c>
      <c r="C86" t="s">
        <v>1493</v>
      </c>
      <c r="D86" s="115">
        <v>2372967</v>
      </c>
      <c r="E86" s="115">
        <v>7706078</v>
      </c>
      <c r="F86" s="115">
        <v>225890</v>
      </c>
      <c r="G86" s="107">
        <v>0</v>
      </c>
      <c r="H86" s="107">
        <v>0</v>
      </c>
      <c r="I86" s="107">
        <v>6404744.666666667</v>
      </c>
      <c r="J86" s="107">
        <v>-408666.66666666669</v>
      </c>
      <c r="K86" s="107">
        <v>0</v>
      </c>
      <c r="L86" s="107">
        <v>0</v>
      </c>
      <c r="M86" s="115">
        <f t="shared" si="6"/>
        <v>999346.33333333337</v>
      </c>
      <c r="N86" s="108">
        <f t="shared" si="7"/>
        <v>4.4240397243496101</v>
      </c>
      <c r="O86" s="102" t="s">
        <v>1493</v>
      </c>
    </row>
    <row r="87" spans="1:15" x14ac:dyDescent="0.3">
      <c r="A87" t="s">
        <v>22</v>
      </c>
      <c r="B87" t="s">
        <v>132</v>
      </c>
      <c r="C87" t="s">
        <v>1494</v>
      </c>
      <c r="D87" s="115">
        <v>2100000</v>
      </c>
      <c r="E87" s="115">
        <v>1262500</v>
      </c>
      <c r="F87" s="115">
        <v>125042</v>
      </c>
      <c r="G87" s="107">
        <v>0</v>
      </c>
      <c r="H87" s="107">
        <v>0</v>
      </c>
      <c r="I87" s="107">
        <v>0</v>
      </c>
      <c r="J87" s="107">
        <v>0</v>
      </c>
      <c r="K87" s="107">
        <v>0</v>
      </c>
      <c r="L87" s="107">
        <v>0</v>
      </c>
      <c r="M87" s="115">
        <f t="shared" si="6"/>
        <v>0</v>
      </c>
      <c r="N87" s="108">
        <f t="shared" si="7"/>
        <v>0</v>
      </c>
      <c r="O87" s="102" t="s">
        <v>1607</v>
      </c>
    </row>
    <row r="88" spans="1:15" x14ac:dyDescent="0.3">
      <c r="A88" t="s">
        <v>22</v>
      </c>
      <c r="B88" t="s">
        <v>61</v>
      </c>
      <c r="C88" t="s">
        <v>1505</v>
      </c>
      <c r="D88" s="115">
        <v>2059750</v>
      </c>
      <c r="E88" s="115">
        <v>2003250</v>
      </c>
      <c r="F88" s="115">
        <v>100802</v>
      </c>
      <c r="G88" s="107">
        <v>0</v>
      </c>
      <c r="H88" s="107">
        <v>0</v>
      </c>
      <c r="I88" s="107">
        <v>0</v>
      </c>
      <c r="J88" s="107">
        <v>112250</v>
      </c>
      <c r="K88" s="107">
        <v>0</v>
      </c>
      <c r="L88" s="107">
        <v>0</v>
      </c>
      <c r="M88" s="115">
        <f t="shared" si="6"/>
        <v>18708.333333333332</v>
      </c>
      <c r="N88" s="108">
        <f t="shared" si="7"/>
        <v>0.18559486253579624</v>
      </c>
      <c r="O88" s="102" t="s">
        <v>1538</v>
      </c>
    </row>
    <row r="89" spans="1:15" x14ac:dyDescent="0.3">
      <c r="A89" t="s">
        <v>22</v>
      </c>
      <c r="B89" t="s">
        <v>94</v>
      </c>
      <c r="C89" t="s">
        <v>1493</v>
      </c>
      <c r="D89" s="115">
        <v>1515000</v>
      </c>
      <c r="E89" s="115">
        <v>779540</v>
      </c>
      <c r="F89" s="115">
        <v>109047</v>
      </c>
      <c r="G89" s="107">
        <v>144340</v>
      </c>
      <c r="H89" s="107">
        <v>0</v>
      </c>
      <c r="I89" s="107">
        <v>0</v>
      </c>
      <c r="J89" s="107">
        <v>0</v>
      </c>
      <c r="K89" s="107">
        <v>0</v>
      </c>
      <c r="L89" s="107">
        <v>0</v>
      </c>
      <c r="M89" s="115">
        <f t="shared" si="6"/>
        <v>24056.666666666668</v>
      </c>
      <c r="N89" s="108">
        <f t="shared" si="7"/>
        <v>0.22060823926074691</v>
      </c>
      <c r="O89" s="102" t="s">
        <v>1493</v>
      </c>
    </row>
    <row r="90" spans="1:15" x14ac:dyDescent="0.3">
      <c r="A90" t="s">
        <v>22</v>
      </c>
      <c r="B90" t="s">
        <v>1609</v>
      </c>
      <c r="C90" t="s">
        <v>1511</v>
      </c>
      <c r="D90" s="115">
        <v>1262290</v>
      </c>
      <c r="E90" s="115">
        <v>7244936.9000000013</v>
      </c>
      <c r="F90" s="115">
        <v>450000</v>
      </c>
      <c r="G90" s="107">
        <v>0</v>
      </c>
      <c r="H90" s="107">
        <v>0</v>
      </c>
      <c r="I90" s="107">
        <v>3202372.3333333335</v>
      </c>
      <c r="J90" s="107">
        <v>-204333.33333333334</v>
      </c>
      <c r="K90" s="107">
        <v>0</v>
      </c>
      <c r="L90" s="107">
        <v>0</v>
      </c>
      <c r="M90" s="115">
        <f t="shared" si="6"/>
        <v>499673.16666666669</v>
      </c>
      <c r="N90" s="108">
        <f t="shared" si="7"/>
        <v>1.1103848148148148</v>
      </c>
      <c r="O90" s="102" t="s">
        <v>1511</v>
      </c>
    </row>
    <row r="91" spans="1:15" x14ac:dyDescent="0.3">
      <c r="A91" t="s">
        <v>22</v>
      </c>
      <c r="B91" t="s">
        <v>95</v>
      </c>
      <c r="C91" t="s">
        <v>1494</v>
      </c>
      <c r="D91" s="115">
        <v>1197250</v>
      </c>
      <c r="E91" s="115">
        <v>2973746</v>
      </c>
      <c r="F91" s="115">
        <v>247788</v>
      </c>
      <c r="G91" s="107">
        <v>0</v>
      </c>
      <c r="H91" s="107">
        <v>0</v>
      </c>
      <c r="I91" s="107">
        <v>0</v>
      </c>
      <c r="J91" s="107">
        <v>0</v>
      </c>
      <c r="K91" s="107">
        <v>0</v>
      </c>
      <c r="L91" s="107">
        <v>0</v>
      </c>
      <c r="M91" s="115">
        <f t="shared" si="6"/>
        <v>0</v>
      </c>
      <c r="N91" s="108">
        <f t="shared" si="7"/>
        <v>0</v>
      </c>
      <c r="O91" s="102" t="s">
        <v>1494</v>
      </c>
    </row>
    <row r="92" spans="1:15" x14ac:dyDescent="0.3">
      <c r="A92" t="s">
        <v>22</v>
      </c>
      <c r="B92" t="s">
        <v>125</v>
      </c>
      <c r="C92" t="s">
        <v>1496</v>
      </c>
      <c r="D92" s="115">
        <v>1194415</v>
      </c>
      <c r="E92" s="115">
        <v>1710000</v>
      </c>
      <c r="F92" s="115">
        <v>125415</v>
      </c>
      <c r="G92" s="107">
        <v>0</v>
      </c>
      <c r="H92" s="107">
        <v>0</v>
      </c>
      <c r="I92" s="107">
        <v>0</v>
      </c>
      <c r="J92" s="107">
        <v>0</v>
      </c>
      <c r="K92" s="107">
        <v>0</v>
      </c>
      <c r="L92" s="107">
        <v>0</v>
      </c>
      <c r="M92" s="115">
        <f t="shared" si="6"/>
        <v>0</v>
      </c>
      <c r="N92" s="108">
        <f t="shared" si="7"/>
        <v>0</v>
      </c>
      <c r="O92" s="102" t="s">
        <v>1496</v>
      </c>
    </row>
    <row r="93" spans="1:15" x14ac:dyDescent="0.3">
      <c r="A93" t="s">
        <v>22</v>
      </c>
      <c r="B93" t="s">
        <v>178</v>
      </c>
      <c r="C93" t="s">
        <v>1496</v>
      </c>
      <c r="D93" s="115">
        <v>1194415</v>
      </c>
      <c r="E93" s="115">
        <v>0</v>
      </c>
      <c r="F93" s="115">
        <v>125415</v>
      </c>
      <c r="G93" s="107">
        <v>0</v>
      </c>
      <c r="H93" s="107">
        <v>0</v>
      </c>
      <c r="I93" s="107">
        <v>0</v>
      </c>
      <c r="J93" s="107">
        <v>0</v>
      </c>
      <c r="K93" s="107">
        <v>0</v>
      </c>
      <c r="L93" s="107">
        <v>0</v>
      </c>
      <c r="M93" s="115">
        <f t="shared" si="6"/>
        <v>0</v>
      </c>
      <c r="N93" s="108">
        <f t="shared" si="7"/>
        <v>0</v>
      </c>
      <c r="O93" s="102" t="s">
        <v>1496</v>
      </c>
    </row>
    <row r="94" spans="1:15" x14ac:dyDescent="0.3">
      <c r="A94" t="s">
        <v>22</v>
      </c>
      <c r="B94" t="s">
        <v>91</v>
      </c>
      <c r="C94" t="s">
        <v>1494</v>
      </c>
      <c r="D94" s="115">
        <v>1071664</v>
      </c>
      <c r="E94" s="115">
        <v>675000</v>
      </c>
      <c r="F94" s="115">
        <v>95790</v>
      </c>
      <c r="G94" s="107">
        <v>30000</v>
      </c>
      <c r="H94" s="107">
        <v>0</v>
      </c>
      <c r="I94" s="107">
        <v>0</v>
      </c>
      <c r="J94" s="107">
        <v>363000</v>
      </c>
      <c r="K94" s="107">
        <v>0</v>
      </c>
      <c r="L94" s="107">
        <v>0</v>
      </c>
      <c r="M94" s="115">
        <f t="shared" si="6"/>
        <v>65500</v>
      </c>
      <c r="N94" s="108">
        <f t="shared" si="7"/>
        <v>0.68378745171729827</v>
      </c>
      <c r="O94" s="102" t="s">
        <v>1494</v>
      </c>
    </row>
    <row r="95" spans="1:15" x14ac:dyDescent="0.3">
      <c r="A95" t="s">
        <v>22</v>
      </c>
      <c r="B95" t="s">
        <v>120</v>
      </c>
      <c r="C95" t="s">
        <v>1493</v>
      </c>
      <c r="D95" s="115">
        <v>1071000</v>
      </c>
      <c r="E95" s="115">
        <v>1648250</v>
      </c>
      <c r="F95" s="115">
        <v>98797</v>
      </c>
      <c r="G95" s="107">
        <v>95000</v>
      </c>
      <c r="H95" s="107">
        <v>76000</v>
      </c>
      <c r="I95" s="107">
        <v>133000</v>
      </c>
      <c r="J95" s="107">
        <v>152000</v>
      </c>
      <c r="K95" s="107">
        <v>0</v>
      </c>
      <c r="L95" s="107">
        <v>270750</v>
      </c>
      <c r="M95" s="115">
        <f t="shared" si="6"/>
        <v>121125</v>
      </c>
      <c r="N95" s="108">
        <f t="shared" si="7"/>
        <v>1.2259987651446906</v>
      </c>
      <c r="O95" s="102" t="s">
        <v>1493</v>
      </c>
    </row>
    <row r="96" spans="1:15" x14ac:dyDescent="0.3">
      <c r="A96" t="s">
        <v>22</v>
      </c>
      <c r="B96" t="s">
        <v>124</v>
      </c>
      <c r="C96" t="s">
        <v>1493</v>
      </c>
      <c r="D96" s="115">
        <v>1065000</v>
      </c>
      <c r="E96" s="115">
        <v>1648250</v>
      </c>
      <c r="F96" s="115">
        <v>87448</v>
      </c>
      <c r="G96" s="107">
        <v>95000</v>
      </c>
      <c r="H96" s="107">
        <v>76000</v>
      </c>
      <c r="I96" s="107">
        <v>133000</v>
      </c>
      <c r="J96" s="107">
        <v>152000</v>
      </c>
      <c r="K96" s="107">
        <v>0</v>
      </c>
      <c r="L96" s="107">
        <v>270750</v>
      </c>
      <c r="M96" s="115">
        <f t="shared" si="6"/>
        <v>121125</v>
      </c>
      <c r="N96" s="108">
        <f t="shared" si="7"/>
        <v>1.385108864696734</v>
      </c>
      <c r="O96" s="102" t="s">
        <v>1493</v>
      </c>
    </row>
    <row r="97" spans="1:15" x14ac:dyDescent="0.3">
      <c r="A97" t="s">
        <v>22</v>
      </c>
      <c r="B97" t="s">
        <v>121</v>
      </c>
      <c r="C97" t="s">
        <v>1493</v>
      </c>
      <c r="D97" s="115">
        <v>1065000</v>
      </c>
      <c r="E97" s="115">
        <v>1648250</v>
      </c>
      <c r="F97" s="115">
        <v>88427</v>
      </c>
      <c r="G97" s="107">
        <v>95000</v>
      </c>
      <c r="H97" s="107">
        <v>76000</v>
      </c>
      <c r="I97" s="107">
        <v>133000</v>
      </c>
      <c r="J97" s="107">
        <v>152000</v>
      </c>
      <c r="K97" s="107">
        <v>0</v>
      </c>
      <c r="L97" s="107">
        <v>270750</v>
      </c>
      <c r="M97" s="115">
        <f t="shared" si="6"/>
        <v>121125</v>
      </c>
      <c r="N97" s="108">
        <f t="shared" si="7"/>
        <v>1.3697739378244203</v>
      </c>
      <c r="O97" s="102" t="s">
        <v>1493</v>
      </c>
    </row>
    <row r="98" spans="1:15" x14ac:dyDescent="0.3">
      <c r="A98" t="s">
        <v>22</v>
      </c>
      <c r="B98" t="s">
        <v>123</v>
      </c>
      <c r="C98" t="s">
        <v>1493</v>
      </c>
      <c r="D98" s="115">
        <v>1055000</v>
      </c>
      <c r="E98" s="115">
        <v>1648250</v>
      </c>
      <c r="F98" s="115">
        <v>88427</v>
      </c>
      <c r="G98" s="107">
        <v>95000</v>
      </c>
      <c r="H98" s="107">
        <v>76000</v>
      </c>
      <c r="I98" s="107">
        <v>133000</v>
      </c>
      <c r="J98" s="107">
        <v>152000</v>
      </c>
      <c r="K98" s="107">
        <v>0</v>
      </c>
      <c r="L98" s="107">
        <v>270750</v>
      </c>
      <c r="M98" s="115">
        <f t="shared" si="6"/>
        <v>121125</v>
      </c>
      <c r="N98" s="108">
        <f t="shared" si="7"/>
        <v>1.3697739378244203</v>
      </c>
      <c r="O98" s="102" t="s">
        <v>1493</v>
      </c>
    </row>
    <row r="99" spans="1:15" x14ac:dyDescent="0.3">
      <c r="A99" t="s">
        <v>22</v>
      </c>
      <c r="B99" t="s">
        <v>73</v>
      </c>
      <c r="C99" t="s">
        <v>1511</v>
      </c>
      <c r="D99" s="115">
        <v>1000000</v>
      </c>
      <c r="E99" s="115">
        <v>1555085.1099999999</v>
      </c>
      <c r="F99" s="115">
        <v>60135</v>
      </c>
      <c r="G99" s="107">
        <v>0</v>
      </c>
      <c r="H99" s="107">
        <v>0</v>
      </c>
      <c r="I99" s="107">
        <v>0</v>
      </c>
      <c r="J99" s="107">
        <v>0</v>
      </c>
      <c r="K99" s="107">
        <v>0</v>
      </c>
      <c r="L99" s="107">
        <v>0</v>
      </c>
      <c r="M99" s="115">
        <f t="shared" si="6"/>
        <v>0</v>
      </c>
      <c r="N99" s="108">
        <f t="shared" si="7"/>
        <v>0</v>
      </c>
      <c r="O99" s="102" t="s">
        <v>1511</v>
      </c>
    </row>
    <row r="100" spans="1:15" ht="43.2" x14ac:dyDescent="0.3">
      <c r="A100" t="s">
        <v>25</v>
      </c>
      <c r="B100" t="s">
        <v>92</v>
      </c>
      <c r="C100" t="s">
        <v>1606</v>
      </c>
      <c r="D100" s="107">
        <v>17326991</v>
      </c>
      <c r="E100" s="107">
        <v>4084000</v>
      </c>
      <c r="F100" s="107">
        <v>1242200</v>
      </c>
      <c r="G100" s="107">
        <v>1269750</v>
      </c>
      <c r="H100" s="107">
        <v>65150</v>
      </c>
      <c r="I100" s="107">
        <v>0</v>
      </c>
      <c r="J100" s="107">
        <v>285700</v>
      </c>
      <c r="K100" s="107">
        <v>0</v>
      </c>
      <c r="L100" s="107">
        <v>0</v>
      </c>
      <c r="M100" s="115">
        <f t="shared" si="6"/>
        <v>270100</v>
      </c>
      <c r="N100" s="108">
        <f t="shared" si="7"/>
        <v>0.21743680566736434</v>
      </c>
      <c r="O100" s="102" t="s">
        <v>1615</v>
      </c>
    </row>
    <row r="101" spans="1:15" x14ac:dyDescent="0.3">
      <c r="A101" t="s">
        <v>25</v>
      </c>
      <c r="B101" t="s">
        <v>1510</v>
      </c>
      <c r="C101" t="s">
        <v>1494</v>
      </c>
      <c r="D101" s="107">
        <v>6101141</v>
      </c>
      <c r="E101" s="107">
        <v>516000</v>
      </c>
      <c r="F101" s="107">
        <v>432965</v>
      </c>
      <c r="G101" s="107">
        <v>0</v>
      </c>
      <c r="H101" s="107">
        <v>0</v>
      </c>
      <c r="I101" s="107">
        <v>0</v>
      </c>
      <c r="J101" s="107">
        <v>0</v>
      </c>
      <c r="K101" s="107">
        <v>404200</v>
      </c>
      <c r="L101" s="107">
        <v>111800</v>
      </c>
      <c r="M101" s="115">
        <f t="shared" si="6"/>
        <v>86000</v>
      </c>
      <c r="N101" s="108">
        <f t="shared" si="7"/>
        <v>0.1986303742796762</v>
      </c>
      <c r="O101" s="102" t="s">
        <v>1494</v>
      </c>
    </row>
    <row r="102" spans="1:15" x14ac:dyDescent="0.3">
      <c r="A102" t="s">
        <v>25</v>
      </c>
      <c r="B102" t="s">
        <v>81</v>
      </c>
      <c r="C102" t="s">
        <v>1493</v>
      </c>
      <c r="D102" s="107">
        <v>5662000</v>
      </c>
      <c r="E102" s="107">
        <v>1640327.8</v>
      </c>
      <c r="F102" s="107">
        <v>319800</v>
      </c>
      <c r="G102" s="107">
        <v>215000</v>
      </c>
      <c r="H102" s="107">
        <v>0</v>
      </c>
      <c r="I102" s="107">
        <v>0</v>
      </c>
      <c r="J102" s="107">
        <v>350000</v>
      </c>
      <c r="K102" s="107">
        <v>0</v>
      </c>
      <c r="L102" s="107">
        <v>315000</v>
      </c>
      <c r="M102" s="115">
        <f t="shared" si="6"/>
        <v>146666.66666666666</v>
      </c>
      <c r="N102" s="108">
        <f t="shared" si="7"/>
        <v>0.45861997081509276</v>
      </c>
      <c r="O102" s="102" t="s">
        <v>1493</v>
      </c>
    </row>
    <row r="103" spans="1:15" x14ac:dyDescent="0.3">
      <c r="A103" t="s">
        <v>25</v>
      </c>
      <c r="B103" t="s">
        <v>102</v>
      </c>
      <c r="C103" t="s">
        <v>1494</v>
      </c>
      <c r="D103" s="107">
        <v>3393744</v>
      </c>
      <c r="E103" s="107">
        <v>5897169.6000000006</v>
      </c>
      <c r="F103" s="107">
        <v>469938</v>
      </c>
      <c r="G103" s="107">
        <v>432881</v>
      </c>
      <c r="H103" s="107">
        <v>0</v>
      </c>
      <c r="I103" s="107">
        <v>335396</v>
      </c>
      <c r="J103" s="107">
        <v>0</v>
      </c>
      <c r="K103" s="107">
        <v>165306</v>
      </c>
      <c r="L103" s="107">
        <v>133340</v>
      </c>
      <c r="M103" s="115">
        <f t="shared" si="6"/>
        <v>177820.5</v>
      </c>
      <c r="N103" s="108">
        <f t="shared" si="7"/>
        <v>0.37839140482361505</v>
      </c>
      <c r="O103" s="102" t="s">
        <v>1607</v>
      </c>
    </row>
    <row r="104" spans="1:15" x14ac:dyDescent="0.3">
      <c r="A104" t="s">
        <v>25</v>
      </c>
      <c r="B104" t="s">
        <v>131</v>
      </c>
      <c r="C104" t="s">
        <v>1493</v>
      </c>
      <c r="D104" s="107">
        <v>1170000</v>
      </c>
      <c r="E104" s="107">
        <v>10087208.59</v>
      </c>
      <c r="F104" s="107">
        <v>358020</v>
      </c>
      <c r="G104" s="107">
        <v>1966982.8</v>
      </c>
      <c r="H104" s="107">
        <v>0</v>
      </c>
      <c r="I104" s="107">
        <v>0</v>
      </c>
      <c r="J104" s="107">
        <v>0</v>
      </c>
      <c r="K104" s="107">
        <v>0</v>
      </c>
      <c r="L104" s="107">
        <v>1229364.25</v>
      </c>
      <c r="M104" s="115">
        <f t="shared" si="6"/>
        <v>532724.5083333333</v>
      </c>
      <c r="N104" s="108">
        <f t="shared" si="7"/>
        <v>1.487974158799322</v>
      </c>
      <c r="O104" s="102" t="s">
        <v>1493</v>
      </c>
    </row>
    <row r="105" spans="1:15" x14ac:dyDescent="0.3">
      <c r="A105" t="s">
        <v>25</v>
      </c>
      <c r="B105" t="s">
        <v>88</v>
      </c>
      <c r="C105" t="s">
        <v>1494</v>
      </c>
      <c r="D105" s="107">
        <v>401644</v>
      </c>
      <c r="E105" s="107">
        <v>49500</v>
      </c>
      <c r="F105" s="107">
        <v>42750</v>
      </c>
      <c r="G105" s="107">
        <v>29500</v>
      </c>
      <c r="H105" s="107">
        <v>0</v>
      </c>
      <c r="I105" s="107">
        <v>20000</v>
      </c>
      <c r="J105" s="107">
        <v>0</v>
      </c>
      <c r="K105" s="107">
        <v>0</v>
      </c>
      <c r="L105" s="107">
        <v>0</v>
      </c>
      <c r="M105" s="115">
        <f t="shared" si="6"/>
        <v>8250</v>
      </c>
      <c r="N105" s="108">
        <f t="shared" si="7"/>
        <v>0.19298245614035087</v>
      </c>
      <c r="O105" s="102" t="s">
        <v>1607</v>
      </c>
    </row>
    <row r="106" spans="1:15" x14ac:dyDescent="0.3">
      <c r="A106" t="s">
        <v>25</v>
      </c>
      <c r="B106" t="s">
        <v>88</v>
      </c>
      <c r="C106" t="s">
        <v>1511</v>
      </c>
      <c r="D106" s="107">
        <v>593821</v>
      </c>
      <c r="E106" s="107">
        <v>112700</v>
      </c>
      <c r="F106" s="107">
        <v>80770</v>
      </c>
      <c r="G106" s="107">
        <v>112700</v>
      </c>
      <c r="H106" s="107">
        <v>0</v>
      </c>
      <c r="I106" s="107">
        <v>0</v>
      </c>
      <c r="J106" s="107">
        <v>0</v>
      </c>
      <c r="K106" s="107">
        <v>0</v>
      </c>
      <c r="L106" s="107">
        <v>0</v>
      </c>
      <c r="M106" s="115">
        <f t="shared" si="6"/>
        <v>18783.333333333332</v>
      </c>
      <c r="N106" s="108">
        <f t="shared" si="7"/>
        <v>0.23255334076183401</v>
      </c>
      <c r="O106" s="102" t="s">
        <v>1509</v>
      </c>
    </row>
    <row r="107" spans="1:15" x14ac:dyDescent="0.3">
      <c r="A107" t="s">
        <v>25</v>
      </c>
      <c r="B107" t="s">
        <v>119</v>
      </c>
      <c r="C107" t="s">
        <v>1511</v>
      </c>
      <c r="D107" s="107">
        <v>653000</v>
      </c>
      <c r="E107" s="107">
        <v>571500</v>
      </c>
      <c r="F107" s="107">
        <v>79375</v>
      </c>
      <c r="G107" s="107">
        <v>0</v>
      </c>
      <c r="H107" s="107">
        <v>0</v>
      </c>
      <c r="I107" s="107">
        <v>0</v>
      </c>
      <c r="J107" s="107">
        <v>0</v>
      </c>
      <c r="K107" s="107">
        <v>0</v>
      </c>
      <c r="L107" s="107">
        <v>0</v>
      </c>
      <c r="M107" s="115">
        <f t="shared" si="6"/>
        <v>0</v>
      </c>
      <c r="N107" s="108">
        <f t="shared" si="7"/>
        <v>0</v>
      </c>
      <c r="O107" s="102" t="s">
        <v>1511</v>
      </c>
    </row>
    <row r="108" spans="1:15" x14ac:dyDescent="0.3">
      <c r="A108" t="s">
        <v>25</v>
      </c>
      <c r="B108" t="s">
        <v>127</v>
      </c>
      <c r="C108" t="s">
        <v>1511</v>
      </c>
      <c r="D108" s="107">
        <v>633821</v>
      </c>
      <c r="E108" s="107">
        <v>87100</v>
      </c>
      <c r="F108" s="107">
        <v>63930</v>
      </c>
      <c r="G108" s="107">
        <v>87100</v>
      </c>
      <c r="H108" s="107">
        <v>0</v>
      </c>
      <c r="I108" s="107">
        <v>0</v>
      </c>
      <c r="J108" s="107">
        <v>0</v>
      </c>
      <c r="K108" s="107">
        <v>0</v>
      </c>
      <c r="L108" s="107">
        <v>0</v>
      </c>
      <c r="M108" s="115">
        <f t="shared" si="6"/>
        <v>14516.666666666666</v>
      </c>
      <c r="N108" s="108">
        <f t="shared" si="7"/>
        <v>0.22707127587465456</v>
      </c>
      <c r="O108" s="102" t="s">
        <v>1511</v>
      </c>
    </row>
    <row r="109" spans="1:15" x14ac:dyDescent="0.3">
      <c r="A109" t="s">
        <v>25</v>
      </c>
      <c r="B109" t="s">
        <v>91</v>
      </c>
      <c r="C109" t="s">
        <v>1493</v>
      </c>
      <c r="D109" s="107">
        <v>626704</v>
      </c>
      <c r="E109" s="107">
        <v>5783699.9999999991</v>
      </c>
      <c r="F109" s="107">
        <v>128317</v>
      </c>
      <c r="G109" s="107">
        <v>1269750</v>
      </c>
      <c r="H109" s="107">
        <v>65150</v>
      </c>
      <c r="I109" s="107">
        <v>0</v>
      </c>
      <c r="J109" s="107">
        <v>404200</v>
      </c>
      <c r="K109" s="107">
        <v>1327900</v>
      </c>
      <c r="L109" s="107">
        <v>-243600</v>
      </c>
      <c r="M109" s="115">
        <f t="shared" si="6"/>
        <v>470566.66666666669</v>
      </c>
      <c r="N109" s="108">
        <f t="shared" si="7"/>
        <v>3.6672199838420996</v>
      </c>
      <c r="O109" s="102" t="s">
        <v>1493</v>
      </c>
    </row>
    <row r="110" spans="1:15" x14ac:dyDescent="0.3">
      <c r="A110" t="s">
        <v>25</v>
      </c>
      <c r="B110" t="s">
        <v>79</v>
      </c>
      <c r="C110" t="s">
        <v>1511</v>
      </c>
      <c r="D110" s="107">
        <v>532660</v>
      </c>
      <c r="E110" s="107">
        <v>0</v>
      </c>
      <c r="F110" s="107">
        <v>68306</v>
      </c>
      <c r="G110" s="107">
        <v>0</v>
      </c>
      <c r="H110" s="107">
        <v>0</v>
      </c>
      <c r="I110" s="107">
        <v>0</v>
      </c>
      <c r="J110" s="107">
        <v>0</v>
      </c>
      <c r="K110" s="107">
        <v>0</v>
      </c>
      <c r="L110" s="107">
        <v>0</v>
      </c>
      <c r="M110" s="115">
        <f t="shared" si="6"/>
        <v>0</v>
      </c>
      <c r="N110" s="108">
        <f t="shared" si="7"/>
        <v>0</v>
      </c>
      <c r="O110" s="102" t="s">
        <v>1608</v>
      </c>
    </row>
    <row r="111" spans="1:15" x14ac:dyDescent="0.3">
      <c r="A111" t="s">
        <v>25</v>
      </c>
      <c r="B111" t="s">
        <v>56</v>
      </c>
      <c r="C111" t="s">
        <v>1494</v>
      </c>
      <c r="D111" s="107">
        <v>483475</v>
      </c>
      <c r="E111" s="107">
        <v>728476</v>
      </c>
      <c r="F111" s="107">
        <v>143250</v>
      </c>
      <c r="G111" s="107">
        <v>150763</v>
      </c>
      <c r="H111" s="107">
        <v>0</v>
      </c>
      <c r="I111" s="107">
        <v>0</v>
      </c>
      <c r="J111" s="107">
        <v>0</v>
      </c>
      <c r="K111" s="107">
        <v>155085</v>
      </c>
      <c r="L111" s="107">
        <v>155085</v>
      </c>
      <c r="M111" s="115">
        <f t="shared" si="6"/>
        <v>76822.166666666672</v>
      </c>
      <c r="N111" s="108">
        <f t="shared" si="7"/>
        <v>0.5362803955788249</v>
      </c>
      <c r="O111" s="102" t="s">
        <v>1607</v>
      </c>
    </row>
    <row r="112" spans="1:15" x14ac:dyDescent="0.3">
      <c r="A112" t="s">
        <v>52</v>
      </c>
      <c r="B112" t="s">
        <v>117</v>
      </c>
      <c r="C112" t="s">
        <v>1494</v>
      </c>
      <c r="D112" s="107">
        <v>2270000</v>
      </c>
      <c r="E112" s="107">
        <v>2632000</v>
      </c>
      <c r="F112" s="107">
        <v>380500</v>
      </c>
      <c r="G112" s="107">
        <v>0</v>
      </c>
      <c r="H112" s="107">
        <v>0</v>
      </c>
      <c r="I112" s="107">
        <v>0</v>
      </c>
      <c r="J112" s="107">
        <v>1198000</v>
      </c>
      <c r="K112" s="107">
        <v>0</v>
      </c>
      <c r="L112" s="107">
        <v>-120000</v>
      </c>
      <c r="M112" s="115">
        <f t="shared" si="6"/>
        <v>179666.66666666666</v>
      </c>
      <c r="N112" s="108">
        <f t="shared" si="7"/>
        <v>0.47218572054314495</v>
      </c>
      <c r="O112" s="102" t="s">
        <v>1494</v>
      </c>
    </row>
    <row r="113" spans="1:15" x14ac:dyDescent="0.3">
      <c r="A113" t="s">
        <v>52</v>
      </c>
      <c r="B113" t="s">
        <v>84</v>
      </c>
      <c r="C113" t="s">
        <v>1494</v>
      </c>
      <c r="D113" s="107">
        <v>2164000</v>
      </c>
      <c r="E113" s="107">
        <v>2091600</v>
      </c>
      <c r="F113" s="107">
        <v>292900</v>
      </c>
      <c r="G113" s="107">
        <v>495400</v>
      </c>
      <c r="H113" s="107">
        <v>0</v>
      </c>
      <c r="I113" s="107">
        <v>357700</v>
      </c>
      <c r="J113" s="107">
        <v>135000</v>
      </c>
      <c r="K113" s="107">
        <v>225400</v>
      </c>
      <c r="L113" s="107">
        <v>0</v>
      </c>
      <c r="M113" s="115">
        <f t="shared" si="6"/>
        <v>202250</v>
      </c>
      <c r="N113" s="108">
        <f t="shared" si="7"/>
        <v>0.69050870604301806</v>
      </c>
      <c r="O113" s="102" t="s">
        <v>1607</v>
      </c>
    </row>
    <row r="114" spans="1:15" x14ac:dyDescent="0.3">
      <c r="A114" t="s">
        <v>52</v>
      </c>
      <c r="B114" t="s">
        <v>59</v>
      </c>
      <c r="C114" t="s">
        <v>1494</v>
      </c>
      <c r="D114" s="107">
        <v>2120000</v>
      </c>
      <c r="E114" s="107">
        <v>3244000</v>
      </c>
      <c r="F114" s="107">
        <v>270000</v>
      </c>
      <c r="G114" s="107">
        <v>270000</v>
      </c>
      <c r="H114" s="107">
        <v>0</v>
      </c>
      <c r="I114" s="107">
        <v>0</v>
      </c>
      <c r="J114" s="107">
        <v>569000</v>
      </c>
      <c r="K114" s="107">
        <v>0</v>
      </c>
      <c r="L114" s="107">
        <v>170000</v>
      </c>
      <c r="M114" s="115">
        <f t="shared" si="6"/>
        <v>168166.66666666666</v>
      </c>
      <c r="N114" s="108">
        <f t="shared" si="7"/>
        <v>0.62283950617283945</v>
      </c>
      <c r="O114" s="102" t="s">
        <v>1616</v>
      </c>
    </row>
    <row r="115" spans="1:15" x14ac:dyDescent="0.3">
      <c r="A115" t="s">
        <v>52</v>
      </c>
      <c r="B115" t="s">
        <v>137</v>
      </c>
      <c r="C115" t="s">
        <v>1494</v>
      </c>
      <c r="D115" s="107">
        <v>1904821</v>
      </c>
      <c r="E115" s="107">
        <v>368850</v>
      </c>
      <c r="F115" s="107">
        <v>299183</v>
      </c>
      <c r="G115" s="107"/>
      <c r="H115" s="107">
        <v>0</v>
      </c>
      <c r="I115" s="107">
        <v>0</v>
      </c>
      <c r="J115" s="107">
        <v>0</v>
      </c>
      <c r="K115" s="107">
        <v>368850</v>
      </c>
      <c r="L115" s="107">
        <v>0</v>
      </c>
      <c r="M115" s="115">
        <f t="shared" si="6"/>
        <v>73770</v>
      </c>
      <c r="N115" s="108">
        <f t="shared" si="7"/>
        <v>0.24657149637512826</v>
      </c>
      <c r="O115" s="102" t="s">
        <v>1617</v>
      </c>
    </row>
    <row r="116" spans="1:15" x14ac:dyDescent="0.3">
      <c r="F116" s="115">
        <f>SUBTOTAL(9,F9:F115)</f>
        <v>65607523</v>
      </c>
      <c r="M116" s="115">
        <f>SUBTOTAL(9,M9:M115)</f>
        <v>42759123.213333324</v>
      </c>
      <c r="N116" s="108">
        <f t="shared" si="7"/>
        <v>0.65174116104540825</v>
      </c>
    </row>
  </sheetData>
  <autoFilter ref="A8:O115" xr:uid="{0F7E4C39-EDEC-4350-ACF2-8A6819BB19E2}"/>
  <pageMargins left="0.7" right="0.7" top="0.75" bottom="0.75" header="0.3" footer="0.3"/>
  <ignoredErrors>
    <ignoredError sqref="M100:M111 M112:M116"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B548-7340-472D-A7BB-51B55A54F5F3}">
  <dimension ref="A1:L70"/>
  <sheetViews>
    <sheetView topLeftCell="A18" workbookViewId="0">
      <selection activeCell="K12" sqref="K12:L13"/>
    </sheetView>
  </sheetViews>
  <sheetFormatPr defaultRowHeight="14.4" x14ac:dyDescent="0.3"/>
  <cols>
    <col min="1" max="1" width="16.33203125" bestFit="1" customWidth="1"/>
    <col min="2" max="2" width="39" customWidth="1"/>
    <col min="3" max="3" width="15.33203125" bestFit="1" customWidth="1"/>
    <col min="4" max="4" width="17.44140625" bestFit="1" customWidth="1"/>
    <col min="5" max="5" width="18.44140625" bestFit="1" customWidth="1"/>
    <col min="6" max="10" width="11.44140625" bestFit="1" customWidth="1"/>
    <col min="11" max="11" width="15.21875" customWidth="1"/>
    <col min="12" max="12" width="13.109375" customWidth="1"/>
  </cols>
  <sheetData>
    <row r="1" spans="1:12" ht="15.6" x14ac:dyDescent="0.3">
      <c r="A1" s="606" t="s">
        <v>1554</v>
      </c>
    </row>
    <row r="2" spans="1:12" ht="15.6" x14ac:dyDescent="0.3">
      <c r="A2" s="606" t="s">
        <v>1555</v>
      </c>
    </row>
    <row r="3" spans="1:12" ht="15.6" x14ac:dyDescent="0.3">
      <c r="A3" s="606" t="s">
        <v>1556</v>
      </c>
    </row>
    <row r="5" spans="1:12" ht="28.8" x14ac:dyDescent="0.3">
      <c r="A5" s="607" t="s">
        <v>1553</v>
      </c>
      <c r="B5" s="607" t="s">
        <v>216</v>
      </c>
      <c r="C5" s="607" t="s">
        <v>39</v>
      </c>
      <c r="D5" s="608" t="s">
        <v>1561</v>
      </c>
      <c r="E5" s="608" t="s">
        <v>1552</v>
      </c>
      <c r="F5" s="609" t="s">
        <v>1481</v>
      </c>
      <c r="G5" s="609" t="s">
        <v>1482</v>
      </c>
      <c r="H5" s="609" t="s">
        <v>1483</v>
      </c>
      <c r="I5" s="609" t="s">
        <v>1484</v>
      </c>
      <c r="J5" s="609" t="s">
        <v>1490</v>
      </c>
      <c r="K5" s="608" t="s">
        <v>1557</v>
      </c>
      <c r="L5" s="608" t="s">
        <v>1558</v>
      </c>
    </row>
    <row r="6" spans="1:12" x14ac:dyDescent="0.3">
      <c r="A6" t="str">
        <f>A14</f>
        <v>OCD</v>
      </c>
      <c r="C6" s="115">
        <f>SUM(C13:C25)</f>
        <v>212668044</v>
      </c>
      <c r="D6" s="115">
        <f t="shared" ref="D6:K6" si="0">SUM(D13:D25)</f>
        <v>212117672.6661303</v>
      </c>
      <c r="E6" s="115">
        <f t="shared" si="0"/>
        <v>18841866</v>
      </c>
      <c r="F6" s="115">
        <f t="shared" si="0"/>
        <v>719743.49</v>
      </c>
      <c r="G6" s="115">
        <f t="shared" si="0"/>
        <v>484966.99999999965</v>
      </c>
      <c r="H6" s="115">
        <f t="shared" si="0"/>
        <v>4313609</v>
      </c>
      <c r="I6" s="115">
        <f t="shared" si="0"/>
        <v>6055272.5</v>
      </c>
      <c r="J6" s="115">
        <f t="shared" si="0"/>
        <v>6480391</v>
      </c>
      <c r="K6" s="115">
        <f t="shared" si="0"/>
        <v>3610796.5979999998</v>
      </c>
      <c r="L6" s="108">
        <f>K6/E6</f>
        <v>0.19163688978575688</v>
      </c>
    </row>
    <row r="7" spans="1:12" x14ac:dyDescent="0.3">
      <c r="A7" t="str">
        <f>A26</f>
        <v>YHLO</v>
      </c>
      <c r="C7" s="115">
        <f t="shared" ref="C7:K7" si="1">SUM(C26:C52)</f>
        <v>116905522</v>
      </c>
      <c r="D7" s="115">
        <f t="shared" si="1"/>
        <v>162827937.08000001</v>
      </c>
      <c r="E7" s="115">
        <f t="shared" si="1"/>
        <v>17170987</v>
      </c>
      <c r="F7" s="115">
        <f t="shared" si="1"/>
        <v>12168544</v>
      </c>
      <c r="G7" s="115">
        <f t="shared" si="1"/>
        <v>8311780</v>
      </c>
      <c r="H7" s="115">
        <f t="shared" si="1"/>
        <v>24240888.5</v>
      </c>
      <c r="I7" s="115">
        <f t="shared" si="1"/>
        <v>4531136</v>
      </c>
      <c r="J7" s="115">
        <f t="shared" si="1"/>
        <v>11521881</v>
      </c>
      <c r="K7" s="115">
        <f t="shared" si="1"/>
        <v>12154845.9</v>
      </c>
      <c r="L7" s="108">
        <f>K7/E7</f>
        <v>0.70787112587063283</v>
      </c>
    </row>
    <row r="8" spans="1:12" x14ac:dyDescent="0.3">
      <c r="A8" t="str">
        <f>A53</f>
        <v>Vital Scientific</v>
      </c>
      <c r="C8" s="115">
        <f t="shared" ref="C8:K8" si="2">SUM(C53:C70)</f>
        <v>96440445</v>
      </c>
      <c r="D8" s="115">
        <f t="shared" si="2"/>
        <v>166810635.85999998</v>
      </c>
      <c r="E8" s="115">
        <f t="shared" si="2"/>
        <v>9353845</v>
      </c>
      <c r="F8" s="115">
        <f t="shared" si="2"/>
        <v>8900891.5999999996</v>
      </c>
      <c r="G8" s="115">
        <f t="shared" si="2"/>
        <v>18081430.199999999</v>
      </c>
      <c r="H8" s="115">
        <f t="shared" si="2"/>
        <v>14818165.670000002</v>
      </c>
      <c r="I8" s="115">
        <f t="shared" si="2"/>
        <v>13351511.630000001</v>
      </c>
      <c r="J8" s="115">
        <f t="shared" si="2"/>
        <v>3777765.4</v>
      </c>
      <c r="K8" s="115">
        <f t="shared" si="2"/>
        <v>11785952.9</v>
      </c>
      <c r="L8" s="108">
        <f>K8/E8</f>
        <v>1.2600115674356376</v>
      </c>
    </row>
    <row r="10" spans="1:12" x14ac:dyDescent="0.3">
      <c r="A10" s="492" t="s">
        <v>1559</v>
      </c>
      <c r="B10" s="492"/>
      <c r="C10" s="493">
        <f t="shared" ref="C10:K10" si="3">SUM(C6:C8)</f>
        <v>426014011</v>
      </c>
      <c r="D10" s="493">
        <f t="shared" si="3"/>
        <v>541756245.60613036</v>
      </c>
      <c r="E10" s="493">
        <f t="shared" si="3"/>
        <v>45366698</v>
      </c>
      <c r="F10" s="493">
        <f t="shared" si="3"/>
        <v>21789179.09</v>
      </c>
      <c r="G10" s="493">
        <f t="shared" si="3"/>
        <v>26878177.199999999</v>
      </c>
      <c r="H10" s="493">
        <f t="shared" si="3"/>
        <v>43372663.170000002</v>
      </c>
      <c r="I10" s="493">
        <f t="shared" si="3"/>
        <v>23937920.130000003</v>
      </c>
      <c r="J10" s="493">
        <f t="shared" si="3"/>
        <v>21780037.399999999</v>
      </c>
      <c r="K10" s="493">
        <f t="shared" si="3"/>
        <v>27551595.398000002</v>
      </c>
      <c r="L10" s="610">
        <f>K10/E10</f>
        <v>0.60730881048473051</v>
      </c>
    </row>
    <row r="12" spans="1:12" ht="34.799999999999997" customHeight="1" x14ac:dyDescent="0.3">
      <c r="A12" s="607" t="s">
        <v>1553</v>
      </c>
      <c r="B12" s="607" t="s">
        <v>216</v>
      </c>
      <c r="C12" s="607" t="s">
        <v>39</v>
      </c>
      <c r="D12" s="608" t="s">
        <v>1561</v>
      </c>
      <c r="E12" s="608" t="s">
        <v>1552</v>
      </c>
      <c r="F12" s="609" t="s">
        <v>1481</v>
      </c>
      <c r="G12" s="609" t="s">
        <v>1482</v>
      </c>
      <c r="H12" s="609" t="s">
        <v>1483</v>
      </c>
      <c r="I12" s="609" t="s">
        <v>1484</v>
      </c>
      <c r="J12" s="609" t="s">
        <v>1490</v>
      </c>
      <c r="K12" s="608" t="s">
        <v>1557</v>
      </c>
      <c r="L12" s="608" t="s">
        <v>1558</v>
      </c>
    </row>
    <row r="13" spans="1:12" x14ac:dyDescent="0.3">
      <c r="A13" s="110" t="s">
        <v>21</v>
      </c>
      <c r="B13" t="s">
        <v>1560</v>
      </c>
      <c r="C13" s="115">
        <v>53313712</v>
      </c>
      <c r="D13" s="115">
        <v>56392691.953333326</v>
      </c>
      <c r="E13" s="115">
        <v>3293286</v>
      </c>
      <c r="F13" s="115">
        <v>0</v>
      </c>
      <c r="G13" s="115">
        <v>279805.83333333302</v>
      </c>
      <c r="H13" s="115">
        <v>0</v>
      </c>
      <c r="I13" s="115">
        <v>0</v>
      </c>
      <c r="J13" s="115">
        <v>506230</v>
      </c>
      <c r="K13" s="115">
        <f>AVERAGE(F13:J13)</f>
        <v>157207.1666666666</v>
      </c>
      <c r="L13" s="108">
        <f>K13/E13</f>
        <v>4.7735655714889809E-2</v>
      </c>
    </row>
    <row r="14" spans="1:12" x14ac:dyDescent="0.3">
      <c r="A14" s="110" t="s">
        <v>21</v>
      </c>
      <c r="B14" t="s">
        <v>138</v>
      </c>
      <c r="C14" s="115">
        <v>25027938</v>
      </c>
      <c r="D14" s="115">
        <v>6462518.4299999997</v>
      </c>
      <c r="E14" s="115">
        <v>2885447</v>
      </c>
      <c r="F14" s="115">
        <v>0</v>
      </c>
      <c r="G14" s="115">
        <v>0</v>
      </c>
      <c r="H14" s="115">
        <v>1849806</v>
      </c>
      <c r="I14" s="115">
        <v>0</v>
      </c>
      <c r="J14" s="115">
        <v>1541262</v>
      </c>
      <c r="K14" s="115">
        <f>AVERAGE(F14:J14)</f>
        <v>678213.6</v>
      </c>
      <c r="L14" s="108">
        <f>K14/E14</f>
        <v>0.23504628572280134</v>
      </c>
    </row>
    <row r="15" spans="1:12" x14ac:dyDescent="0.3">
      <c r="A15" s="110" t="s">
        <v>21</v>
      </c>
      <c r="B15" t="s">
        <v>58</v>
      </c>
      <c r="C15" s="115">
        <v>18831680</v>
      </c>
      <c r="D15" s="115">
        <v>93563966.099999994</v>
      </c>
      <c r="E15" s="115">
        <v>2459926</v>
      </c>
      <c r="F15" s="115">
        <v>0</v>
      </c>
      <c r="G15" s="115">
        <v>0</v>
      </c>
      <c r="H15" s="115">
        <v>2463803</v>
      </c>
      <c r="I15" s="115">
        <v>4416842</v>
      </c>
      <c r="J15" s="115">
        <v>3493108</v>
      </c>
      <c r="K15" s="115">
        <f t="shared" ref="K15:K70" si="4">AVERAGE(F15:J15)</f>
        <v>2074750.6</v>
      </c>
      <c r="L15" s="108">
        <f t="shared" ref="L15:L70" si="5">K15/E15</f>
        <v>0.84341992401397448</v>
      </c>
    </row>
    <row r="16" spans="1:12" x14ac:dyDescent="0.3">
      <c r="A16" s="110" t="s">
        <v>21</v>
      </c>
      <c r="B16" t="s">
        <v>115</v>
      </c>
      <c r="C16" s="115">
        <v>18824399</v>
      </c>
      <c r="D16" s="115">
        <v>4718103.7227969738</v>
      </c>
      <c r="E16" s="115">
        <v>1550725</v>
      </c>
      <c r="F16" s="115">
        <v>0</v>
      </c>
      <c r="G16" s="115">
        <v>55961.166666666599</v>
      </c>
      <c r="H16" s="115">
        <v>0</v>
      </c>
      <c r="I16" s="115">
        <v>48600</v>
      </c>
      <c r="J16" s="115">
        <v>101246</v>
      </c>
      <c r="K16" s="115">
        <f t="shared" si="4"/>
        <v>41161.43333333332</v>
      </c>
      <c r="L16" s="108">
        <f t="shared" si="5"/>
        <v>2.6543348003890646E-2</v>
      </c>
    </row>
    <row r="17" spans="1:12" x14ac:dyDescent="0.3">
      <c r="A17" s="110" t="s">
        <v>21</v>
      </c>
      <c r="B17" t="s">
        <v>111</v>
      </c>
      <c r="C17" s="115">
        <v>18808000</v>
      </c>
      <c r="D17" s="115">
        <v>9998644.8000000007</v>
      </c>
      <c r="E17" s="115">
        <v>3123750</v>
      </c>
      <c r="F17" s="115">
        <v>0</v>
      </c>
      <c r="G17" s="115">
        <v>0</v>
      </c>
      <c r="H17" s="115">
        <v>0</v>
      </c>
      <c r="I17" s="115">
        <v>0</v>
      </c>
      <c r="J17" s="115">
        <v>0</v>
      </c>
      <c r="K17" s="115">
        <f t="shared" si="4"/>
        <v>0</v>
      </c>
      <c r="L17" s="108">
        <f t="shared" si="5"/>
        <v>0</v>
      </c>
    </row>
    <row r="18" spans="1:12" x14ac:dyDescent="0.3">
      <c r="A18" s="110" t="s">
        <v>21</v>
      </c>
      <c r="B18" t="s">
        <v>75</v>
      </c>
      <c r="C18" s="115">
        <v>16465883</v>
      </c>
      <c r="D18" s="115">
        <v>7362783.54</v>
      </c>
      <c r="E18" s="115">
        <v>864628</v>
      </c>
      <c r="F18" s="115">
        <v>0</v>
      </c>
      <c r="G18" s="115">
        <v>0</v>
      </c>
      <c r="H18" s="115">
        <v>0</v>
      </c>
      <c r="I18" s="115">
        <v>0</v>
      </c>
      <c r="J18" s="115">
        <v>0</v>
      </c>
      <c r="K18" s="115">
        <f t="shared" si="4"/>
        <v>0</v>
      </c>
      <c r="L18" s="108">
        <f t="shared" si="5"/>
        <v>0</v>
      </c>
    </row>
    <row r="19" spans="1:12" x14ac:dyDescent="0.3">
      <c r="A19" s="110" t="s">
        <v>21</v>
      </c>
      <c r="B19" t="s">
        <v>83</v>
      </c>
      <c r="C19" s="115">
        <v>14446400</v>
      </c>
      <c r="D19" s="115">
        <v>1116500</v>
      </c>
      <c r="E19" s="115">
        <v>855600</v>
      </c>
      <c r="F19" s="115">
        <v>0</v>
      </c>
      <c r="G19" s="115">
        <v>0</v>
      </c>
      <c r="H19" s="115">
        <v>0</v>
      </c>
      <c r="I19" s="115">
        <v>647500</v>
      </c>
      <c r="J19" s="115">
        <v>0</v>
      </c>
      <c r="K19" s="115">
        <f t="shared" si="4"/>
        <v>129500</v>
      </c>
      <c r="L19" s="108">
        <f t="shared" si="5"/>
        <v>0.1513557737260402</v>
      </c>
    </row>
    <row r="20" spans="1:12" x14ac:dyDescent="0.3">
      <c r="A20" s="110" t="s">
        <v>21</v>
      </c>
      <c r="B20" t="s">
        <v>98</v>
      </c>
      <c r="C20" s="115">
        <v>14396400</v>
      </c>
      <c r="D20" s="115">
        <v>1686228</v>
      </c>
      <c r="E20" s="115">
        <v>984486</v>
      </c>
      <c r="F20" s="115">
        <v>0</v>
      </c>
      <c r="G20" s="115">
        <v>0</v>
      </c>
      <c r="H20" s="115">
        <v>0</v>
      </c>
      <c r="I20" s="115">
        <v>0</v>
      </c>
      <c r="J20" s="115">
        <v>0</v>
      </c>
      <c r="K20" s="115">
        <f t="shared" si="4"/>
        <v>0</v>
      </c>
      <c r="L20" s="108">
        <f t="shared" si="5"/>
        <v>0</v>
      </c>
    </row>
    <row r="21" spans="1:12" x14ac:dyDescent="0.3">
      <c r="A21" s="110" t="s">
        <v>21</v>
      </c>
      <c r="B21" t="s">
        <v>104</v>
      </c>
      <c r="C21" s="115">
        <v>7420000</v>
      </c>
      <c r="D21" s="115">
        <v>8799267.5500000007</v>
      </c>
      <c r="E21" s="115">
        <v>824400</v>
      </c>
      <c r="F21" s="115">
        <v>0</v>
      </c>
      <c r="G21" s="115">
        <v>0</v>
      </c>
      <c r="H21" s="115">
        <v>0</v>
      </c>
      <c r="I21" s="115">
        <v>0</v>
      </c>
      <c r="J21" s="115">
        <v>0</v>
      </c>
      <c r="K21" s="115">
        <f t="shared" si="4"/>
        <v>0</v>
      </c>
      <c r="L21" s="108">
        <f t="shared" si="5"/>
        <v>0</v>
      </c>
    </row>
    <row r="22" spans="1:12" x14ac:dyDescent="0.3">
      <c r="A22" s="110" t="s">
        <v>21</v>
      </c>
      <c r="B22" t="s">
        <v>106</v>
      </c>
      <c r="C22" s="115">
        <v>6938187</v>
      </c>
      <c r="D22" s="115">
        <v>1700000</v>
      </c>
      <c r="E22" s="115">
        <v>618263</v>
      </c>
      <c r="F22" s="115">
        <v>109500</v>
      </c>
      <c r="G22" s="115">
        <v>149200</v>
      </c>
      <c r="H22" s="115">
        <v>0</v>
      </c>
      <c r="I22" s="115">
        <v>0</v>
      </c>
      <c r="J22" s="115">
        <v>0</v>
      </c>
      <c r="K22" s="115">
        <f t="shared" si="4"/>
        <v>51740</v>
      </c>
      <c r="L22" s="108">
        <f t="shared" si="5"/>
        <v>8.3686068873602332E-2</v>
      </c>
    </row>
    <row r="23" spans="1:12" x14ac:dyDescent="0.3">
      <c r="A23" s="110" t="s">
        <v>21</v>
      </c>
      <c r="B23" t="s">
        <v>1546</v>
      </c>
      <c r="C23" s="115">
        <v>6818058</v>
      </c>
      <c r="D23" s="115">
        <v>11011877</v>
      </c>
      <c r="E23" s="115">
        <v>392516</v>
      </c>
      <c r="F23" s="115">
        <v>58140</v>
      </c>
      <c r="G23" s="115">
        <v>0</v>
      </c>
      <c r="H23" s="115">
        <v>0</v>
      </c>
      <c r="I23" s="115">
        <v>511332</v>
      </c>
      <c r="J23" s="115">
        <v>544884</v>
      </c>
      <c r="K23" s="115">
        <f t="shared" si="4"/>
        <v>222871.2</v>
      </c>
      <c r="L23" s="108">
        <f t="shared" si="5"/>
        <v>0.56780156732464415</v>
      </c>
    </row>
    <row r="24" spans="1:12" x14ac:dyDescent="0.3">
      <c r="A24" s="110" t="s">
        <v>21</v>
      </c>
      <c r="B24" t="s">
        <v>63</v>
      </c>
      <c r="C24" s="115">
        <v>5962387</v>
      </c>
      <c r="D24" s="115">
        <v>2296787.5700000003</v>
      </c>
      <c r="E24" s="115">
        <v>469966</v>
      </c>
      <c r="F24" s="115">
        <v>375282.49</v>
      </c>
      <c r="G24" s="115">
        <v>0</v>
      </c>
      <c r="H24" s="115">
        <v>0</v>
      </c>
      <c r="I24" s="115">
        <v>24249.5</v>
      </c>
      <c r="J24" s="115">
        <v>48499</v>
      </c>
      <c r="K24" s="115">
        <f t="shared" si="4"/>
        <v>89606.198000000004</v>
      </c>
      <c r="L24" s="108">
        <f t="shared" si="5"/>
        <v>0.19066527791372143</v>
      </c>
    </row>
    <row r="25" spans="1:12" x14ac:dyDescent="0.3">
      <c r="A25" s="593" t="s">
        <v>21</v>
      </c>
      <c r="B25" t="s">
        <v>100</v>
      </c>
      <c r="C25" s="115">
        <v>5415000</v>
      </c>
      <c r="D25" s="115">
        <v>7008304</v>
      </c>
      <c r="E25" s="115">
        <v>518873</v>
      </c>
      <c r="F25" s="115">
        <v>176821</v>
      </c>
      <c r="G25" s="115">
        <v>0</v>
      </c>
      <c r="H25" s="115">
        <v>0</v>
      </c>
      <c r="I25" s="115">
        <v>406749</v>
      </c>
      <c r="J25" s="115">
        <v>245162</v>
      </c>
      <c r="K25" s="115">
        <f t="shared" si="4"/>
        <v>165746.4</v>
      </c>
      <c r="L25" s="108">
        <f t="shared" si="5"/>
        <v>0.31943539170471386</v>
      </c>
    </row>
    <row r="26" spans="1:12" x14ac:dyDescent="0.3">
      <c r="A26" s="110" t="s">
        <v>24</v>
      </c>
      <c r="B26" t="s">
        <v>124</v>
      </c>
      <c r="C26" s="115">
        <v>22359460</v>
      </c>
      <c r="D26" s="115">
        <v>18037291.666666664</v>
      </c>
      <c r="E26" s="115">
        <v>2496926</v>
      </c>
      <c r="F26" s="115">
        <v>1327250</v>
      </c>
      <c r="G26" s="115">
        <v>1800000</v>
      </c>
      <c r="H26" s="115">
        <v>5819625</v>
      </c>
      <c r="I26" s="115">
        <v>0</v>
      </c>
      <c r="J26" s="115">
        <v>3480000</v>
      </c>
      <c r="K26" s="115">
        <f t="shared" si="4"/>
        <v>2485375</v>
      </c>
      <c r="L26" s="108">
        <f t="shared" si="5"/>
        <v>0.99537391176190249</v>
      </c>
    </row>
    <row r="27" spans="1:12" x14ac:dyDescent="0.3">
      <c r="A27" s="110" t="s">
        <v>24</v>
      </c>
      <c r="B27" t="s">
        <v>130</v>
      </c>
      <c r="C27" s="115">
        <v>9640642</v>
      </c>
      <c r="D27" s="115">
        <v>14876603</v>
      </c>
      <c r="E27" s="115">
        <v>3074893</v>
      </c>
      <c r="F27" s="115">
        <v>2198150</v>
      </c>
      <c r="G27" s="115">
        <v>0</v>
      </c>
      <c r="H27" s="115">
        <v>0</v>
      </c>
      <c r="I27" s="115">
        <v>0</v>
      </c>
      <c r="J27" s="115">
        <v>0</v>
      </c>
      <c r="K27" s="115">
        <f t="shared" si="4"/>
        <v>439630</v>
      </c>
      <c r="L27" s="108">
        <f t="shared" si="5"/>
        <v>0.14297408072410975</v>
      </c>
    </row>
    <row r="28" spans="1:12" x14ac:dyDescent="0.3">
      <c r="A28" s="110" t="s">
        <v>24</v>
      </c>
      <c r="B28" t="s">
        <v>193</v>
      </c>
      <c r="C28" s="115">
        <v>5490000</v>
      </c>
      <c r="D28" s="115">
        <v>754200</v>
      </c>
      <c r="E28" s="115">
        <v>413290</v>
      </c>
      <c r="F28" s="115">
        <v>0</v>
      </c>
      <c r="G28" s="115">
        <v>0</v>
      </c>
      <c r="H28" s="115">
        <v>0</v>
      </c>
      <c r="I28" s="115">
        <v>377100</v>
      </c>
      <c r="J28" s="115">
        <v>377100</v>
      </c>
      <c r="K28" s="115">
        <f t="shared" si="4"/>
        <v>150840</v>
      </c>
      <c r="L28" s="108">
        <f t="shared" si="5"/>
        <v>0.36497374724769532</v>
      </c>
    </row>
    <row r="29" spans="1:12" x14ac:dyDescent="0.3">
      <c r="A29" s="110" t="s">
        <v>24</v>
      </c>
      <c r="B29" t="s">
        <v>142</v>
      </c>
      <c r="C29" s="115">
        <v>4910685</v>
      </c>
      <c r="D29" s="115">
        <v>1237987.5</v>
      </c>
      <c r="E29" s="115">
        <v>472477</v>
      </c>
      <c r="F29" s="115">
        <v>0</v>
      </c>
      <c r="G29" s="115">
        <v>0</v>
      </c>
      <c r="H29" s="115">
        <v>1032747.5</v>
      </c>
      <c r="I29" s="115">
        <v>205240</v>
      </c>
      <c r="J29" s="115">
        <v>0</v>
      </c>
      <c r="K29" s="115">
        <f t="shared" si="4"/>
        <v>247597.5</v>
      </c>
      <c r="L29" s="108">
        <f t="shared" si="5"/>
        <v>0.52404138190853733</v>
      </c>
    </row>
    <row r="30" spans="1:12" x14ac:dyDescent="0.3">
      <c r="A30" s="110" t="s">
        <v>24</v>
      </c>
      <c r="B30" t="s">
        <v>144</v>
      </c>
      <c r="C30" s="115">
        <v>4910685</v>
      </c>
      <c r="D30" s="115">
        <v>1237987.5</v>
      </c>
      <c r="E30" s="115">
        <v>674745</v>
      </c>
      <c r="F30" s="115">
        <v>0</v>
      </c>
      <c r="G30" s="115">
        <v>0</v>
      </c>
      <c r="H30" s="115">
        <v>1032747.5</v>
      </c>
      <c r="I30" s="115">
        <v>205240</v>
      </c>
      <c r="J30" s="115">
        <v>0</v>
      </c>
      <c r="K30" s="115">
        <f t="shared" si="4"/>
        <v>247597.5</v>
      </c>
      <c r="L30" s="108">
        <f t="shared" si="5"/>
        <v>0.36694973656714758</v>
      </c>
    </row>
    <row r="31" spans="1:12" x14ac:dyDescent="0.3">
      <c r="A31" s="110" t="s">
        <v>24</v>
      </c>
      <c r="B31" t="s">
        <v>87</v>
      </c>
      <c r="C31" s="115">
        <v>4715000</v>
      </c>
      <c r="D31" s="115">
        <v>6865628</v>
      </c>
      <c r="E31" s="115">
        <v>551283</v>
      </c>
      <c r="F31" s="115">
        <v>0</v>
      </c>
      <c r="G31" s="115">
        <v>0</v>
      </c>
      <c r="H31" s="115">
        <v>1474506</v>
      </c>
      <c r="I31" s="115">
        <v>40800</v>
      </c>
      <c r="J31" s="115">
        <v>40800</v>
      </c>
      <c r="K31" s="115">
        <f t="shared" si="4"/>
        <v>311221.2</v>
      </c>
      <c r="L31" s="108">
        <f t="shared" si="5"/>
        <v>0.56453980986172259</v>
      </c>
    </row>
    <row r="32" spans="1:12" x14ac:dyDescent="0.3">
      <c r="A32" s="110" t="s">
        <v>24</v>
      </c>
      <c r="B32" t="s">
        <v>121</v>
      </c>
      <c r="C32" s="115">
        <v>4171088</v>
      </c>
      <c r="D32" s="115">
        <v>10777479.166666666</v>
      </c>
      <c r="E32" s="115">
        <v>1012173</v>
      </c>
      <c r="F32" s="115">
        <v>1327250</v>
      </c>
      <c r="G32" s="115">
        <v>900000</v>
      </c>
      <c r="H32" s="115">
        <v>2909812.5</v>
      </c>
      <c r="I32" s="115">
        <v>0</v>
      </c>
      <c r="J32" s="115">
        <v>1740000</v>
      </c>
      <c r="K32" s="115">
        <f t="shared" si="4"/>
        <v>1375412.5</v>
      </c>
      <c r="L32" s="108">
        <f t="shared" si="5"/>
        <v>1.3588709637581717</v>
      </c>
    </row>
    <row r="33" spans="1:12" x14ac:dyDescent="0.3">
      <c r="A33" s="110" t="s">
        <v>24</v>
      </c>
      <c r="B33" t="s">
        <v>120</v>
      </c>
      <c r="C33" s="115">
        <v>4171088</v>
      </c>
      <c r="D33" s="115">
        <v>10777479.166666666</v>
      </c>
      <c r="E33" s="115">
        <v>1012173</v>
      </c>
      <c r="F33" s="115">
        <v>1327250</v>
      </c>
      <c r="G33" s="115">
        <v>900000</v>
      </c>
      <c r="H33" s="115">
        <v>2909812.5</v>
      </c>
      <c r="I33" s="115">
        <v>0</v>
      </c>
      <c r="J33" s="115">
        <v>1740000</v>
      </c>
      <c r="K33" s="115">
        <f t="shared" si="4"/>
        <v>1375412.5</v>
      </c>
      <c r="L33" s="108">
        <f t="shared" si="5"/>
        <v>1.3588709637581717</v>
      </c>
    </row>
    <row r="34" spans="1:12" x14ac:dyDescent="0.3">
      <c r="A34" s="110" t="s">
        <v>24</v>
      </c>
      <c r="B34" t="s">
        <v>113</v>
      </c>
      <c r="C34" s="115">
        <v>3706000</v>
      </c>
      <c r="D34" s="115">
        <v>15429245</v>
      </c>
      <c r="E34" s="115">
        <v>541370</v>
      </c>
      <c r="F34" s="115">
        <v>359125</v>
      </c>
      <c r="G34" s="115">
        <v>714925</v>
      </c>
      <c r="H34" s="115">
        <v>377400</v>
      </c>
      <c r="I34" s="115">
        <v>574900</v>
      </c>
      <c r="J34" s="115">
        <v>986225</v>
      </c>
      <c r="K34" s="115">
        <f t="shared" si="4"/>
        <v>602515</v>
      </c>
      <c r="L34" s="108">
        <f t="shared" si="5"/>
        <v>1.1129449359957146</v>
      </c>
    </row>
    <row r="35" spans="1:12" x14ac:dyDescent="0.3">
      <c r="A35" s="110" t="s">
        <v>24</v>
      </c>
      <c r="B35" t="s">
        <v>66</v>
      </c>
      <c r="C35" s="115">
        <v>3650471</v>
      </c>
      <c r="D35" s="115">
        <v>1366459</v>
      </c>
      <c r="E35" s="115">
        <v>424199</v>
      </c>
      <c r="F35" s="115">
        <v>0</v>
      </c>
      <c r="G35" s="115">
        <v>0</v>
      </c>
      <c r="H35" s="115">
        <v>0</v>
      </c>
      <c r="I35" s="115">
        <v>0</v>
      </c>
      <c r="J35" s="115">
        <v>0</v>
      </c>
      <c r="K35" s="115">
        <f t="shared" si="4"/>
        <v>0</v>
      </c>
      <c r="L35" s="108">
        <f t="shared" si="5"/>
        <v>0</v>
      </c>
    </row>
    <row r="36" spans="1:12" x14ac:dyDescent="0.3">
      <c r="A36" s="110" t="s">
        <v>24</v>
      </c>
      <c r="B36" t="s">
        <v>89</v>
      </c>
      <c r="C36" s="115">
        <v>3650000</v>
      </c>
      <c r="D36" s="115">
        <v>1508840</v>
      </c>
      <c r="E36" s="115">
        <v>1194783</v>
      </c>
      <c r="F36" s="115">
        <v>431600</v>
      </c>
      <c r="G36" s="115">
        <v>107800</v>
      </c>
      <c r="H36" s="115">
        <v>80800</v>
      </c>
      <c r="I36" s="115">
        <v>191400</v>
      </c>
      <c r="J36" s="115">
        <v>62000</v>
      </c>
      <c r="K36" s="115">
        <f t="shared" si="4"/>
        <v>174720</v>
      </c>
      <c r="L36" s="108">
        <f t="shared" si="5"/>
        <v>0.14623575996645416</v>
      </c>
    </row>
    <row r="37" spans="1:12" x14ac:dyDescent="0.3">
      <c r="A37" s="110" t="s">
        <v>24</v>
      </c>
      <c r="B37" t="s">
        <v>60</v>
      </c>
      <c r="C37" s="115">
        <v>3535471</v>
      </c>
      <c r="D37" s="115">
        <v>1366459</v>
      </c>
      <c r="E37" s="115">
        <v>536481</v>
      </c>
      <c r="F37" s="115">
        <v>0</v>
      </c>
      <c r="G37" s="115">
        <v>0</v>
      </c>
      <c r="H37" s="115">
        <v>0</v>
      </c>
      <c r="I37" s="115">
        <v>0</v>
      </c>
      <c r="J37" s="115">
        <v>0</v>
      </c>
      <c r="K37" s="115">
        <f t="shared" si="4"/>
        <v>0</v>
      </c>
      <c r="L37" s="108">
        <f t="shared" si="5"/>
        <v>0</v>
      </c>
    </row>
    <row r="38" spans="1:12" x14ac:dyDescent="0.3">
      <c r="A38" s="110" t="s">
        <v>24</v>
      </c>
      <c r="B38" t="s">
        <v>190</v>
      </c>
      <c r="C38" s="115">
        <v>3276255</v>
      </c>
      <c r="D38" s="115">
        <v>2947987.5</v>
      </c>
      <c r="E38" s="115">
        <v>386629</v>
      </c>
      <c r="F38" s="115">
        <v>0</v>
      </c>
      <c r="G38" s="115">
        <v>0</v>
      </c>
      <c r="H38" s="115">
        <v>1032747.5</v>
      </c>
      <c r="I38" s="115">
        <v>205240</v>
      </c>
      <c r="J38" s="115">
        <v>0</v>
      </c>
      <c r="K38" s="115">
        <f t="shared" si="4"/>
        <v>247597.5</v>
      </c>
      <c r="L38" s="108">
        <f t="shared" si="5"/>
        <v>0.64040074593473328</v>
      </c>
    </row>
    <row r="39" spans="1:12" x14ac:dyDescent="0.3">
      <c r="A39" s="110" t="s">
        <v>24</v>
      </c>
      <c r="B39" t="s">
        <v>118</v>
      </c>
      <c r="C39" s="115">
        <v>3100000</v>
      </c>
      <c r="D39" s="115">
        <v>2491525.5</v>
      </c>
      <c r="E39" s="115">
        <v>29400</v>
      </c>
      <c r="F39" s="115">
        <v>0</v>
      </c>
      <c r="G39" s="115">
        <v>0</v>
      </c>
      <c r="H39" s="115">
        <v>0</v>
      </c>
      <c r="I39" s="115">
        <v>0</v>
      </c>
      <c r="J39" s="115">
        <v>0</v>
      </c>
      <c r="K39" s="115">
        <f t="shared" si="4"/>
        <v>0</v>
      </c>
      <c r="L39" s="108">
        <f t="shared" si="5"/>
        <v>0</v>
      </c>
    </row>
    <row r="40" spans="1:12" x14ac:dyDescent="0.3">
      <c r="A40" s="110" t="s">
        <v>24</v>
      </c>
      <c r="B40" t="s">
        <v>188</v>
      </c>
      <c r="C40" s="115">
        <v>3047232</v>
      </c>
      <c r="D40" s="115">
        <v>1068530</v>
      </c>
      <c r="E40" s="115">
        <v>455552</v>
      </c>
      <c r="F40" s="115">
        <v>0</v>
      </c>
      <c r="G40" s="115">
        <v>416420</v>
      </c>
      <c r="H40" s="115">
        <v>0</v>
      </c>
      <c r="I40" s="115">
        <v>0</v>
      </c>
      <c r="J40" s="115">
        <v>0</v>
      </c>
      <c r="K40" s="115">
        <f t="shared" si="4"/>
        <v>83284</v>
      </c>
      <c r="L40" s="108">
        <f t="shared" si="5"/>
        <v>0.18281996347288565</v>
      </c>
    </row>
    <row r="41" spans="1:12" x14ac:dyDescent="0.3">
      <c r="A41" s="110" t="s">
        <v>24</v>
      </c>
      <c r="B41" t="s">
        <v>103</v>
      </c>
      <c r="C41" s="115">
        <v>3032232</v>
      </c>
      <c r="D41" s="115">
        <v>633610</v>
      </c>
      <c r="E41" s="115">
        <v>147374</v>
      </c>
      <c r="F41" s="115">
        <v>381770</v>
      </c>
      <c r="G41" s="115">
        <v>0</v>
      </c>
      <c r="H41" s="115">
        <v>0</v>
      </c>
      <c r="I41" s="115">
        <v>0</v>
      </c>
      <c r="J41" s="115">
        <v>0</v>
      </c>
      <c r="K41" s="115">
        <f t="shared" si="4"/>
        <v>76354</v>
      </c>
      <c r="L41" s="108">
        <f t="shared" si="5"/>
        <v>0.51809681490629278</v>
      </c>
    </row>
    <row r="42" spans="1:12" x14ac:dyDescent="0.3">
      <c r="A42" s="110" t="s">
        <v>24</v>
      </c>
      <c r="B42" t="s">
        <v>192</v>
      </c>
      <c r="C42" s="115">
        <v>2998200</v>
      </c>
      <c r="D42" s="115">
        <v>465900</v>
      </c>
      <c r="E42" s="115">
        <v>320078</v>
      </c>
      <c r="F42" s="115">
        <v>0</v>
      </c>
      <c r="G42" s="115">
        <v>0</v>
      </c>
      <c r="H42" s="115">
        <v>0</v>
      </c>
      <c r="I42" s="115">
        <v>229400</v>
      </c>
      <c r="J42" s="115">
        <v>236500</v>
      </c>
      <c r="K42" s="115">
        <f t="shared" si="4"/>
        <v>93180</v>
      </c>
      <c r="L42" s="108">
        <f t="shared" si="5"/>
        <v>0.29111654034329132</v>
      </c>
    </row>
    <row r="43" spans="1:12" x14ac:dyDescent="0.3">
      <c r="A43" s="110" t="s">
        <v>24</v>
      </c>
      <c r="B43" t="s">
        <v>71</v>
      </c>
      <c r="C43" s="115">
        <v>2915000</v>
      </c>
      <c r="D43" s="115">
        <v>1592380</v>
      </c>
      <c r="E43" s="115">
        <v>305347</v>
      </c>
      <c r="F43" s="115">
        <v>17500</v>
      </c>
      <c r="G43" s="115">
        <v>75800</v>
      </c>
      <c r="H43" s="115">
        <v>348380</v>
      </c>
      <c r="I43" s="115">
        <v>0</v>
      </c>
      <c r="J43" s="115">
        <v>0</v>
      </c>
      <c r="K43" s="115">
        <f t="shared" si="4"/>
        <v>88336</v>
      </c>
      <c r="L43" s="108">
        <f t="shared" si="5"/>
        <v>0.28929709478069215</v>
      </c>
    </row>
    <row r="44" spans="1:12" x14ac:dyDescent="0.3">
      <c r="A44" s="110" t="s">
        <v>24</v>
      </c>
      <c r="B44" t="s">
        <v>109</v>
      </c>
      <c r="C44" s="115">
        <v>2915000</v>
      </c>
      <c r="D44" s="115">
        <v>2563000</v>
      </c>
      <c r="E44" s="115">
        <v>307062</v>
      </c>
      <c r="F44" s="115">
        <v>0</v>
      </c>
      <c r="G44" s="115">
        <v>0</v>
      </c>
      <c r="H44" s="115">
        <v>844820</v>
      </c>
      <c r="I44" s="115">
        <v>174700</v>
      </c>
      <c r="J44" s="115">
        <v>0</v>
      </c>
      <c r="K44" s="115">
        <f t="shared" si="4"/>
        <v>203904</v>
      </c>
      <c r="L44" s="108">
        <f t="shared" si="5"/>
        <v>0.66404830294859019</v>
      </c>
    </row>
    <row r="45" spans="1:12" x14ac:dyDescent="0.3">
      <c r="A45" s="110" t="s">
        <v>24</v>
      </c>
      <c r="B45" t="s">
        <v>181</v>
      </c>
      <c r="C45" s="115">
        <v>2894655</v>
      </c>
      <c r="D45" s="115">
        <v>0</v>
      </c>
      <c r="E45" s="115">
        <v>529290</v>
      </c>
      <c r="F45" s="115">
        <v>0</v>
      </c>
      <c r="G45" s="115">
        <v>0</v>
      </c>
      <c r="H45" s="115">
        <v>0</v>
      </c>
      <c r="I45" s="115">
        <v>0</v>
      </c>
      <c r="J45" s="115">
        <v>0</v>
      </c>
      <c r="K45" s="115">
        <f t="shared" si="4"/>
        <v>0</v>
      </c>
      <c r="L45" s="108">
        <f t="shared" si="5"/>
        <v>0</v>
      </c>
    </row>
    <row r="46" spans="1:12" x14ac:dyDescent="0.3">
      <c r="A46" s="110" t="s">
        <v>24</v>
      </c>
      <c r="B46" t="s">
        <v>76</v>
      </c>
      <c r="C46" s="115">
        <v>2868545</v>
      </c>
      <c r="D46" s="115">
        <v>19598746.34</v>
      </c>
      <c r="E46" s="115">
        <v>586886</v>
      </c>
      <c r="F46" s="115">
        <v>147358</v>
      </c>
      <c r="G46" s="115">
        <v>1219060</v>
      </c>
      <c r="H46" s="115">
        <v>964490</v>
      </c>
      <c r="I46" s="115">
        <v>597810</v>
      </c>
      <c r="J46" s="115">
        <v>442650</v>
      </c>
      <c r="K46" s="115">
        <f t="shared" si="4"/>
        <v>674273.6</v>
      </c>
      <c r="L46" s="108">
        <f t="shared" si="5"/>
        <v>1.1489004678932535</v>
      </c>
    </row>
    <row r="47" spans="1:12" x14ac:dyDescent="0.3">
      <c r="A47" s="110" t="s">
        <v>24</v>
      </c>
      <c r="B47" t="s">
        <v>72</v>
      </c>
      <c r="C47" s="115">
        <v>2668545</v>
      </c>
      <c r="D47" s="115">
        <v>13165530</v>
      </c>
      <c r="E47" s="115">
        <v>499567</v>
      </c>
      <c r="F47" s="115">
        <v>519620</v>
      </c>
      <c r="G47" s="115">
        <v>486400</v>
      </c>
      <c r="H47" s="115">
        <v>523620</v>
      </c>
      <c r="I47" s="115">
        <v>269500</v>
      </c>
      <c r="J47" s="115">
        <v>559660</v>
      </c>
      <c r="K47" s="115">
        <f t="shared" si="4"/>
        <v>471760</v>
      </c>
      <c r="L47" s="108">
        <f t="shared" si="5"/>
        <v>0.9443377965317965</v>
      </c>
    </row>
    <row r="48" spans="1:12" x14ac:dyDescent="0.3">
      <c r="A48" s="110" t="s">
        <v>24</v>
      </c>
      <c r="B48" t="s">
        <v>86</v>
      </c>
      <c r="C48" s="115">
        <v>2615000</v>
      </c>
      <c r="D48" s="115">
        <v>1605015</v>
      </c>
      <c r="E48" s="115">
        <v>124814</v>
      </c>
      <c r="F48" s="115">
        <v>0</v>
      </c>
      <c r="G48" s="115">
        <v>328080</v>
      </c>
      <c r="H48" s="115">
        <v>0</v>
      </c>
      <c r="I48" s="115">
        <v>337476</v>
      </c>
      <c r="J48" s="115">
        <v>0</v>
      </c>
      <c r="K48" s="115">
        <f t="shared" si="4"/>
        <v>133111.20000000001</v>
      </c>
      <c r="L48" s="108">
        <f t="shared" si="5"/>
        <v>1.0664765170573816</v>
      </c>
    </row>
    <row r="49" spans="1:12" x14ac:dyDescent="0.3">
      <c r="A49" s="110" t="s">
        <v>24</v>
      </c>
      <c r="B49" t="s">
        <v>85</v>
      </c>
      <c r="C49" s="115">
        <v>2587355</v>
      </c>
      <c r="D49" s="115">
        <v>17003115</v>
      </c>
      <c r="E49" s="115">
        <v>223571</v>
      </c>
      <c r="F49" s="115">
        <v>3372670</v>
      </c>
      <c r="G49" s="115">
        <v>539515</v>
      </c>
      <c r="H49" s="115">
        <v>4130990</v>
      </c>
      <c r="I49" s="115">
        <v>820960</v>
      </c>
      <c r="J49" s="115">
        <v>1699912</v>
      </c>
      <c r="K49" s="115">
        <f t="shared" si="4"/>
        <v>2112809.4</v>
      </c>
      <c r="L49" s="108">
        <f t="shared" si="5"/>
        <v>9.4502838024609623</v>
      </c>
    </row>
    <row r="50" spans="1:12" x14ac:dyDescent="0.3">
      <c r="A50" s="110" t="s">
        <v>24</v>
      </c>
      <c r="B50" t="s">
        <v>90</v>
      </c>
      <c r="C50" s="115">
        <v>2565000</v>
      </c>
      <c r="D50" s="115">
        <v>659500</v>
      </c>
      <c r="E50" s="115">
        <v>154595</v>
      </c>
      <c r="F50" s="115">
        <v>0</v>
      </c>
      <c r="G50" s="115">
        <v>0</v>
      </c>
      <c r="H50" s="115">
        <v>97600</v>
      </c>
      <c r="I50" s="115">
        <v>0</v>
      </c>
      <c r="J50" s="115">
        <v>0</v>
      </c>
      <c r="K50" s="115">
        <f t="shared" si="4"/>
        <v>19520</v>
      </c>
      <c r="L50" s="108">
        <f t="shared" si="5"/>
        <v>0.12626540315016657</v>
      </c>
    </row>
    <row r="51" spans="1:12" x14ac:dyDescent="0.3">
      <c r="A51" s="110" t="s">
        <v>24</v>
      </c>
      <c r="B51" t="s">
        <v>93</v>
      </c>
      <c r="C51" s="115">
        <v>2549913</v>
      </c>
      <c r="D51" s="115">
        <v>8936512</v>
      </c>
      <c r="E51" s="115">
        <v>237632</v>
      </c>
      <c r="F51" s="115">
        <v>671485</v>
      </c>
      <c r="G51" s="115">
        <v>766780</v>
      </c>
      <c r="H51" s="115">
        <v>660790</v>
      </c>
      <c r="I51" s="115">
        <v>280370</v>
      </c>
      <c r="J51" s="115">
        <v>77280</v>
      </c>
      <c r="K51" s="115">
        <f t="shared" si="4"/>
        <v>491341</v>
      </c>
      <c r="L51" s="108">
        <f t="shared" si="5"/>
        <v>2.0676550296256395</v>
      </c>
    </row>
    <row r="52" spans="1:12" x14ac:dyDescent="0.3">
      <c r="A52" s="593" t="s">
        <v>24</v>
      </c>
      <c r="B52" t="s">
        <v>99</v>
      </c>
      <c r="C52" s="115">
        <v>1962000</v>
      </c>
      <c r="D52" s="115">
        <v>5860926.7400000002</v>
      </c>
      <c r="E52" s="115">
        <v>458397</v>
      </c>
      <c r="F52" s="115">
        <v>87516</v>
      </c>
      <c r="G52" s="115">
        <v>57000</v>
      </c>
      <c r="H52" s="115">
        <v>0</v>
      </c>
      <c r="I52" s="115">
        <v>21000</v>
      </c>
      <c r="J52" s="115">
        <v>79754</v>
      </c>
      <c r="K52" s="115">
        <f t="shared" si="4"/>
        <v>49054</v>
      </c>
      <c r="L52" s="108">
        <f t="shared" si="5"/>
        <v>0.10701204414514057</v>
      </c>
    </row>
    <row r="53" spans="1:12" x14ac:dyDescent="0.3">
      <c r="A53" s="110" t="s">
        <v>49</v>
      </c>
      <c r="B53" t="s">
        <v>101</v>
      </c>
      <c r="C53" s="115">
        <v>14230000</v>
      </c>
      <c r="D53" s="115">
        <v>9149554.9000000004</v>
      </c>
      <c r="E53" s="115">
        <v>1178944</v>
      </c>
      <c r="F53" s="115">
        <v>1406074.6</v>
      </c>
      <c r="G53" s="115">
        <v>155950</v>
      </c>
      <c r="H53" s="115">
        <v>414563</v>
      </c>
      <c r="I53" s="115">
        <v>620260.30000000005</v>
      </c>
      <c r="J53" s="115">
        <v>932238</v>
      </c>
      <c r="K53" s="115">
        <f t="shared" si="4"/>
        <v>705817.18</v>
      </c>
      <c r="L53" s="108">
        <f t="shared" si="5"/>
        <v>0.59868592570978774</v>
      </c>
    </row>
    <row r="54" spans="1:12" x14ac:dyDescent="0.3">
      <c r="A54" s="110" t="s">
        <v>49</v>
      </c>
      <c r="B54" t="s">
        <v>128</v>
      </c>
      <c r="C54" s="115">
        <v>8800000</v>
      </c>
      <c r="D54" s="115">
        <v>22084092</v>
      </c>
      <c r="E54" s="115">
        <v>379664</v>
      </c>
      <c r="F54" s="115">
        <v>3250213</v>
      </c>
      <c r="G54" s="115">
        <v>3363259</v>
      </c>
      <c r="H54" s="115">
        <v>2171078</v>
      </c>
      <c r="I54" s="115">
        <v>5612247</v>
      </c>
      <c r="J54" s="115">
        <v>221538</v>
      </c>
      <c r="K54" s="115">
        <f t="shared" si="4"/>
        <v>2923667</v>
      </c>
      <c r="L54" s="108">
        <f t="shared" si="5"/>
        <v>7.7006695393821909</v>
      </c>
    </row>
    <row r="55" spans="1:12" x14ac:dyDescent="0.3">
      <c r="A55" s="110" t="s">
        <v>49</v>
      </c>
      <c r="B55" t="s">
        <v>106</v>
      </c>
      <c r="C55" s="115">
        <v>8800000</v>
      </c>
      <c r="D55" s="115">
        <v>4013254</v>
      </c>
      <c r="E55" s="115">
        <v>513512</v>
      </c>
      <c r="F55" s="115">
        <v>0</v>
      </c>
      <c r="G55" s="115">
        <v>0</v>
      </c>
      <c r="H55" s="115">
        <v>191590</v>
      </c>
      <c r="I55" s="115">
        <v>0</v>
      </c>
      <c r="J55" s="115">
        <v>180500</v>
      </c>
      <c r="K55" s="115">
        <f t="shared" si="4"/>
        <v>74418</v>
      </c>
      <c r="L55" s="108">
        <f t="shared" si="5"/>
        <v>0.14491969028961349</v>
      </c>
    </row>
    <row r="56" spans="1:12" x14ac:dyDescent="0.3">
      <c r="A56" s="110" t="s">
        <v>49</v>
      </c>
      <c r="B56" t="s">
        <v>95</v>
      </c>
      <c r="C56" s="115">
        <v>7091000</v>
      </c>
      <c r="D56" s="115">
        <v>11561014</v>
      </c>
      <c r="E56" s="115">
        <v>510888</v>
      </c>
      <c r="F56" s="115">
        <v>0</v>
      </c>
      <c r="G56" s="115">
        <v>0</v>
      </c>
      <c r="H56" s="115">
        <v>0</v>
      </c>
      <c r="I56" s="115">
        <v>0</v>
      </c>
      <c r="J56" s="115">
        <v>0</v>
      </c>
      <c r="K56" s="115">
        <f t="shared" si="4"/>
        <v>0</v>
      </c>
      <c r="L56" s="108">
        <f t="shared" si="5"/>
        <v>0</v>
      </c>
    </row>
    <row r="57" spans="1:12" x14ac:dyDescent="0.3">
      <c r="A57" s="110" t="s">
        <v>49</v>
      </c>
      <c r="B57" t="s">
        <v>89</v>
      </c>
      <c r="C57" s="115">
        <v>6941887</v>
      </c>
      <c r="D57" s="115">
        <v>808913.4</v>
      </c>
      <c r="E57" s="115">
        <v>882971</v>
      </c>
      <c r="F57" s="115">
        <v>246700</v>
      </c>
      <c r="G57" s="115">
        <v>0</v>
      </c>
      <c r="H57" s="115">
        <v>2800</v>
      </c>
      <c r="I57" s="115">
        <v>142222</v>
      </c>
      <c r="J57" s="115">
        <v>417191.4</v>
      </c>
      <c r="K57" s="115">
        <f t="shared" si="4"/>
        <v>161782.68</v>
      </c>
      <c r="L57" s="108">
        <f t="shared" si="5"/>
        <v>0.18322536074231202</v>
      </c>
    </row>
    <row r="58" spans="1:12" x14ac:dyDescent="0.3">
      <c r="A58" s="110" t="s">
        <v>49</v>
      </c>
      <c r="B58" t="s">
        <v>143</v>
      </c>
      <c r="C58" s="115">
        <v>4620000</v>
      </c>
      <c r="D58" s="115">
        <v>11816933.870000003</v>
      </c>
      <c r="E58" s="115">
        <v>1411927</v>
      </c>
      <c r="F58" s="115">
        <v>0</v>
      </c>
      <c r="G58" s="115">
        <v>3484134.2</v>
      </c>
      <c r="H58" s="115">
        <v>5106783.6700000027</v>
      </c>
      <c r="I58" s="115">
        <v>1516016</v>
      </c>
      <c r="J58" s="115">
        <v>0</v>
      </c>
      <c r="K58" s="115">
        <f t="shared" si="4"/>
        <v>2021386.7740000007</v>
      </c>
      <c r="L58" s="108">
        <f t="shared" si="5"/>
        <v>1.431651051364554</v>
      </c>
    </row>
    <row r="59" spans="1:12" x14ac:dyDescent="0.3">
      <c r="A59" s="110" t="s">
        <v>49</v>
      </c>
      <c r="B59" t="s">
        <v>126</v>
      </c>
      <c r="C59" s="115">
        <v>4520275</v>
      </c>
      <c r="D59" s="115">
        <v>7849897</v>
      </c>
      <c r="E59" s="115">
        <v>400000</v>
      </c>
      <c r="F59" s="115">
        <v>571545</v>
      </c>
      <c r="G59" s="115">
        <v>-18142</v>
      </c>
      <c r="H59" s="115">
        <v>441948</v>
      </c>
      <c r="I59" s="115">
        <v>141569</v>
      </c>
      <c r="J59" s="115">
        <v>520230</v>
      </c>
      <c r="K59" s="115">
        <f t="shared" si="4"/>
        <v>331430</v>
      </c>
      <c r="L59" s="108">
        <f t="shared" si="5"/>
        <v>0.82857499999999995</v>
      </c>
    </row>
    <row r="60" spans="1:12" x14ac:dyDescent="0.3">
      <c r="A60" s="110" t="s">
        <v>49</v>
      </c>
      <c r="B60" t="s">
        <v>74</v>
      </c>
      <c r="C60" s="115">
        <v>4500000</v>
      </c>
      <c r="D60" s="115">
        <v>4921583</v>
      </c>
      <c r="E60" s="115">
        <v>385623</v>
      </c>
      <c r="F60" s="115">
        <v>440940</v>
      </c>
      <c r="G60" s="115">
        <v>0</v>
      </c>
      <c r="H60" s="115">
        <v>372653</v>
      </c>
      <c r="I60" s="115">
        <v>165400</v>
      </c>
      <c r="J60" s="115">
        <v>0</v>
      </c>
      <c r="K60" s="115">
        <f t="shared" si="4"/>
        <v>195798.6</v>
      </c>
      <c r="L60" s="108">
        <f t="shared" si="5"/>
        <v>0.50774616659276028</v>
      </c>
    </row>
    <row r="61" spans="1:12" x14ac:dyDescent="0.3">
      <c r="A61" s="110" t="s">
        <v>49</v>
      </c>
      <c r="B61" t="s">
        <v>131</v>
      </c>
      <c r="C61" s="115">
        <v>4500000</v>
      </c>
      <c r="D61" s="115">
        <v>16627034.43</v>
      </c>
      <c r="E61" s="115">
        <v>1237668</v>
      </c>
      <c r="F61" s="115">
        <v>0</v>
      </c>
      <c r="G61" s="115">
        <v>3825383</v>
      </c>
      <c r="H61" s="115">
        <v>0</v>
      </c>
      <c r="I61" s="115">
        <v>2118492.66</v>
      </c>
      <c r="J61" s="115">
        <v>0</v>
      </c>
      <c r="K61" s="115">
        <f t="shared" si="4"/>
        <v>1188775.132</v>
      </c>
      <c r="L61" s="108">
        <f t="shared" si="5"/>
        <v>0.96049597468788073</v>
      </c>
    </row>
    <row r="62" spans="1:12" x14ac:dyDescent="0.3">
      <c r="A62" s="110" t="s">
        <v>49</v>
      </c>
      <c r="B62" t="s">
        <v>108</v>
      </c>
      <c r="C62" s="115">
        <v>4500000</v>
      </c>
      <c r="D62" s="115">
        <v>1872277.19</v>
      </c>
      <c r="E62" s="115">
        <v>404240</v>
      </c>
      <c r="F62" s="115">
        <v>181755</v>
      </c>
      <c r="G62" s="115">
        <v>0</v>
      </c>
      <c r="H62" s="115">
        <v>0</v>
      </c>
      <c r="I62" s="115">
        <v>73919.67</v>
      </c>
      <c r="J62" s="115">
        <v>0</v>
      </c>
      <c r="K62" s="115">
        <f t="shared" si="4"/>
        <v>51134.933999999994</v>
      </c>
      <c r="L62" s="108">
        <f t="shared" si="5"/>
        <v>0.12649647239263803</v>
      </c>
    </row>
    <row r="63" spans="1:12" x14ac:dyDescent="0.3">
      <c r="A63" s="110" t="s">
        <v>49</v>
      </c>
      <c r="B63" t="s">
        <v>70</v>
      </c>
      <c r="C63" s="115">
        <v>4350000</v>
      </c>
      <c r="D63" s="115">
        <v>9510884.3999999985</v>
      </c>
      <c r="E63" s="115">
        <v>391086</v>
      </c>
      <c r="F63" s="115">
        <v>0</v>
      </c>
      <c r="G63" s="115">
        <v>0</v>
      </c>
      <c r="H63" s="115">
        <v>0</v>
      </c>
      <c r="I63" s="115">
        <v>0</v>
      </c>
      <c r="J63" s="115">
        <v>0</v>
      </c>
      <c r="K63" s="115">
        <f t="shared" si="4"/>
        <v>0</v>
      </c>
      <c r="L63" s="108">
        <f t="shared" si="5"/>
        <v>0</v>
      </c>
    </row>
    <row r="64" spans="1:12" x14ac:dyDescent="0.3">
      <c r="A64" s="110" t="s">
        <v>49</v>
      </c>
      <c r="B64" t="s">
        <v>121</v>
      </c>
      <c r="C64" s="115">
        <v>4115000</v>
      </c>
      <c r="D64" s="115">
        <v>10676123.75</v>
      </c>
      <c r="E64" s="115">
        <v>216625</v>
      </c>
      <c r="F64" s="115">
        <v>575090</v>
      </c>
      <c r="G64" s="115">
        <v>1430316.75</v>
      </c>
      <c r="H64" s="115">
        <v>959210</v>
      </c>
      <c r="I64" s="115">
        <v>688263</v>
      </c>
      <c r="J64" s="115">
        <v>237745</v>
      </c>
      <c r="K64" s="115">
        <f t="shared" si="4"/>
        <v>778124.95</v>
      </c>
      <c r="L64" s="108">
        <f t="shared" si="5"/>
        <v>3.5920366993652624</v>
      </c>
    </row>
    <row r="65" spans="1:12" x14ac:dyDescent="0.3">
      <c r="A65" s="110" t="s">
        <v>49</v>
      </c>
      <c r="B65" t="s">
        <v>124</v>
      </c>
      <c r="C65" s="115">
        <v>4115000</v>
      </c>
      <c r="D65" s="115">
        <v>10676123.75</v>
      </c>
      <c r="E65" s="115">
        <v>220363</v>
      </c>
      <c r="F65" s="115">
        <v>575090</v>
      </c>
      <c r="G65" s="115">
        <v>1430316.75</v>
      </c>
      <c r="H65" s="115">
        <v>959210</v>
      </c>
      <c r="I65" s="115">
        <v>688263</v>
      </c>
      <c r="J65" s="115">
        <v>237745</v>
      </c>
      <c r="K65" s="115">
        <f t="shared" si="4"/>
        <v>778124.95</v>
      </c>
      <c r="L65" s="108">
        <f t="shared" si="5"/>
        <v>3.5311052672181806</v>
      </c>
    </row>
    <row r="66" spans="1:12" x14ac:dyDescent="0.3">
      <c r="A66" s="110" t="s">
        <v>49</v>
      </c>
      <c r="B66" t="s">
        <v>120</v>
      </c>
      <c r="C66" s="115">
        <v>4115000</v>
      </c>
      <c r="D66" s="115">
        <v>13921711</v>
      </c>
      <c r="E66" s="115">
        <v>283560</v>
      </c>
      <c r="F66" s="115">
        <v>575090</v>
      </c>
      <c r="G66" s="115">
        <v>1430316.75</v>
      </c>
      <c r="H66" s="115">
        <v>959210</v>
      </c>
      <c r="I66" s="115">
        <v>688263</v>
      </c>
      <c r="J66" s="115">
        <v>237745</v>
      </c>
      <c r="K66" s="115">
        <f t="shared" si="4"/>
        <v>778124.95</v>
      </c>
      <c r="L66" s="108">
        <f t="shared" si="5"/>
        <v>2.7441280505007759</v>
      </c>
    </row>
    <row r="67" spans="1:12" x14ac:dyDescent="0.3">
      <c r="A67" s="110" t="s">
        <v>49</v>
      </c>
      <c r="B67" t="s">
        <v>122</v>
      </c>
      <c r="C67" s="115">
        <v>4115000</v>
      </c>
      <c r="D67" s="115">
        <v>10676123.75</v>
      </c>
      <c r="E67" s="115">
        <v>195417</v>
      </c>
      <c r="F67" s="115">
        <v>575090</v>
      </c>
      <c r="G67" s="115">
        <v>1430316.75</v>
      </c>
      <c r="H67" s="115">
        <v>959210</v>
      </c>
      <c r="I67" s="115">
        <v>688263</v>
      </c>
      <c r="J67" s="115">
        <v>237745</v>
      </c>
      <c r="K67" s="115">
        <f t="shared" si="4"/>
        <v>778124.95</v>
      </c>
      <c r="L67" s="108">
        <f t="shared" si="5"/>
        <v>3.9818692846579364</v>
      </c>
    </row>
    <row r="68" spans="1:12" x14ac:dyDescent="0.3">
      <c r="A68" s="110" t="s">
        <v>49</v>
      </c>
      <c r="B68" t="s">
        <v>67</v>
      </c>
      <c r="C68" s="115">
        <v>4100000</v>
      </c>
      <c r="D68" s="115">
        <v>10796715</v>
      </c>
      <c r="E68" s="115">
        <v>163502</v>
      </c>
      <c r="F68" s="115">
        <v>0</v>
      </c>
      <c r="G68" s="115">
        <v>1284379</v>
      </c>
      <c r="H68" s="115">
        <v>500000</v>
      </c>
      <c r="I68" s="115">
        <v>0</v>
      </c>
      <c r="J68" s="115">
        <v>0</v>
      </c>
      <c r="K68" s="115">
        <f t="shared" si="4"/>
        <v>356875.8</v>
      </c>
      <c r="L68" s="108">
        <f t="shared" si="5"/>
        <v>2.1826999058115497</v>
      </c>
    </row>
    <row r="69" spans="1:12" x14ac:dyDescent="0.3">
      <c r="A69" s="110" t="s">
        <v>49</v>
      </c>
      <c r="B69" t="s">
        <v>78</v>
      </c>
      <c r="C69" s="115">
        <v>2606483</v>
      </c>
      <c r="D69" s="115">
        <v>3917987.42</v>
      </c>
      <c r="E69" s="115">
        <v>250000</v>
      </c>
      <c r="F69" s="115">
        <v>271000</v>
      </c>
      <c r="G69" s="115">
        <v>265200</v>
      </c>
      <c r="H69" s="115">
        <v>0</v>
      </c>
      <c r="I69" s="115">
        <v>24000</v>
      </c>
      <c r="J69" s="115">
        <v>24000</v>
      </c>
      <c r="K69" s="115">
        <f t="shared" si="4"/>
        <v>116840</v>
      </c>
      <c r="L69" s="108">
        <f t="shared" si="5"/>
        <v>0.46736</v>
      </c>
    </row>
    <row r="70" spans="1:12" x14ac:dyDescent="0.3">
      <c r="A70" s="593" t="s">
        <v>49</v>
      </c>
      <c r="B70" t="s">
        <v>91</v>
      </c>
      <c r="C70" s="115">
        <v>420800</v>
      </c>
      <c r="D70" s="115">
        <v>5930413</v>
      </c>
      <c r="E70" s="115">
        <v>327855</v>
      </c>
      <c r="F70" s="115">
        <v>232304</v>
      </c>
      <c r="G70" s="115">
        <v>0</v>
      </c>
      <c r="H70" s="115">
        <v>1779910</v>
      </c>
      <c r="I70" s="115">
        <v>184333</v>
      </c>
      <c r="J70" s="115">
        <v>531088</v>
      </c>
      <c r="K70" s="115">
        <f t="shared" si="4"/>
        <v>545527</v>
      </c>
      <c r="L70" s="108">
        <f t="shared" si="5"/>
        <v>1.6639276509432523</v>
      </c>
    </row>
  </sheetData>
  <autoFilter ref="A12:L70" xr:uid="{8626B548-7340-472D-A7BB-51B55A54F5F3}"/>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M210"/>
  <sheetViews>
    <sheetView tabSelected="1" topLeftCell="C1" zoomScale="80" zoomScaleNormal="80" zoomScaleSheetLayoutView="100" workbookViewId="0">
      <selection activeCell="R7" sqref="R7"/>
    </sheetView>
  </sheetViews>
  <sheetFormatPr defaultColWidth="9.33203125" defaultRowHeight="15" customHeight="1" outlineLevelCol="2" x14ac:dyDescent="0.3"/>
  <cols>
    <col min="1" max="1" width="17.6640625" style="1" hidden="1" customWidth="1"/>
    <col min="2" max="2" width="13.6640625" style="1" hidden="1" customWidth="1"/>
    <col min="3" max="3" width="6.77734375" style="1" customWidth="1"/>
    <col min="4" max="4" width="31.109375" style="261" customWidth="1"/>
    <col min="5" max="5" width="10.33203125" style="2" customWidth="1"/>
    <col min="6" max="6" width="12.6640625" style="2" customWidth="1"/>
    <col min="7" max="7" width="12.44140625" style="232" customWidth="1"/>
    <col min="8" max="8" width="8.33203125" style="2" customWidth="1"/>
    <col min="9" max="9" width="15.44140625" style="232" customWidth="1"/>
    <col min="10" max="10" width="13.21875" style="229" customWidth="1" outlineLevel="1"/>
    <col min="11" max="11" width="13.33203125" style="1" customWidth="1" outlineLevel="1"/>
    <col min="12" max="12" width="11" style="24" customWidth="1" outlineLevel="1"/>
    <col min="13" max="14" width="13.44140625" style="1" customWidth="1" outlineLevel="1"/>
    <col min="15" max="15" width="10.5546875" style="1" customWidth="1"/>
    <col min="16" max="16" width="10.44140625" style="1" customWidth="1"/>
    <col min="17" max="17" width="17.21875" style="264" customWidth="1"/>
    <col min="18" max="18" width="14.33203125" style="1" customWidth="1"/>
    <col min="19" max="19" width="39.77734375" style="228" customWidth="1"/>
    <col min="20" max="20" width="33.6640625" style="1" hidden="1" customWidth="1" outlineLevel="1"/>
    <col min="21" max="21" width="77.33203125" style="124" hidden="1" customWidth="1" outlineLevel="1"/>
    <col min="22" max="22" width="39.88671875" style="1" hidden="1" customWidth="1" outlineLevel="1"/>
    <col min="23" max="23" width="33.44140625" style="1" hidden="1" customWidth="1" outlineLevel="1"/>
    <col min="24" max="24" width="9.88671875" style="1" hidden="1" customWidth="1" outlineLevel="1"/>
    <col min="25" max="25" width="16.88671875" style="1" hidden="1" customWidth="1" outlineLevel="1"/>
    <col min="26" max="26" width="13.109375" style="1" customWidth="1" collapsed="1"/>
    <col min="27" max="27" width="11.33203125" style="1" customWidth="1"/>
    <col min="28" max="28" width="15.33203125" style="1" customWidth="1"/>
    <col min="29" max="29" width="116.5546875" style="1" hidden="1" customWidth="1" outlineLevel="2"/>
    <col min="30" max="30" width="123.44140625" style="1" hidden="1" customWidth="1" outlineLevel="2"/>
    <col min="31" max="31" width="103.6640625" style="1" hidden="1" customWidth="1" outlineLevel="2"/>
    <col min="32" max="32" width="41.6640625" style="1" hidden="1" customWidth="1" outlineLevel="2"/>
    <col min="33" max="33" width="65.109375" hidden="1" customWidth="1" outlineLevel="2"/>
    <col min="34" max="34" width="126.33203125" style="1" hidden="1" customWidth="1" outlineLevel="2"/>
    <col min="35" max="35" width="67.6640625" style="1" hidden="1" customWidth="1" outlineLevel="2"/>
    <col min="36" max="36" width="158.33203125" style="1" hidden="1" customWidth="1" outlineLevel="2"/>
    <col min="37" max="37" width="156.44140625" style="1" hidden="1" customWidth="1" outlineLevel="2"/>
    <col min="38" max="38" width="111.5546875" style="1" hidden="1" customWidth="1" outlineLevel="2"/>
    <col min="39" max="39" width="60" style="1" hidden="1" customWidth="1" outlineLevel="2"/>
    <col min="40" max="40" width="54.6640625" style="1" hidden="1" customWidth="1" outlineLevel="2"/>
    <col min="41" max="41" width="29.44140625" style="1" hidden="1" customWidth="1" outlineLevel="2"/>
    <col min="42" max="42" width="38.6640625" style="1" hidden="1" customWidth="1" outlineLevel="2"/>
    <col min="43" max="43" width="66" style="1" hidden="1" customWidth="1" outlineLevel="2"/>
    <col min="44" max="44" width="80" style="1" hidden="1" customWidth="1" outlineLevel="2"/>
    <col min="45" max="45" width="114.6640625" style="1" hidden="1" customWidth="1" outlineLevel="2"/>
    <col min="46" max="46" width="111.6640625" style="1" hidden="1" customWidth="1" outlineLevel="2"/>
    <col min="47" max="47" width="98.109375" style="1" hidden="1" customWidth="1" outlineLevel="2"/>
    <col min="48" max="48" width="22.44140625" style="1" hidden="1" customWidth="1" outlineLevel="2"/>
    <col min="49" max="49" width="148.44140625" style="1" hidden="1" customWidth="1" outlineLevel="2"/>
    <col min="50" max="50" width="83.6640625" style="1" hidden="1" customWidth="1" outlineLevel="2"/>
    <col min="51" max="51" width="30.44140625" style="1" hidden="1" customWidth="1" outlineLevel="2"/>
    <col min="52" max="52" width="83.6640625" style="1" hidden="1" customWidth="1" outlineLevel="2"/>
    <col min="53" max="54" width="34.33203125" style="135" hidden="1" customWidth="1" outlineLevel="2"/>
    <col min="55" max="55" width="16.77734375" style="603" customWidth="1" collapsed="1"/>
    <col min="56" max="56" width="29.44140625" style="603" customWidth="1"/>
    <col min="57" max="57" width="8.33203125" style="225" customWidth="1"/>
    <col min="58" max="58" width="12.88671875" style="225" customWidth="1"/>
    <col min="59" max="60" width="11.21875" style="135" hidden="1" customWidth="1" outlineLevel="2"/>
    <col min="61" max="61" width="11.33203125" style="135" hidden="1" customWidth="1" outlineLevel="2"/>
    <col min="62" max="70" width="11.21875" style="135" hidden="1" customWidth="1" outlineLevel="2"/>
    <col min="71" max="71" width="12.21875" style="135" customWidth="1" collapsed="1"/>
    <col min="72" max="76" width="11.21875" style="135" hidden="1" customWidth="1" outlineLevel="1"/>
    <col min="77" max="77" width="12.6640625" style="135" hidden="1" customWidth="1" outlineLevel="1"/>
    <col min="78" max="79" width="11.21875" style="135" hidden="1" customWidth="1" outlineLevel="1"/>
    <col min="80" max="80" width="12.88671875" style="135" hidden="1" customWidth="1" outlineLevel="1"/>
    <col min="81" max="82" width="11.21875" style="135" hidden="1" customWidth="1" outlineLevel="1"/>
    <col min="83" max="83" width="12.88671875" style="135" hidden="1" customWidth="1" outlineLevel="1"/>
    <col min="84" max="84" width="12.21875" bestFit="1" customWidth="1" collapsed="1"/>
    <col min="85" max="85" width="12.44140625" style="135" bestFit="1" customWidth="1"/>
    <col min="86" max="86" width="12.44140625" style="135" customWidth="1"/>
    <col min="87" max="87" width="13.33203125" style="135" bestFit="1" customWidth="1"/>
    <col min="88" max="88" width="15.109375" style="135" bestFit="1" customWidth="1"/>
    <col min="89" max="89" width="12.88671875" style="534" customWidth="1"/>
    <col min="90" max="90" width="12.33203125" style="135" hidden="1" customWidth="1"/>
    <col min="91" max="91" width="12.109375" style="234" customWidth="1"/>
    <col min="92" max="92" width="8.88671875" style="229" customWidth="1"/>
    <col min="93" max="93" width="16.6640625" style="1" customWidth="1"/>
    <col min="94" max="94" width="14.33203125" style="1" customWidth="1"/>
    <col min="95" max="95" width="15.44140625" style="2" customWidth="1"/>
    <col min="96" max="96" width="15.6640625" style="135" customWidth="1"/>
    <col min="97" max="97" width="29.6640625" style="236" customWidth="1"/>
    <col min="98" max="98" width="18.5546875" style="1" customWidth="1"/>
    <col min="99" max="99" width="14.5546875" style="1" customWidth="1"/>
    <col min="100" max="100" width="16.44140625" style="1" bestFit="1" customWidth="1"/>
    <col min="101" max="101" width="17.33203125" style="135" customWidth="1"/>
    <col min="102" max="102" width="15" style="135" customWidth="1"/>
    <col min="103" max="103" width="14.44140625" style="1" customWidth="1"/>
    <col min="104" max="104" width="15.6640625" style="1" customWidth="1"/>
    <col min="105" max="105" width="11.5546875" style="135" customWidth="1"/>
    <col min="106" max="107" width="9.33203125" style="1" customWidth="1"/>
    <col min="108" max="108" width="17.6640625" style="1" customWidth="1"/>
    <col min="109" max="109" width="12.6640625" style="1" customWidth="1"/>
    <col min="110" max="115" width="9.33203125" style="1" customWidth="1"/>
    <col min="116" max="117" width="9.33203125" style="1"/>
    <col min="118" max="118" width="13.88671875" style="1" bestFit="1" customWidth="1"/>
    <col min="119" max="16384" width="9.33203125" style="1"/>
  </cols>
  <sheetData>
    <row r="1" spans="1:117" ht="15" customHeight="1" x14ac:dyDescent="0.3">
      <c r="S1" s="228" t="s">
        <v>195</v>
      </c>
      <c r="Z1" s="1" t="s">
        <v>1518</v>
      </c>
      <c r="AG1" s="1"/>
      <c r="BV1" s="230"/>
      <c r="BW1" s="230"/>
      <c r="BX1"/>
      <c r="BY1"/>
      <c r="BZ1"/>
      <c r="CA1"/>
      <c r="CB1"/>
      <c r="CC1" s="137"/>
      <c r="CD1" s="137"/>
      <c r="CE1" s="137">
        <v>1</v>
      </c>
      <c r="CF1" s="137"/>
      <c r="CG1" s="137"/>
      <c r="CH1" s="137"/>
      <c r="CI1" s="137"/>
      <c r="CJ1" s="137"/>
      <c r="CK1" s="532"/>
      <c r="CL1" s="137"/>
      <c r="CM1" s="137">
        <v>2</v>
      </c>
      <c r="CN1" s="137">
        <v>3</v>
      </c>
      <c r="CO1" s="2"/>
      <c r="CQ1" s="135"/>
      <c r="CR1" s="2"/>
      <c r="CS1" s="1"/>
      <c r="CV1" s="135"/>
      <c r="CX1" s="1"/>
      <c r="CZ1" s="135"/>
      <c r="DA1" s="1"/>
    </row>
    <row r="2" spans="1:117" ht="15" customHeight="1" x14ac:dyDescent="0.3">
      <c r="R2" s="284" t="s">
        <v>196</v>
      </c>
      <c r="Z2" s="1" t="s">
        <v>1515</v>
      </c>
      <c r="AA2" s="233" t="s">
        <v>1517</v>
      </c>
      <c r="AG2" s="1"/>
      <c r="BV2" s="230"/>
      <c r="BW2" s="230"/>
      <c r="BX2"/>
      <c r="BY2"/>
      <c r="BZ2"/>
      <c r="CA2"/>
      <c r="CB2"/>
      <c r="CC2"/>
      <c r="CD2"/>
      <c r="CE2" t="s">
        <v>197</v>
      </c>
      <c r="CG2"/>
      <c r="CH2"/>
      <c r="CI2"/>
      <c r="CJ2"/>
      <c r="CK2" s="110"/>
      <c r="CL2"/>
      <c r="CM2" t="s">
        <v>198</v>
      </c>
      <c r="CN2" t="s">
        <v>199</v>
      </c>
      <c r="CO2" s="2"/>
      <c r="CQ2" s="135"/>
      <c r="CR2" s="2"/>
      <c r="CS2" s="1"/>
      <c r="CV2" s="135"/>
      <c r="CX2" s="1"/>
      <c r="CZ2" s="135"/>
      <c r="DA2" s="1"/>
    </row>
    <row r="3" spans="1:117" ht="13.5" customHeight="1" x14ac:dyDescent="0.3">
      <c r="Z3" s="1" t="s">
        <v>1519</v>
      </c>
      <c r="AA3" s="1" t="s">
        <v>1516</v>
      </c>
      <c r="AG3" s="1"/>
      <c r="AX3" s="213"/>
      <c r="AY3" s="213"/>
      <c r="AZ3" s="213"/>
      <c r="BG3"/>
      <c r="BV3" s="230"/>
      <c r="BW3" s="230"/>
      <c r="BX3"/>
      <c r="BY3"/>
      <c r="BZ3"/>
      <c r="CA3"/>
      <c r="CB3"/>
      <c r="CC3"/>
      <c r="CD3"/>
      <c r="CE3" s="283"/>
      <c r="CG3" s="283"/>
      <c r="CH3" s="283"/>
      <c r="CI3" s="283"/>
      <c r="CJ3" s="283"/>
      <c r="CK3" s="110"/>
      <c r="CL3"/>
      <c r="CM3" s="283"/>
      <c r="CN3" s="283"/>
      <c r="CO3" s="2"/>
      <c r="CQ3" s="135"/>
      <c r="CR3" s="2"/>
      <c r="CS3" s="1"/>
      <c r="CV3" s="135"/>
      <c r="CX3" s="1"/>
      <c r="CZ3" s="135"/>
      <c r="DA3" s="1"/>
    </row>
    <row r="4" spans="1:117" ht="13.5" customHeight="1" x14ac:dyDescent="0.3">
      <c r="I4"/>
      <c r="AG4" s="1"/>
      <c r="AX4" s="213"/>
      <c r="AY4" s="213"/>
      <c r="AZ4" s="213"/>
      <c r="BG4"/>
      <c r="BV4" s="230"/>
      <c r="BW4" s="230"/>
      <c r="BX4" s="230"/>
      <c r="BY4" s="230"/>
      <c r="BZ4" s="230"/>
      <c r="CA4" s="230"/>
      <c r="CB4" s="230"/>
      <c r="CC4" s="230"/>
      <c r="CD4" s="230"/>
      <c r="CE4" s="230"/>
      <c r="CF4" s="230"/>
      <c r="CG4" s="230"/>
      <c r="CH4" s="230"/>
      <c r="CI4" s="230"/>
      <c r="CJ4" s="230"/>
      <c r="CK4" s="533"/>
      <c r="CL4" s="123"/>
      <c r="CM4" s="229"/>
      <c r="CN4" s="1"/>
      <c r="CO4" s="2"/>
      <c r="CQ4" s="135"/>
      <c r="CR4" s="2"/>
      <c r="CS4" s="1"/>
      <c r="CV4" s="135"/>
      <c r="CX4" s="1"/>
      <c r="CZ4" s="135"/>
      <c r="DA4" s="1"/>
    </row>
    <row r="5" spans="1:117" ht="13.5" customHeight="1" x14ac:dyDescent="0.3">
      <c r="I5"/>
      <c r="S5" s="245"/>
      <c r="AG5" s="1"/>
      <c r="AX5" s="213"/>
      <c r="AY5" s="213"/>
      <c r="AZ5" s="213"/>
      <c r="BG5"/>
      <c r="CF5" s="135"/>
      <c r="CL5" s="234">
        <v>0</v>
      </c>
      <c r="CM5" s="229"/>
      <c r="CN5" s="1"/>
      <c r="CO5" s="2"/>
      <c r="CQ5" s="135"/>
      <c r="CR5" s="2"/>
      <c r="CS5" s="1"/>
      <c r="CV5" s="135"/>
      <c r="CX5" s="1"/>
      <c r="CZ5" s="135"/>
      <c r="DA5" s="1"/>
    </row>
    <row r="6" spans="1:117" s="103" customFormat="1" ht="15.6" x14ac:dyDescent="0.3">
      <c r="D6" s="285"/>
      <c r="E6" s="240"/>
      <c r="F6" s="240"/>
      <c r="G6" s="241"/>
      <c r="H6" s="240"/>
      <c r="I6" s="241"/>
      <c r="J6" s="231"/>
      <c r="L6" s="238"/>
      <c r="Q6" s="265"/>
      <c r="R6" s="265"/>
      <c r="S6" s="271"/>
      <c r="U6" s="136"/>
      <c r="Z6" s="158"/>
      <c r="AB6" s="158">
        <f>SUBTOTAL(9,AB8:AB974)</f>
        <v>104273747.78000003</v>
      </c>
      <c r="AJ6" s="121"/>
      <c r="BA6" s="239"/>
      <c r="BB6" s="239"/>
      <c r="BC6" s="604"/>
      <c r="BD6" s="604"/>
      <c r="BE6" s="274"/>
      <c r="BF6" s="274"/>
      <c r="BG6" s="158">
        <f t="shared" ref="BG6:CK6" si="0">SUBTOTAL(9,BG8:BG974)</f>
        <v>33030893.440000001</v>
      </c>
      <c r="BH6" s="158">
        <f t="shared" si="0"/>
        <v>31369374.439999998</v>
      </c>
      <c r="BI6" s="158">
        <f t="shared" si="0"/>
        <v>37772858.640000001</v>
      </c>
      <c r="BJ6" s="158">
        <f t="shared" si="0"/>
        <v>11438048.640000001</v>
      </c>
      <c r="BK6" s="158">
        <f t="shared" si="0"/>
        <v>47699876.050000004</v>
      </c>
      <c r="BL6" s="158">
        <f t="shared" si="0"/>
        <v>20124269.740000002</v>
      </c>
      <c r="BM6" s="158">
        <f t="shared" si="0"/>
        <v>16128645.140000001</v>
      </c>
      <c r="BN6" s="158">
        <f t="shared" si="0"/>
        <v>23242886.459999997</v>
      </c>
      <c r="BO6" s="158">
        <f t="shared" si="0"/>
        <v>15234245.02</v>
      </c>
      <c r="BP6" s="158">
        <f t="shared" si="0"/>
        <v>41709542.490000002</v>
      </c>
      <c r="BQ6" s="158">
        <f t="shared" si="0"/>
        <v>20368782.280000005</v>
      </c>
      <c r="BR6" s="158">
        <f t="shared" si="0"/>
        <v>41055512.280000001</v>
      </c>
      <c r="BS6" s="158">
        <f t="shared" si="0"/>
        <v>339174934.62</v>
      </c>
      <c r="BT6" s="158">
        <f t="shared" si="0"/>
        <v>25536794.600000001</v>
      </c>
      <c r="BU6" s="158">
        <f t="shared" si="0"/>
        <v>26209054.150000002</v>
      </c>
      <c r="BV6" s="158">
        <f t="shared" si="0"/>
        <v>42344518.699999996</v>
      </c>
      <c r="BW6" s="158">
        <f t="shared" si="0"/>
        <v>24655068.539999999</v>
      </c>
      <c r="BX6" s="158">
        <f t="shared" si="0"/>
        <v>48353435.996130303</v>
      </c>
      <c r="BY6" s="158">
        <f t="shared" si="0"/>
        <v>38041954.579999998</v>
      </c>
      <c r="BZ6" s="158">
        <f t="shared" si="0"/>
        <v>30439573.77</v>
      </c>
      <c r="CA6" s="158">
        <f t="shared" si="0"/>
        <v>23214297.57</v>
      </c>
      <c r="CB6" s="158">
        <f t="shared" si="0"/>
        <v>50766353.100000001</v>
      </c>
      <c r="CC6" s="158">
        <f t="shared" si="0"/>
        <v>29112685.590000004</v>
      </c>
      <c r="CD6" s="158">
        <f t="shared" si="0"/>
        <v>45360195.450000003</v>
      </c>
      <c r="CE6" s="158">
        <f t="shared" si="0"/>
        <v>77887306.969999999</v>
      </c>
      <c r="CF6" s="158">
        <f t="shared" si="0"/>
        <v>461921239.01613027</v>
      </c>
      <c r="CG6" s="158">
        <f t="shared" si="0"/>
        <v>26812441.129999999</v>
      </c>
      <c r="CH6" s="158">
        <f t="shared" si="0"/>
        <v>33280736.390000001</v>
      </c>
      <c r="CI6" s="158">
        <f t="shared" si="0"/>
        <v>19184089.199999996</v>
      </c>
      <c r="CJ6" s="158">
        <f t="shared" si="0"/>
        <v>79210566.720000014</v>
      </c>
      <c r="CK6" s="158">
        <f t="shared" si="0"/>
        <v>60254705.606111117</v>
      </c>
      <c r="CM6" s="158">
        <f>SUBTOTAL(9,CM8:CM974)</f>
        <v>880306740.29613054</v>
      </c>
      <c r="CN6" s="158"/>
      <c r="CO6" s="158" t="e">
        <f>SUBTOTAL(9,CO8:CO974)</f>
        <v>#DIV/0!</v>
      </c>
      <c r="CP6" s="158">
        <f>SUBTOTAL(9,CP8:CP94)</f>
        <v>93173808.078999996</v>
      </c>
      <c r="CQ6" s="224"/>
      <c r="CR6" s="235">
        <f>SUBTOTAL(9,CR8:CR94)</f>
        <v>0</v>
      </c>
      <c r="CS6" s="158">
        <f>SUBTOTAL(9,CT8:CT974)</f>
        <v>57.549999999999912</v>
      </c>
      <c r="CU6" s="158">
        <f>SUBTOTAL(9,CV8:CV974)</f>
        <v>54.99999999999995</v>
      </c>
      <c r="CV6" s="224"/>
      <c r="CW6" s="224"/>
      <c r="CZ6" s="224"/>
      <c r="DK6" s="103">
        <v>13112</v>
      </c>
    </row>
    <row r="7" spans="1:117" s="2" customFormat="1" ht="43.2" customHeight="1" x14ac:dyDescent="0.3">
      <c r="A7" s="397" t="s">
        <v>200</v>
      </c>
      <c r="B7" s="397" t="s">
        <v>201</v>
      </c>
      <c r="C7" s="635" t="s">
        <v>202</v>
      </c>
      <c r="D7" s="635" t="s">
        <v>203</v>
      </c>
      <c r="E7" s="636" t="s">
        <v>204</v>
      </c>
      <c r="F7" s="636" t="s">
        <v>205</v>
      </c>
      <c r="G7" s="636" t="s">
        <v>206</v>
      </c>
      <c r="H7" s="636" t="s">
        <v>207</v>
      </c>
      <c r="I7" s="636" t="s">
        <v>208</v>
      </c>
      <c r="J7" s="635" t="s">
        <v>209</v>
      </c>
      <c r="K7" s="636" t="s">
        <v>210</v>
      </c>
      <c r="L7" s="637" t="s">
        <v>211</v>
      </c>
      <c r="M7" s="636" t="s">
        <v>1489</v>
      </c>
      <c r="N7" s="636" t="s">
        <v>213</v>
      </c>
      <c r="O7" s="638" t="s">
        <v>0</v>
      </c>
      <c r="P7" s="635" t="s">
        <v>3</v>
      </c>
      <c r="Q7" s="635" t="s">
        <v>214</v>
      </c>
      <c r="R7" s="639" t="s">
        <v>215</v>
      </c>
      <c r="S7" s="640" t="s">
        <v>216</v>
      </c>
      <c r="T7" s="636" t="s">
        <v>217</v>
      </c>
      <c r="U7" s="641" t="s">
        <v>218</v>
      </c>
      <c r="V7" s="636" t="s">
        <v>219</v>
      </c>
      <c r="W7" s="636" t="s">
        <v>220</v>
      </c>
      <c r="X7" s="636" t="s">
        <v>221</v>
      </c>
      <c r="Y7" s="636" t="s">
        <v>222</v>
      </c>
      <c r="Z7" s="642" t="s">
        <v>223</v>
      </c>
      <c r="AA7" s="642" t="s">
        <v>224</v>
      </c>
      <c r="AB7" s="642" t="s">
        <v>225</v>
      </c>
      <c r="AC7" s="643" t="s">
        <v>226</v>
      </c>
      <c r="AD7" s="644" t="s">
        <v>227</v>
      </c>
      <c r="AE7" s="645" t="s">
        <v>228</v>
      </c>
      <c r="AF7" s="646" t="s">
        <v>229</v>
      </c>
      <c r="AG7" s="644" t="s">
        <v>230</v>
      </c>
      <c r="AH7" s="644" t="s">
        <v>231</v>
      </c>
      <c r="AI7" s="647" t="s">
        <v>232</v>
      </c>
      <c r="AJ7" s="647" t="s">
        <v>233</v>
      </c>
      <c r="AK7" s="648" t="s">
        <v>234</v>
      </c>
      <c r="AL7" s="648" t="s">
        <v>235</v>
      </c>
      <c r="AM7" s="647" t="s">
        <v>236</v>
      </c>
      <c r="AN7" s="647" t="s">
        <v>237</v>
      </c>
      <c r="AO7" s="646" t="s">
        <v>238</v>
      </c>
      <c r="AP7" s="646" t="s">
        <v>239</v>
      </c>
      <c r="AQ7" s="649" t="s">
        <v>240</v>
      </c>
      <c r="AR7" s="649" t="s">
        <v>241</v>
      </c>
      <c r="AS7" s="649" t="s">
        <v>242</v>
      </c>
      <c r="AT7" s="649" t="s">
        <v>243</v>
      </c>
      <c r="AU7" s="649" t="s">
        <v>244</v>
      </c>
      <c r="AV7" s="649" t="s">
        <v>245</v>
      </c>
      <c r="AW7" s="646" t="s">
        <v>246</v>
      </c>
      <c r="AX7" s="650" t="s">
        <v>247</v>
      </c>
      <c r="AY7" s="651" t="s">
        <v>248</v>
      </c>
      <c r="AZ7" s="651" t="s">
        <v>249</v>
      </c>
      <c r="BA7" s="652" t="s">
        <v>250</v>
      </c>
      <c r="BB7" s="651" t="s">
        <v>251</v>
      </c>
      <c r="BC7" s="653" t="s">
        <v>1491</v>
      </c>
      <c r="BD7" s="705" t="s">
        <v>1687</v>
      </c>
      <c r="BE7" s="651" t="s">
        <v>252</v>
      </c>
      <c r="BF7" s="651" t="s">
        <v>1551</v>
      </c>
      <c r="BG7" s="654" t="s">
        <v>253</v>
      </c>
      <c r="BH7" s="654" t="s">
        <v>254</v>
      </c>
      <c r="BI7" s="654" t="s">
        <v>255</v>
      </c>
      <c r="BJ7" s="654" t="s">
        <v>256</v>
      </c>
      <c r="BK7" s="655" t="s">
        <v>257</v>
      </c>
      <c r="BL7" s="655" t="s">
        <v>258</v>
      </c>
      <c r="BM7" s="655" t="s">
        <v>259</v>
      </c>
      <c r="BN7" s="655" t="s">
        <v>260</v>
      </c>
      <c r="BO7" s="655" t="s">
        <v>261</v>
      </c>
      <c r="BP7" s="656" t="s">
        <v>262</v>
      </c>
      <c r="BQ7" s="656" t="s">
        <v>263</v>
      </c>
      <c r="BR7" s="656" t="s">
        <v>264</v>
      </c>
      <c r="BS7" s="657" t="s">
        <v>265</v>
      </c>
      <c r="BT7" s="657" t="s">
        <v>266</v>
      </c>
      <c r="BU7" s="657" t="s">
        <v>267</v>
      </c>
      <c r="BV7" s="657" t="s">
        <v>268</v>
      </c>
      <c r="BW7" s="657" t="s">
        <v>269</v>
      </c>
      <c r="BX7" s="657" t="s">
        <v>270</v>
      </c>
      <c r="BY7" s="657" t="s">
        <v>271</v>
      </c>
      <c r="BZ7" s="657" t="s">
        <v>272</v>
      </c>
      <c r="CA7" s="657" t="s">
        <v>273</v>
      </c>
      <c r="CB7" s="657" t="s">
        <v>274</v>
      </c>
      <c r="CC7" s="657" t="s">
        <v>275</v>
      </c>
      <c r="CD7" s="657" t="s">
        <v>276</v>
      </c>
      <c r="CE7" s="657" t="s">
        <v>277</v>
      </c>
      <c r="CF7" s="657" t="s">
        <v>278</v>
      </c>
      <c r="CG7" s="658" t="s">
        <v>1474</v>
      </c>
      <c r="CH7" s="658" t="s">
        <v>1488</v>
      </c>
      <c r="CI7" s="658" t="s">
        <v>1562</v>
      </c>
      <c r="CJ7" s="658" t="s">
        <v>1550</v>
      </c>
      <c r="CK7" s="659" t="s">
        <v>1698</v>
      </c>
      <c r="CL7" s="660" t="s">
        <v>279</v>
      </c>
      <c r="CM7" s="589" t="s">
        <v>280</v>
      </c>
      <c r="CN7" s="642" t="s">
        <v>281</v>
      </c>
      <c r="CO7" s="661" t="s">
        <v>282</v>
      </c>
      <c r="CP7" s="661" t="s">
        <v>283</v>
      </c>
      <c r="CQ7" s="662" t="s">
        <v>284</v>
      </c>
      <c r="CR7" s="663" t="s">
        <v>285</v>
      </c>
      <c r="CS7" s="661" t="s">
        <v>286</v>
      </c>
      <c r="CT7" s="664" t="s">
        <v>287</v>
      </c>
      <c r="CU7" s="661" t="s">
        <v>288</v>
      </c>
      <c r="CV7" s="665" t="s">
        <v>289</v>
      </c>
      <c r="CW7" s="225" t="s">
        <v>290</v>
      </c>
      <c r="CX7" s="225" t="s">
        <v>291</v>
      </c>
      <c r="CY7" s="2" t="s">
        <v>5</v>
      </c>
      <c r="CZ7" s="2" t="s">
        <v>292</v>
      </c>
      <c r="DA7" s="225" t="s">
        <v>293</v>
      </c>
      <c r="DC7" s="2" t="s">
        <v>294</v>
      </c>
      <c r="DD7" s="2" t="s">
        <v>295</v>
      </c>
      <c r="DK7" s="2">
        <v>21</v>
      </c>
    </row>
    <row r="8" spans="1:117" s="101" customFormat="1" ht="14.1" customHeight="1" x14ac:dyDescent="0.3">
      <c r="A8" s="398" t="s">
        <v>296</v>
      </c>
      <c r="B8" s="628" t="s">
        <v>297</v>
      </c>
      <c r="C8" s="399" t="s">
        <v>24</v>
      </c>
      <c r="D8" s="415" t="s">
        <v>31</v>
      </c>
      <c r="E8" s="403">
        <v>15002462</v>
      </c>
      <c r="F8" s="403" t="s">
        <v>298</v>
      </c>
      <c r="G8" s="449">
        <v>3002000010</v>
      </c>
      <c r="H8" s="409" t="s">
        <v>299</v>
      </c>
      <c r="I8" s="416" t="s">
        <v>300</v>
      </c>
      <c r="J8" s="417" t="s">
        <v>301</v>
      </c>
      <c r="K8" s="417" t="s">
        <v>302</v>
      </c>
      <c r="L8" s="417" t="s">
        <v>302</v>
      </c>
      <c r="M8" s="417" t="s">
        <v>303</v>
      </c>
      <c r="N8" s="417"/>
      <c r="O8" s="416" t="s">
        <v>304</v>
      </c>
      <c r="P8" s="418" t="s">
        <v>15</v>
      </c>
      <c r="Q8" s="399" t="s">
        <v>305</v>
      </c>
      <c r="R8" s="399">
        <v>3020000013</v>
      </c>
      <c r="S8" s="419" t="s">
        <v>76</v>
      </c>
      <c r="T8" s="403" t="s">
        <v>299</v>
      </c>
      <c r="U8" s="403" t="s">
        <v>306</v>
      </c>
      <c r="V8" s="403" t="s">
        <v>307</v>
      </c>
      <c r="W8" s="350" t="s">
        <v>308</v>
      </c>
      <c r="X8" s="399" t="s">
        <v>309</v>
      </c>
      <c r="Y8" s="399"/>
      <c r="Z8" s="353">
        <v>2868545</v>
      </c>
      <c r="AA8" s="366">
        <v>29</v>
      </c>
      <c r="AB8" s="353">
        <v>586886</v>
      </c>
      <c r="AC8" s="423"/>
      <c r="AD8" s="424"/>
      <c r="AE8" s="424"/>
      <c r="AF8" s="424"/>
      <c r="AG8" s="424"/>
      <c r="AH8" s="424"/>
      <c r="AI8" s="409"/>
      <c r="AJ8" s="409"/>
      <c r="AK8" s="409"/>
      <c r="AL8" s="409"/>
      <c r="AM8" s="425" t="s">
        <v>310</v>
      </c>
      <c r="AN8" s="425" t="s">
        <v>311</v>
      </c>
      <c r="AO8" s="409"/>
      <c r="AP8" s="409"/>
      <c r="AQ8" s="409"/>
      <c r="AR8" s="409"/>
      <c r="AS8" s="409"/>
      <c r="AT8" s="409"/>
      <c r="AU8" s="409" t="s">
        <v>312</v>
      </c>
      <c r="AV8" s="409"/>
      <c r="AW8" s="403" t="s">
        <v>313</v>
      </c>
      <c r="AX8" s="430"/>
      <c r="AY8" s="430"/>
      <c r="AZ8" s="430" t="s">
        <v>314</v>
      </c>
      <c r="BA8" s="430"/>
      <c r="BB8" s="430"/>
      <c r="BC8" s="415" t="s">
        <v>1493</v>
      </c>
      <c r="BD8" s="415" t="s">
        <v>1663</v>
      </c>
      <c r="BE8" s="430">
        <v>1</v>
      </c>
      <c r="BF8" s="419" t="s">
        <v>315</v>
      </c>
      <c r="BG8" s="359">
        <v>261866</v>
      </c>
      <c r="BH8" s="359">
        <v>759548.4</v>
      </c>
      <c r="BI8" s="359">
        <v>450046.8</v>
      </c>
      <c r="BJ8" s="359">
        <v>230685.51</v>
      </c>
      <c r="BK8" s="359">
        <v>1817060.11</v>
      </c>
      <c r="BL8" s="359">
        <v>0</v>
      </c>
      <c r="BM8" s="359">
        <v>2496748.33</v>
      </c>
      <c r="BN8" s="359">
        <v>314131.19</v>
      </c>
      <c r="BO8" s="359">
        <v>0</v>
      </c>
      <c r="BP8" s="359">
        <v>1208280</v>
      </c>
      <c r="BQ8" s="359">
        <v>1281910</v>
      </c>
      <c r="BR8" s="359">
        <v>1289650</v>
      </c>
      <c r="BS8" s="362">
        <f>SUM(Table14[[#This Row],[Jan-24]:[Dec-24]])</f>
        <v>10109926.34</v>
      </c>
      <c r="BT8" s="414">
        <v>524840</v>
      </c>
      <c r="BU8" s="414">
        <v>0</v>
      </c>
      <c r="BV8" s="414">
        <v>712890</v>
      </c>
      <c r="BW8" s="421">
        <v>1228210</v>
      </c>
      <c r="BX8" s="414">
        <v>484650</v>
      </c>
      <c r="BY8" s="414">
        <v>784342</v>
      </c>
      <c r="BZ8" s="414">
        <v>137760</v>
      </c>
      <c r="CA8" s="414">
        <v>1348290</v>
      </c>
      <c r="CB8" s="414">
        <v>896470</v>
      </c>
      <c r="CC8" s="414">
        <v>147358</v>
      </c>
      <c r="CD8" s="414">
        <v>1219060</v>
      </c>
      <c r="CE8" s="414">
        <v>964490</v>
      </c>
      <c r="CF8" s="362">
        <f>SUM(Table14[[#This Row],[Jan-25]:[Dec-25]])</f>
        <v>8448360</v>
      </c>
      <c r="CG8" s="414">
        <v>597810</v>
      </c>
      <c r="CH8" s="414">
        <v>442650</v>
      </c>
      <c r="CI8" s="414"/>
      <c r="CJ8" s="414">
        <f>SUM(Table14[[#This Row],[Jan-26]:[Mar-26]])</f>
        <v>1040460</v>
      </c>
      <c r="CK8" s="531">
        <f>IFERROR(SUM(Table14[[#This Row],[Oct-25]:[Dec-25]],Table14[[#This Row],[Jan-26]:[Mar-26]])/COUNT(Table14[[#This Row],[Oct-25]:[Dec-25]],Table14[[#This Row],[Jan-26]:[Mar-26]]),0)</f>
        <v>674273.6</v>
      </c>
      <c r="CL8" s="359"/>
      <c r="CM8" s="414">
        <f>Table14[[#This Row],[YTD 2024]]+Table14[[#This Row],[YTD 2025]]+Table14[[#This Row],[YTD 2026]]</f>
        <v>19598746.34</v>
      </c>
      <c r="CN8" s="366">
        <v>23</v>
      </c>
      <c r="CO8" s="353">
        <f t="shared" ref="CO8:CO39" si="1">CM8/CN8</f>
        <v>852119.4060869565</v>
      </c>
      <c r="CP8" s="353">
        <f>Table14[[#This Row],[Unit Cost]]-Table14[[#This Row],[Margin on Reagent sale]]</f>
        <v>-4970953.5360000003</v>
      </c>
      <c r="CQ8" s="372">
        <f>Table14[[#This Row],[Avg reagent Sales per month Actual]]-Table14[[#This Row],[Per Month Reagent Commitment]]</f>
        <v>265233.4060869565</v>
      </c>
      <c r="CR8" s="403" t="s">
        <v>316</v>
      </c>
      <c r="CS8" s="367">
        <f>Table14[[#This Row],[On Track / (behind) (avg per month)]]/Table14[[#This Row],[Months]]</f>
        <v>11531.887221172021</v>
      </c>
      <c r="CT8" s="368">
        <v>0.4</v>
      </c>
      <c r="CU8" s="367">
        <f>Table14[[#This Row],[Total Reagent Sales till date Actual]]*Table14[[#This Row],[Margin %]]</f>
        <v>7839498.5360000003</v>
      </c>
      <c r="CV8" s="400">
        <f>CT8</f>
        <v>0.4</v>
      </c>
      <c r="CW8" s="212">
        <f>CK8*36</f>
        <v>24273849.599999998</v>
      </c>
      <c r="CX8" s="212">
        <f>+CW8*CV8</f>
        <v>9709539.8399999999</v>
      </c>
      <c r="CY8" s="223">
        <f t="shared" ref="CY8:CY51" si="2">+Z8</f>
        <v>2868545</v>
      </c>
      <c r="CZ8" s="226">
        <f>+CX8-CY8</f>
        <v>6840994.8399999999</v>
      </c>
      <c r="DA8" s="212">
        <f>CY8/(CX8/36)</f>
        <v>10.635686314872775</v>
      </c>
      <c r="DK8" s="101">
        <v>4</v>
      </c>
    </row>
    <row r="9" spans="1:117" s="101" customFormat="1" ht="15" customHeight="1" x14ac:dyDescent="0.3">
      <c r="A9" s="399" t="s">
        <v>296</v>
      </c>
      <c r="B9" s="629" t="s">
        <v>297</v>
      </c>
      <c r="C9" s="399" t="s">
        <v>49</v>
      </c>
      <c r="D9" s="415" t="s">
        <v>36</v>
      </c>
      <c r="E9" s="403">
        <v>15002128</v>
      </c>
      <c r="F9" s="403" t="s">
        <v>317</v>
      </c>
      <c r="G9" s="449">
        <v>3002000003</v>
      </c>
      <c r="H9" s="409" t="s">
        <v>299</v>
      </c>
      <c r="I9" s="416" t="s">
        <v>318</v>
      </c>
      <c r="J9" s="417" t="s">
        <v>319</v>
      </c>
      <c r="K9" s="417" t="s">
        <v>320</v>
      </c>
      <c r="L9" s="417" t="s">
        <v>320</v>
      </c>
      <c r="M9" s="417" t="s">
        <v>303</v>
      </c>
      <c r="N9" s="417"/>
      <c r="O9" s="416" t="s">
        <v>304</v>
      </c>
      <c r="P9" s="418" t="s">
        <v>15</v>
      </c>
      <c r="Q9" s="399" t="s">
        <v>305</v>
      </c>
      <c r="R9" s="399">
        <v>3020000022</v>
      </c>
      <c r="S9" s="419" t="s">
        <v>78</v>
      </c>
      <c r="T9" s="403" t="s">
        <v>321</v>
      </c>
      <c r="U9" s="403" t="s">
        <v>322</v>
      </c>
      <c r="V9" s="403" t="s">
        <v>323</v>
      </c>
      <c r="W9" s="350" t="s">
        <v>324</v>
      </c>
      <c r="X9" s="399" t="s">
        <v>325</v>
      </c>
      <c r="Y9" s="399" t="s">
        <v>326</v>
      </c>
      <c r="Z9" s="353">
        <v>2606483</v>
      </c>
      <c r="AA9" s="366">
        <v>18</v>
      </c>
      <c r="AB9" s="353">
        <v>250000</v>
      </c>
      <c r="AC9" s="423" t="s">
        <v>327</v>
      </c>
      <c r="AD9" s="424" t="s">
        <v>328</v>
      </c>
      <c r="AE9" s="424" t="s">
        <v>329</v>
      </c>
      <c r="AF9" s="424" t="s">
        <v>330</v>
      </c>
      <c r="AG9" s="424" t="s">
        <v>331</v>
      </c>
      <c r="AH9" s="424"/>
      <c r="AI9" s="409" t="s">
        <v>332</v>
      </c>
      <c r="AJ9" s="409" t="s">
        <v>333</v>
      </c>
      <c r="AK9" s="409" t="s">
        <v>334</v>
      </c>
      <c r="AL9" s="409" t="s">
        <v>335</v>
      </c>
      <c r="AM9" s="425" t="s">
        <v>336</v>
      </c>
      <c r="AN9" s="425" t="s">
        <v>337</v>
      </c>
      <c r="AO9" s="409"/>
      <c r="AP9" s="409"/>
      <c r="AQ9" s="409"/>
      <c r="AR9" s="409"/>
      <c r="AS9" s="409" t="s">
        <v>338</v>
      </c>
      <c r="AT9" s="409" t="s">
        <v>339</v>
      </c>
      <c r="AU9" s="409" t="s">
        <v>340</v>
      </c>
      <c r="AV9" s="409"/>
      <c r="AW9" s="409" t="s">
        <v>341</v>
      </c>
      <c r="AX9" s="430" t="s">
        <v>342</v>
      </c>
      <c r="AY9" s="430"/>
      <c r="AZ9" s="430"/>
      <c r="BA9" s="430"/>
      <c r="BB9" s="430"/>
      <c r="BC9" s="415" t="s">
        <v>1499</v>
      </c>
      <c r="BD9" s="415" t="s">
        <v>1648</v>
      </c>
      <c r="BE9" s="430">
        <v>1</v>
      </c>
      <c r="BF9" s="419" t="s">
        <v>315</v>
      </c>
      <c r="BG9" s="359">
        <v>293210.25</v>
      </c>
      <c r="BH9" s="359">
        <v>141695.46</v>
      </c>
      <c r="BI9" s="359">
        <v>114322.96</v>
      </c>
      <c r="BJ9" s="359">
        <v>230296.74</v>
      </c>
      <c r="BK9" s="359">
        <v>253481.28</v>
      </c>
      <c r="BL9" s="359">
        <v>0</v>
      </c>
      <c r="BM9" s="359">
        <v>167380.73000000001</v>
      </c>
      <c r="BN9" s="359">
        <v>406400</v>
      </c>
      <c r="BO9" s="359">
        <v>84600</v>
      </c>
      <c r="BP9" s="359">
        <v>0</v>
      </c>
      <c r="BQ9" s="359">
        <v>196100</v>
      </c>
      <c r="BR9" s="359">
        <v>236400</v>
      </c>
      <c r="BS9" s="362">
        <f>SUM(Table14[[#This Row],[Jan-24]:[Dec-24]])</f>
        <v>2123887.42</v>
      </c>
      <c r="BT9" s="362">
        <v>0</v>
      </c>
      <c r="BU9" s="362">
        <v>0</v>
      </c>
      <c r="BV9" s="414">
        <v>380500</v>
      </c>
      <c r="BW9" s="421">
        <v>97500</v>
      </c>
      <c r="BX9" s="414">
        <v>247800</v>
      </c>
      <c r="BY9" s="367">
        <v>17200</v>
      </c>
      <c r="BZ9" s="367">
        <v>99800</v>
      </c>
      <c r="CA9" s="367">
        <v>53300</v>
      </c>
      <c r="CB9" s="367">
        <v>313800</v>
      </c>
      <c r="CC9" s="367">
        <v>271000</v>
      </c>
      <c r="CD9" s="367">
        <v>265200</v>
      </c>
      <c r="CE9" s="367"/>
      <c r="CF9" s="362">
        <f>SUM(Table14[[#This Row],[Jan-25]:[Dec-25]])</f>
        <v>1746100</v>
      </c>
      <c r="CG9" s="367">
        <v>24000</v>
      </c>
      <c r="CH9" s="367">
        <v>0</v>
      </c>
      <c r="CI9" s="367">
        <v>262200</v>
      </c>
      <c r="CJ9" s="414">
        <f>SUM(Table14[[#This Row],[Jan-26]:[Mar-26]])</f>
        <v>286200</v>
      </c>
      <c r="CK9" s="531">
        <f>IFERROR(SUM(Table14[[#This Row],[Oct-25]:[Dec-25]],Table14[[#This Row],[Jan-26]:[Mar-26]])/COUNT(Table14[[#This Row],[Oct-25]:[Dec-25]],Table14[[#This Row],[Jan-26]:[Mar-26]]),0)</f>
        <v>164480</v>
      </c>
      <c r="CL9" s="359"/>
      <c r="CM9" s="414">
        <f>Table14[[#This Row],[YTD 2024]]+Table14[[#This Row],[YTD 2025]]+Table14[[#This Row],[YTD 2026]]</f>
        <v>4156187.42</v>
      </c>
      <c r="CN9" s="366">
        <v>45</v>
      </c>
      <c r="CO9" s="353">
        <f t="shared" si="1"/>
        <v>92359.720444444436</v>
      </c>
      <c r="CP9" s="353">
        <f>Table14[[#This Row],[Unit Cost]]-Table14[[#This Row],[Margin on Reagent sale]]</f>
        <v>736198.66100000008</v>
      </c>
      <c r="CQ9" s="372">
        <f>Table14[[#This Row],[Avg reagent Sales per month Actual]]-Table14[[#This Row],[Per Month Reagent Commitment]]</f>
        <v>-157640.27955555555</v>
      </c>
      <c r="CR9" s="403" t="s">
        <v>343</v>
      </c>
      <c r="CS9" s="367">
        <f>Table14[[#This Row],[On Track / (behind) (avg per month)]]/Table14[[#This Row],[Months]]</f>
        <v>-3503.11732345679</v>
      </c>
      <c r="CT9" s="368">
        <v>0.45</v>
      </c>
      <c r="CU9" s="367">
        <f>Table14[[#This Row],[Total Reagent Sales till date Actual]]*Table14[[#This Row],[Margin %]]</f>
        <v>1870284.3389999999</v>
      </c>
      <c r="CV9" s="442">
        <v>0.35</v>
      </c>
      <c r="CW9" s="212">
        <f t="shared" ref="CW9:CW51" si="3">CK9*36</f>
        <v>5921280</v>
      </c>
      <c r="CX9" s="212">
        <f t="shared" ref="CX9:CX51" si="4">+CW9*CV9</f>
        <v>2072447.9999999998</v>
      </c>
      <c r="CY9" s="223">
        <f t="shared" si="2"/>
        <v>2606483</v>
      </c>
      <c r="CZ9" s="226">
        <f t="shared" ref="CZ9:CZ65" si="5">+CX9-CY9</f>
        <v>-534035.00000000023</v>
      </c>
      <c r="DA9" s="212">
        <f t="shared" ref="DA9:DA66" si="6">CY9/(CX9/36)</f>
        <v>45.276594635908843</v>
      </c>
      <c r="DK9" s="101">
        <v>2</v>
      </c>
    </row>
    <row r="10" spans="1:117" s="101" customFormat="1" ht="15" customHeight="1" x14ac:dyDescent="0.3">
      <c r="A10" s="401" t="s">
        <v>344</v>
      </c>
      <c r="B10" s="629" t="s">
        <v>345</v>
      </c>
      <c r="C10" s="399" t="s">
        <v>21</v>
      </c>
      <c r="D10" s="415" t="s">
        <v>28</v>
      </c>
      <c r="E10" s="403">
        <v>15002760</v>
      </c>
      <c r="F10" s="403" t="s">
        <v>298</v>
      </c>
      <c r="G10" s="449">
        <v>3002000034</v>
      </c>
      <c r="H10" s="409" t="s">
        <v>299</v>
      </c>
      <c r="I10" s="416">
        <v>30006181</v>
      </c>
      <c r="J10" s="417" t="s">
        <v>346</v>
      </c>
      <c r="K10" s="417" t="s">
        <v>347</v>
      </c>
      <c r="L10" s="417" t="s">
        <v>347</v>
      </c>
      <c r="M10" s="417" t="s">
        <v>303</v>
      </c>
      <c r="N10" s="417"/>
      <c r="O10" s="416" t="s">
        <v>348</v>
      </c>
      <c r="P10" s="418" t="s">
        <v>16</v>
      </c>
      <c r="Q10" s="399" t="s">
        <v>349</v>
      </c>
      <c r="R10" s="399">
        <v>3020000072</v>
      </c>
      <c r="S10" s="419" t="s">
        <v>151</v>
      </c>
      <c r="T10" s="403" t="s">
        <v>299</v>
      </c>
      <c r="U10" s="403" t="s">
        <v>350</v>
      </c>
      <c r="V10" s="403" t="s">
        <v>351</v>
      </c>
      <c r="W10" s="350" t="s">
        <v>352</v>
      </c>
      <c r="X10" s="399" t="s">
        <v>353</v>
      </c>
      <c r="Y10" s="399"/>
      <c r="Z10" s="353">
        <v>7385000</v>
      </c>
      <c r="AA10" s="366">
        <v>39</v>
      </c>
      <c r="AB10" s="353">
        <v>755925</v>
      </c>
      <c r="AC10" s="423"/>
      <c r="AD10" s="424"/>
      <c r="AE10" s="424"/>
      <c r="AF10" s="424"/>
      <c r="AG10" s="424"/>
      <c r="AH10" s="424"/>
      <c r="AI10" s="409" t="e">
        <v>#N/A</v>
      </c>
      <c r="AJ10" s="409" t="e">
        <v>#N/A</v>
      </c>
      <c r="AK10" s="409" t="s">
        <v>354</v>
      </c>
      <c r="AL10" s="409"/>
      <c r="AM10" s="425" t="s">
        <v>355</v>
      </c>
      <c r="AN10" s="425" t="s">
        <v>356</v>
      </c>
      <c r="AO10" s="409"/>
      <c r="AP10" s="409" t="s">
        <v>356</v>
      </c>
      <c r="AQ10" s="409" t="s">
        <v>357</v>
      </c>
      <c r="AR10" s="409" t="s">
        <v>358</v>
      </c>
      <c r="AS10" s="409" t="s">
        <v>359</v>
      </c>
      <c r="AT10" s="409"/>
      <c r="AU10" s="409" t="s">
        <v>360</v>
      </c>
      <c r="AV10" s="409"/>
      <c r="AW10" s="409" t="s">
        <v>361</v>
      </c>
      <c r="AX10" s="409"/>
      <c r="AY10" s="409"/>
      <c r="AZ10" s="409" t="s">
        <v>362</v>
      </c>
      <c r="BA10" s="409"/>
      <c r="BB10" s="409"/>
      <c r="BC10" s="596"/>
      <c r="BD10" s="596"/>
      <c r="BE10" s="409"/>
      <c r="BF10" s="419" t="s">
        <v>348</v>
      </c>
      <c r="BG10" s="363">
        <v>40943</v>
      </c>
      <c r="BH10" s="363">
        <v>141500</v>
      </c>
      <c r="BI10" s="363">
        <v>31500</v>
      </c>
      <c r="BJ10" s="363"/>
      <c r="BK10" s="363"/>
      <c r="BL10" s="363"/>
      <c r="BM10" s="363"/>
      <c r="BN10" s="363"/>
      <c r="BO10" s="363"/>
      <c r="BP10" s="363"/>
      <c r="BQ10" s="363"/>
      <c r="BR10" s="363"/>
      <c r="BS10" s="362">
        <f>SUM(Table14[[#This Row],[Jan-24]:[Dec-24]])</f>
        <v>213943</v>
      </c>
      <c r="BT10" s="362"/>
      <c r="BU10" s="362"/>
      <c r="BV10" s="362"/>
      <c r="BW10" s="362"/>
      <c r="BX10" s="362"/>
      <c r="BY10" s="362"/>
      <c r="BZ10" s="362"/>
      <c r="CA10" s="362"/>
      <c r="CB10" s="362"/>
      <c r="CC10" s="362"/>
      <c r="CD10" s="362"/>
      <c r="CE10" s="362"/>
      <c r="CF10" s="362">
        <f>SUM(Table14[[#This Row],[Jan-25]:[Dec-25]])</f>
        <v>0</v>
      </c>
      <c r="CG10" s="362">
        <v>0</v>
      </c>
      <c r="CH10" s="362">
        <v>0</v>
      </c>
      <c r="CI10" s="362"/>
      <c r="CJ10" s="414">
        <f>SUM(Table14[[#This Row],[Jan-26]:[Mar-26]])</f>
        <v>0</v>
      </c>
      <c r="CK10" s="531">
        <f>IFERROR(SUM(Table14[[#This Row],[Oct-25]:[Dec-25]],Table14[[#This Row],[Jan-26]:[Mar-26]])/COUNT(Table14[[#This Row],[Oct-25]:[Dec-25]],Table14[[#This Row],[Jan-26]:[Mar-26]]),0)</f>
        <v>0</v>
      </c>
      <c r="CL10" s="363" t="s">
        <v>363</v>
      </c>
      <c r="CM10" s="414">
        <f>Table14[[#This Row],[YTD 2024]]+Table14[[#This Row],[YTD 2025]]+Table14[[#This Row],[YTD 2026]]</f>
        <v>213943</v>
      </c>
      <c r="CN10" s="366">
        <v>15</v>
      </c>
      <c r="CO10" s="353">
        <f t="shared" si="1"/>
        <v>14262.866666666667</v>
      </c>
      <c r="CP10" s="353">
        <f>Table14[[#This Row],[Unit Cost]]-Table14[[#This Row],[Margin on Reagent sale]]</f>
        <v>7299422.7999999998</v>
      </c>
      <c r="CQ10" s="372">
        <f>Table14[[#This Row],[Avg reagent Sales per month Actual]]-Table14[[#This Row],[Per Month Reagent Commitment]]</f>
        <v>-741662.1333333333</v>
      </c>
      <c r="CR10" s="403" t="s">
        <v>343</v>
      </c>
      <c r="CS10" s="367">
        <f>Table14[[#This Row],[On Track / (behind) (avg per month)]]/Table14[[#This Row],[Months]]</f>
        <v>-49444.142222222217</v>
      </c>
      <c r="CT10" s="368">
        <v>0.4</v>
      </c>
      <c r="CU10" s="367">
        <f>Table14[[#This Row],[Total Reagent Sales till date Actual]]*Table14[[#This Row],[Margin %]]</f>
        <v>85577.200000000012</v>
      </c>
      <c r="CV10" s="442">
        <v>0.35</v>
      </c>
      <c r="CW10" s="212">
        <f t="shared" si="3"/>
        <v>0</v>
      </c>
      <c r="CX10" s="212">
        <f t="shared" si="4"/>
        <v>0</v>
      </c>
      <c r="CY10" s="223">
        <f t="shared" si="2"/>
        <v>7385000</v>
      </c>
      <c r="CZ10" s="226">
        <f t="shared" si="5"/>
        <v>-7385000</v>
      </c>
      <c r="DA10" s="212" t="e">
        <f t="shared" si="6"/>
        <v>#DIV/0!</v>
      </c>
      <c r="DC10" s="226"/>
      <c r="DK10" s="101">
        <v>2</v>
      </c>
      <c r="DM10" s="244"/>
    </row>
    <row r="11" spans="1:117" s="101" customFormat="1" ht="15" customHeight="1" x14ac:dyDescent="0.3">
      <c r="A11" s="399" t="s">
        <v>296</v>
      </c>
      <c r="B11" s="629" t="s">
        <v>297</v>
      </c>
      <c r="C11" s="399" t="s">
        <v>24</v>
      </c>
      <c r="D11" s="415" t="s">
        <v>31</v>
      </c>
      <c r="E11" s="403">
        <v>15002462</v>
      </c>
      <c r="F11" s="403" t="s">
        <v>298</v>
      </c>
      <c r="G11" s="449">
        <v>3002000097</v>
      </c>
      <c r="H11" s="666"/>
      <c r="I11" s="416" t="s">
        <v>364</v>
      </c>
      <c r="J11" s="417" t="s">
        <v>365</v>
      </c>
      <c r="K11" s="417"/>
      <c r="L11" s="417" t="s">
        <v>366</v>
      </c>
      <c r="M11" s="417"/>
      <c r="N11" s="417"/>
      <c r="O11" s="418" t="s">
        <v>304</v>
      </c>
      <c r="P11" s="418" t="s">
        <v>15</v>
      </c>
      <c r="Q11" s="399" t="s">
        <v>305</v>
      </c>
      <c r="R11" s="399">
        <v>3020000084</v>
      </c>
      <c r="S11" s="419" t="s">
        <v>120</v>
      </c>
      <c r="T11" s="403"/>
      <c r="U11" s="403" t="s">
        <v>367</v>
      </c>
      <c r="V11" s="403" t="s">
        <v>368</v>
      </c>
      <c r="W11" s="350" t="s">
        <v>369</v>
      </c>
      <c r="X11" s="399" t="s">
        <v>370</v>
      </c>
      <c r="Y11" s="399"/>
      <c r="Z11" s="486">
        <v>4171088</v>
      </c>
      <c r="AA11" s="418">
        <v>32</v>
      </c>
      <c r="AB11" s="486">
        <v>1012173</v>
      </c>
      <c r="AC11" s="409"/>
      <c r="AD11" s="410"/>
      <c r="AE11" s="399"/>
      <c r="AF11" s="399"/>
      <c r="AG11" s="399"/>
      <c r="AH11" s="399"/>
      <c r="AI11" s="403"/>
      <c r="AJ11" s="403"/>
      <c r="AK11" s="403"/>
      <c r="AL11" s="403"/>
      <c r="AM11" s="420"/>
      <c r="AN11" s="420"/>
      <c r="AO11" s="403"/>
      <c r="AP11" s="403"/>
      <c r="AQ11" s="403"/>
      <c r="AR11" s="403"/>
      <c r="AS11" s="403"/>
      <c r="AT11" s="403"/>
      <c r="AU11" s="399"/>
      <c r="AV11" s="420"/>
      <c r="AW11" s="420"/>
      <c r="AX11" s="420"/>
      <c r="AY11" s="420"/>
      <c r="AZ11" s="420"/>
      <c r="BA11" s="370"/>
      <c r="BB11" s="358"/>
      <c r="BC11" s="597" t="s">
        <v>1493</v>
      </c>
      <c r="BD11" s="597" t="s">
        <v>1493</v>
      </c>
      <c r="BE11" s="375">
        <v>1</v>
      </c>
      <c r="BF11" s="419" t="s">
        <v>315</v>
      </c>
      <c r="BG11" s="370"/>
      <c r="BH11" s="370"/>
      <c r="BI11" s="370"/>
      <c r="BJ11" s="370"/>
      <c r="BK11" s="487"/>
      <c r="BL11" s="488"/>
      <c r="BM11" s="358"/>
      <c r="BN11" s="358"/>
      <c r="BO11" s="370"/>
      <c r="BP11" s="487"/>
      <c r="BQ11" s="487"/>
      <c r="BR11" s="487"/>
      <c r="BS11" s="362">
        <f>SUM(Table14[[#This Row],[Jan-24]:[Dec-24]])</f>
        <v>0</v>
      </c>
      <c r="BT11" s="360"/>
      <c r="BU11" s="360"/>
      <c r="BV11" s="376"/>
      <c r="BW11" s="367">
        <v>0</v>
      </c>
      <c r="BX11" s="414">
        <f>1743500/3</f>
        <v>581166.66666666663</v>
      </c>
      <c r="BY11" s="414">
        <v>964500</v>
      </c>
      <c r="BZ11" s="414">
        <v>335666.66666666669</v>
      </c>
      <c r="CA11" s="414">
        <f>3398750/3</f>
        <v>1132916.6666666667</v>
      </c>
      <c r="CB11" s="414">
        <f>2658500/3</f>
        <v>886166.66666666663</v>
      </c>
      <c r="CC11" s="414">
        <f>3981750/3</f>
        <v>1327250</v>
      </c>
      <c r="CD11" s="414">
        <f>3600000/4</f>
        <v>900000</v>
      </c>
      <c r="CE11" s="414">
        <f>11639250/4</f>
        <v>2909812.5</v>
      </c>
      <c r="CF11" s="362">
        <f>SUM(Table14[[#This Row],[Jan-25]:[Dec-25]])</f>
        <v>9037479.166666666</v>
      </c>
      <c r="CG11" s="414"/>
      <c r="CH11" s="414">
        <f>6960000/4</f>
        <v>1740000</v>
      </c>
      <c r="CI11" s="414">
        <f>2540000/4</f>
        <v>635000</v>
      </c>
      <c r="CJ11" s="414">
        <f>SUM(Table14[[#This Row],[Jan-26]:[Mar-26]])</f>
        <v>2375000</v>
      </c>
      <c r="CK11" s="531">
        <f>IFERROR(SUM(Table14[[#This Row],[Oct-25]:[Dec-25]],Table14[[#This Row],[Jan-26]:[Mar-26]])/COUNT(Table14[[#This Row],[Oct-25]:[Dec-25]],Table14[[#This Row],[Jan-26]:[Mar-26]]),0)</f>
        <v>1502412.5</v>
      </c>
      <c r="CL11" s="367"/>
      <c r="CM11" s="414">
        <f>Table14[[#This Row],[YTD 2024]]+Table14[[#This Row],[YTD 2025]]+Table14[[#This Row],[YTD 2026]]</f>
        <v>11412479.166666666</v>
      </c>
      <c r="CN11" s="418">
        <v>9</v>
      </c>
      <c r="CO11" s="353">
        <f t="shared" si="1"/>
        <v>1268053.2407407407</v>
      </c>
      <c r="CP11" s="353">
        <f>Table14[[#This Row],[Unit Cost]]-Table14[[#This Row],[Margin on Reagent sale]]</f>
        <v>-393903.66666666698</v>
      </c>
      <c r="CQ11" s="489">
        <f>Table14[[#This Row],[Avg reagent Sales per month Actual]]-Table14[[#This Row],[Per Month Reagent Commitment]]</f>
        <v>255880.24074074067</v>
      </c>
      <c r="CR11" s="373" t="s">
        <v>316</v>
      </c>
      <c r="CS11" s="367">
        <f>Table14[[#This Row],[On Track / (behind) (avg per month)]]/Table14[[#This Row],[Months]]</f>
        <v>28431.137860082297</v>
      </c>
      <c r="CT11" s="368">
        <v>0.4</v>
      </c>
      <c r="CU11" s="367">
        <f>Table14[[#This Row],[Total Reagent Sales till date Actual]]*Table14[[#This Row],[Margin %]]</f>
        <v>4564991.666666667</v>
      </c>
      <c r="CV11" s="371">
        <f>CT11</f>
        <v>0.4</v>
      </c>
      <c r="CW11" s="212">
        <f t="shared" si="3"/>
        <v>54086850</v>
      </c>
      <c r="CX11" s="212">
        <f t="shared" si="4"/>
        <v>21634740</v>
      </c>
      <c r="CY11" s="223">
        <f t="shared" si="2"/>
        <v>4171088</v>
      </c>
      <c r="CZ11" s="226">
        <f t="shared" si="5"/>
        <v>17463652</v>
      </c>
      <c r="DA11" s="212">
        <f t="shared" si="6"/>
        <v>6.9406504538533857</v>
      </c>
      <c r="DK11" s="101">
        <v>3</v>
      </c>
      <c r="DM11" s="244"/>
    </row>
    <row r="12" spans="1:117" s="101" customFormat="1" ht="15" customHeight="1" x14ac:dyDescent="0.3">
      <c r="A12" s="399" t="s">
        <v>296</v>
      </c>
      <c r="B12" s="629" t="s">
        <v>297</v>
      </c>
      <c r="C12" s="399" t="s">
        <v>24</v>
      </c>
      <c r="D12" s="415" t="s">
        <v>371</v>
      </c>
      <c r="E12" s="403">
        <v>15003241</v>
      </c>
      <c r="F12" s="403" t="s">
        <v>298</v>
      </c>
      <c r="G12" s="449"/>
      <c r="H12" s="666"/>
      <c r="I12" s="416" t="s">
        <v>372</v>
      </c>
      <c r="J12" s="417" t="s">
        <v>373</v>
      </c>
      <c r="K12" s="417"/>
      <c r="L12" s="417" t="s">
        <v>366</v>
      </c>
      <c r="M12" s="417"/>
      <c r="N12" s="417"/>
      <c r="O12" s="418" t="s">
        <v>304</v>
      </c>
      <c r="P12" s="418" t="s">
        <v>15</v>
      </c>
      <c r="Q12" s="399" t="s">
        <v>374</v>
      </c>
      <c r="R12" s="399">
        <v>3020000084</v>
      </c>
      <c r="S12" s="419" t="s">
        <v>121</v>
      </c>
      <c r="T12" s="403"/>
      <c r="U12" s="403" t="s">
        <v>367</v>
      </c>
      <c r="V12" s="403" t="s">
        <v>368</v>
      </c>
      <c r="W12" s="350" t="s">
        <v>369</v>
      </c>
      <c r="X12" s="399" t="s">
        <v>370</v>
      </c>
      <c r="Y12" s="399"/>
      <c r="Z12" s="486">
        <v>4171088</v>
      </c>
      <c r="AA12" s="418">
        <v>32</v>
      </c>
      <c r="AB12" s="486">
        <v>1012173</v>
      </c>
      <c r="AC12" s="409"/>
      <c r="AD12" s="410"/>
      <c r="AE12" s="399"/>
      <c r="AF12" s="399"/>
      <c r="AG12" s="399"/>
      <c r="AH12" s="399"/>
      <c r="AI12" s="403"/>
      <c r="AJ12" s="403"/>
      <c r="AK12" s="403"/>
      <c r="AL12" s="403"/>
      <c r="AM12" s="420"/>
      <c r="AN12" s="420"/>
      <c r="AO12" s="403"/>
      <c r="AP12" s="403"/>
      <c r="AQ12" s="403"/>
      <c r="AR12" s="403"/>
      <c r="AS12" s="403"/>
      <c r="AT12" s="403"/>
      <c r="AU12" s="399"/>
      <c r="AV12" s="420"/>
      <c r="AW12" s="420"/>
      <c r="AX12" s="420"/>
      <c r="AY12" s="420"/>
      <c r="AZ12" s="420"/>
      <c r="BA12" s="370"/>
      <c r="BB12" s="358"/>
      <c r="BC12" s="597" t="s">
        <v>1493</v>
      </c>
      <c r="BD12" s="597" t="s">
        <v>1493</v>
      </c>
      <c r="BE12" s="375">
        <v>1</v>
      </c>
      <c r="BF12" s="419" t="s">
        <v>315</v>
      </c>
      <c r="BG12" s="370"/>
      <c r="BH12" s="370"/>
      <c r="BI12" s="370"/>
      <c r="BJ12" s="370"/>
      <c r="BK12" s="487"/>
      <c r="BL12" s="488"/>
      <c r="BM12" s="358"/>
      <c r="BN12" s="358"/>
      <c r="BO12" s="370"/>
      <c r="BP12" s="487"/>
      <c r="BQ12" s="487"/>
      <c r="BR12" s="487"/>
      <c r="BS12" s="362">
        <f>SUM(Table14[[#This Row],[Jan-24]:[Dec-24]])</f>
        <v>0</v>
      </c>
      <c r="BT12" s="360"/>
      <c r="BU12" s="360"/>
      <c r="BV12" s="376"/>
      <c r="BW12" s="367">
        <v>0</v>
      </c>
      <c r="BX12" s="414">
        <f>1743500/3</f>
        <v>581166.66666666663</v>
      </c>
      <c r="BY12" s="414">
        <v>964500</v>
      </c>
      <c r="BZ12" s="414">
        <v>335666.66666666669</v>
      </c>
      <c r="CA12" s="414">
        <f>3398750/3</f>
        <v>1132916.6666666667</v>
      </c>
      <c r="CB12" s="414">
        <f>2658500/3</f>
        <v>886166.66666666663</v>
      </c>
      <c r="CC12" s="414">
        <f>3981750/3</f>
        <v>1327250</v>
      </c>
      <c r="CD12" s="414">
        <f>3600000/4</f>
        <v>900000</v>
      </c>
      <c r="CE12" s="414">
        <f>11639250/4</f>
        <v>2909812.5</v>
      </c>
      <c r="CF12" s="362">
        <f>SUM(Table14[[#This Row],[Jan-25]:[Dec-25]])</f>
        <v>9037479.166666666</v>
      </c>
      <c r="CG12" s="414"/>
      <c r="CH12" s="414">
        <f t="shared" ref="CH12:CH14" si="7">6960000/4</f>
        <v>1740000</v>
      </c>
      <c r="CI12" s="414">
        <f>CI11</f>
        <v>635000</v>
      </c>
      <c r="CJ12" s="414">
        <f>SUM(Table14[[#This Row],[Jan-26]:[Mar-26]])</f>
        <v>2375000</v>
      </c>
      <c r="CK12" s="531">
        <f>IFERROR(SUM(Table14[[#This Row],[Oct-25]:[Dec-25]],Table14[[#This Row],[Jan-26]:[Mar-26]])/COUNT(Table14[[#This Row],[Oct-25]:[Dec-25]],Table14[[#This Row],[Jan-26]:[Mar-26]]),0)</f>
        <v>1502412.5</v>
      </c>
      <c r="CL12" s="367"/>
      <c r="CM12" s="414">
        <f>Table14[[#This Row],[YTD 2024]]+Table14[[#This Row],[YTD 2025]]+Table14[[#This Row],[YTD 2026]]</f>
        <v>11412479.166666666</v>
      </c>
      <c r="CN12" s="418">
        <v>9</v>
      </c>
      <c r="CO12" s="353">
        <f t="shared" si="1"/>
        <v>1268053.2407407407</v>
      </c>
      <c r="CP12" s="353">
        <f>Table14[[#This Row],[Unit Cost]]-Table14[[#This Row],[Margin on Reagent sale]]</f>
        <v>-393903.66666666698</v>
      </c>
      <c r="CQ12" s="489">
        <f>Table14[[#This Row],[Avg reagent Sales per month Actual]]-Table14[[#This Row],[Per Month Reagent Commitment]]</f>
        <v>255880.24074074067</v>
      </c>
      <c r="CR12" s="373" t="s">
        <v>343</v>
      </c>
      <c r="CS12" s="367">
        <f>Table14[[#This Row],[On Track / (behind) (avg per month)]]/Table14[[#This Row],[Months]]</f>
        <v>28431.137860082297</v>
      </c>
      <c r="CT12" s="368">
        <v>0.4</v>
      </c>
      <c r="CU12" s="367">
        <f>Table14[[#This Row],[Total Reagent Sales till date Actual]]*Table14[[#This Row],[Margin %]]</f>
        <v>4564991.666666667</v>
      </c>
      <c r="CV12" s="371">
        <f>CT12</f>
        <v>0.4</v>
      </c>
      <c r="CW12" s="212">
        <f t="shared" si="3"/>
        <v>54086850</v>
      </c>
      <c r="CX12" s="212">
        <f t="shared" si="4"/>
        <v>21634740</v>
      </c>
      <c r="CY12" s="223">
        <f t="shared" si="2"/>
        <v>4171088</v>
      </c>
      <c r="CZ12" s="226">
        <f t="shared" si="5"/>
        <v>17463652</v>
      </c>
      <c r="DA12" s="212">
        <f t="shared" si="6"/>
        <v>6.9406504538533857</v>
      </c>
      <c r="DK12" s="101">
        <v>4</v>
      </c>
      <c r="DM12" s="244"/>
    </row>
    <row r="13" spans="1:117" s="101" customFormat="1" ht="15" customHeight="1" x14ac:dyDescent="0.3">
      <c r="A13" s="399" t="s">
        <v>296</v>
      </c>
      <c r="B13" s="629" t="s">
        <v>297</v>
      </c>
      <c r="C13" s="399" t="s">
        <v>24</v>
      </c>
      <c r="D13" s="415" t="s">
        <v>371</v>
      </c>
      <c r="E13" s="403">
        <v>15003241</v>
      </c>
      <c r="F13" s="403" t="s">
        <v>298</v>
      </c>
      <c r="G13" s="449"/>
      <c r="H13" s="666"/>
      <c r="I13" s="416" t="s">
        <v>375</v>
      </c>
      <c r="J13" s="417" t="s">
        <v>373</v>
      </c>
      <c r="K13" s="417"/>
      <c r="L13" s="417" t="s">
        <v>366</v>
      </c>
      <c r="M13" s="417"/>
      <c r="N13" s="417"/>
      <c r="O13" s="418" t="s">
        <v>304</v>
      </c>
      <c r="P13" s="418" t="s">
        <v>15</v>
      </c>
      <c r="Q13" s="399" t="s">
        <v>376</v>
      </c>
      <c r="R13" s="399">
        <v>3020000084</v>
      </c>
      <c r="S13" s="419" t="s">
        <v>124</v>
      </c>
      <c r="T13" s="403"/>
      <c r="U13" s="403" t="s">
        <v>367</v>
      </c>
      <c r="V13" s="403" t="s">
        <v>368</v>
      </c>
      <c r="W13" s="350" t="s">
        <v>369</v>
      </c>
      <c r="X13" s="399" t="s">
        <v>370</v>
      </c>
      <c r="Y13" s="399"/>
      <c r="Z13" s="486">
        <v>4171088</v>
      </c>
      <c r="AA13" s="418">
        <v>32</v>
      </c>
      <c r="AB13" s="486">
        <v>1012173</v>
      </c>
      <c r="AC13" s="409"/>
      <c r="AD13" s="410"/>
      <c r="AE13" s="399"/>
      <c r="AF13" s="399"/>
      <c r="AG13" s="399"/>
      <c r="AH13" s="399"/>
      <c r="AI13" s="403"/>
      <c r="AJ13" s="403"/>
      <c r="AK13" s="403"/>
      <c r="AL13" s="403"/>
      <c r="AM13" s="420"/>
      <c r="AN13" s="420"/>
      <c r="AO13" s="403"/>
      <c r="AP13" s="403"/>
      <c r="AQ13" s="403"/>
      <c r="AR13" s="403"/>
      <c r="AS13" s="403"/>
      <c r="AT13" s="403"/>
      <c r="AU13" s="399"/>
      <c r="AV13" s="420"/>
      <c r="AW13" s="420"/>
      <c r="AX13" s="420"/>
      <c r="AY13" s="420"/>
      <c r="AZ13" s="420"/>
      <c r="BA13" s="370"/>
      <c r="BB13" s="358"/>
      <c r="BC13" s="597" t="s">
        <v>1493</v>
      </c>
      <c r="BD13" s="597" t="s">
        <v>1493</v>
      </c>
      <c r="BE13" s="375">
        <v>1</v>
      </c>
      <c r="BF13" s="419" t="s">
        <v>315</v>
      </c>
      <c r="BG13" s="370"/>
      <c r="BH13" s="370"/>
      <c r="BI13" s="370"/>
      <c r="BJ13" s="370"/>
      <c r="BK13" s="487"/>
      <c r="BL13" s="488"/>
      <c r="BM13" s="358"/>
      <c r="BN13" s="358"/>
      <c r="BO13" s="370"/>
      <c r="BP13" s="487"/>
      <c r="BQ13" s="487"/>
      <c r="BR13" s="487"/>
      <c r="BS13" s="362">
        <f>SUM(Table14[[#This Row],[Jan-24]:[Dec-24]])</f>
        <v>0</v>
      </c>
      <c r="BT13" s="360"/>
      <c r="BU13" s="360"/>
      <c r="BV13" s="376"/>
      <c r="BW13" s="367">
        <v>0</v>
      </c>
      <c r="BX13" s="414">
        <f>1743500/3</f>
        <v>581166.66666666663</v>
      </c>
      <c r="BY13" s="414">
        <v>964500</v>
      </c>
      <c r="BZ13" s="414">
        <v>335666.66666666669</v>
      </c>
      <c r="CA13" s="414">
        <f>3398750/3</f>
        <v>1132916.6666666667</v>
      </c>
      <c r="CB13" s="414">
        <f>2658500/3</f>
        <v>886166.66666666663</v>
      </c>
      <c r="CC13" s="414">
        <f>3981750/3</f>
        <v>1327250</v>
      </c>
      <c r="CD13" s="414">
        <f>3600000/4</f>
        <v>900000</v>
      </c>
      <c r="CE13" s="414">
        <f>11639250/4</f>
        <v>2909812.5</v>
      </c>
      <c r="CF13" s="362">
        <f>SUM(Table14[[#This Row],[Jan-25]:[Dec-25]])</f>
        <v>9037479.166666666</v>
      </c>
      <c r="CG13" s="414"/>
      <c r="CH13" s="414">
        <f t="shared" si="7"/>
        <v>1740000</v>
      </c>
      <c r="CI13" s="414">
        <f>CI12</f>
        <v>635000</v>
      </c>
      <c r="CJ13" s="414">
        <f>SUM(Table14[[#This Row],[Jan-26]:[Mar-26]])</f>
        <v>2375000</v>
      </c>
      <c r="CK13" s="531">
        <f>IFERROR(SUM(Table14[[#This Row],[Oct-25]:[Dec-25]],Table14[[#This Row],[Jan-26]:[Mar-26]])/COUNT(Table14[[#This Row],[Oct-25]:[Dec-25]],Table14[[#This Row],[Jan-26]:[Mar-26]]),0)</f>
        <v>1502412.5</v>
      </c>
      <c r="CL13" s="367"/>
      <c r="CM13" s="414">
        <f>Table14[[#This Row],[YTD 2024]]+Table14[[#This Row],[YTD 2025]]+Table14[[#This Row],[YTD 2026]]</f>
        <v>11412479.166666666</v>
      </c>
      <c r="CN13" s="418">
        <v>9</v>
      </c>
      <c r="CO13" s="353">
        <f t="shared" si="1"/>
        <v>1268053.2407407407</v>
      </c>
      <c r="CP13" s="353">
        <f>Table14[[#This Row],[Unit Cost]]-Table14[[#This Row],[Margin on Reagent sale]]</f>
        <v>-393903.66666666698</v>
      </c>
      <c r="CQ13" s="489">
        <f>Table14[[#This Row],[Avg reagent Sales per month Actual]]-Table14[[#This Row],[Per Month Reagent Commitment]]</f>
        <v>255880.24074074067</v>
      </c>
      <c r="CR13" s="373" t="s">
        <v>343</v>
      </c>
      <c r="CS13" s="367">
        <f>Table14[[#This Row],[On Track / (behind) (avg per month)]]/Table14[[#This Row],[Months]]</f>
        <v>28431.137860082297</v>
      </c>
      <c r="CT13" s="368">
        <v>0.4</v>
      </c>
      <c r="CU13" s="367">
        <f>Table14[[#This Row],[Total Reagent Sales till date Actual]]*Table14[[#This Row],[Margin %]]</f>
        <v>4564991.666666667</v>
      </c>
      <c r="CV13" s="371">
        <f>CT13</f>
        <v>0.4</v>
      </c>
      <c r="CW13" s="212">
        <f t="shared" si="3"/>
        <v>54086850</v>
      </c>
      <c r="CX13" s="212">
        <f t="shared" si="4"/>
        <v>21634740</v>
      </c>
      <c r="CY13" s="223">
        <f t="shared" si="2"/>
        <v>4171088</v>
      </c>
      <c r="CZ13" s="226">
        <f t="shared" si="5"/>
        <v>17463652</v>
      </c>
      <c r="DA13" s="212">
        <f t="shared" si="6"/>
        <v>6.9406504538533857</v>
      </c>
      <c r="DK13" s="101">
        <v>24</v>
      </c>
      <c r="DM13" s="244"/>
    </row>
    <row r="14" spans="1:117" s="101" customFormat="1" ht="15" customHeight="1" x14ac:dyDescent="0.3">
      <c r="A14" s="399" t="s">
        <v>296</v>
      </c>
      <c r="B14" s="630" t="s">
        <v>297</v>
      </c>
      <c r="C14" s="399" t="s">
        <v>24</v>
      </c>
      <c r="D14" s="415" t="s">
        <v>377</v>
      </c>
      <c r="E14" s="403">
        <v>15003241</v>
      </c>
      <c r="F14" s="403" t="s">
        <v>298</v>
      </c>
      <c r="G14" s="449"/>
      <c r="H14" s="666"/>
      <c r="I14" s="416"/>
      <c r="J14" s="417"/>
      <c r="K14" s="417"/>
      <c r="L14" s="417" t="s">
        <v>378</v>
      </c>
      <c r="M14" s="417"/>
      <c r="N14" s="417"/>
      <c r="O14" s="418" t="s">
        <v>304</v>
      </c>
      <c r="P14" s="418" t="s">
        <v>15</v>
      </c>
      <c r="Q14" s="399" t="s">
        <v>379</v>
      </c>
      <c r="R14" s="399">
        <v>3020000084</v>
      </c>
      <c r="S14" s="419" t="s">
        <v>124</v>
      </c>
      <c r="T14" s="403"/>
      <c r="U14" s="403" t="s">
        <v>367</v>
      </c>
      <c r="V14" s="403" t="s">
        <v>368</v>
      </c>
      <c r="W14" s="350" t="s">
        <v>369</v>
      </c>
      <c r="X14" s="399" t="s">
        <v>370</v>
      </c>
      <c r="Y14" s="399"/>
      <c r="Z14" s="486">
        <v>18188372</v>
      </c>
      <c r="AA14" s="418">
        <v>28</v>
      </c>
      <c r="AB14" s="486">
        <v>1484753</v>
      </c>
      <c r="AC14" s="409"/>
      <c r="AD14" s="410"/>
      <c r="AE14" s="399"/>
      <c r="AF14" s="399"/>
      <c r="AG14" s="399"/>
      <c r="AH14" s="399"/>
      <c r="AI14" s="403"/>
      <c r="AJ14" s="403"/>
      <c r="AK14" s="403"/>
      <c r="AL14" s="403"/>
      <c r="AM14" s="420"/>
      <c r="AN14" s="420"/>
      <c r="AO14" s="403"/>
      <c r="AP14" s="403"/>
      <c r="AQ14" s="403"/>
      <c r="AR14" s="403"/>
      <c r="AS14" s="403"/>
      <c r="AT14" s="403"/>
      <c r="AU14" s="399"/>
      <c r="AV14" s="420"/>
      <c r="AW14" s="420"/>
      <c r="AX14" s="420"/>
      <c r="AY14" s="420"/>
      <c r="AZ14" s="420"/>
      <c r="BA14" s="370"/>
      <c r="BB14" s="358"/>
      <c r="BC14" s="597" t="s">
        <v>1493</v>
      </c>
      <c r="BD14" s="597" t="s">
        <v>1493</v>
      </c>
      <c r="BE14" s="358">
        <v>1</v>
      </c>
      <c r="BF14" s="419" t="s">
        <v>315</v>
      </c>
      <c r="BG14" s="370"/>
      <c r="BH14" s="370"/>
      <c r="BI14" s="370"/>
      <c r="BJ14" s="370"/>
      <c r="BK14" s="487">
        <f>8550000/5</f>
        <v>1710000</v>
      </c>
      <c r="BL14" s="488"/>
      <c r="BM14" s="358"/>
      <c r="BN14" s="358"/>
      <c r="BO14" s="370"/>
      <c r="BP14" s="487"/>
      <c r="BQ14" s="487"/>
      <c r="BR14" s="487"/>
      <c r="BS14" s="362">
        <f>SUM(Table14[[#This Row],[Jan-24]:[Dec-24]])</f>
        <v>1710000</v>
      </c>
      <c r="BT14" s="360"/>
      <c r="BU14" s="360"/>
      <c r="BV14" s="376"/>
      <c r="BW14" s="376"/>
      <c r="BX14" s="376"/>
      <c r="BY14" s="376"/>
      <c r="BZ14" s="376"/>
      <c r="CA14" s="376"/>
      <c r="CB14" s="376"/>
      <c r="CC14" s="376"/>
      <c r="CD14" s="414">
        <f>3600000/4</f>
        <v>900000</v>
      </c>
      <c r="CE14" s="414">
        <f>11639250/4</f>
        <v>2909812.5</v>
      </c>
      <c r="CF14" s="362">
        <f>SUM(Table14[[#This Row],[Jan-25]:[Dec-25]])</f>
        <v>3809812.5</v>
      </c>
      <c r="CG14" s="414"/>
      <c r="CH14" s="414">
        <f t="shared" si="7"/>
        <v>1740000</v>
      </c>
      <c r="CI14" s="414">
        <f>CI13</f>
        <v>635000</v>
      </c>
      <c r="CJ14" s="414">
        <f>SUM(Table14[[#This Row],[Jan-26]:[Mar-26]])</f>
        <v>2375000</v>
      </c>
      <c r="CK14" s="531">
        <f>IFERROR(SUM(Table14[[#This Row],[Oct-25]:[Dec-25]],Table14[[#This Row],[Jan-26]:[Mar-26]])/COUNT(Table14[[#This Row],[Oct-25]:[Dec-25]],Table14[[#This Row],[Jan-26]:[Mar-26]]),0)</f>
        <v>1546203.125</v>
      </c>
      <c r="CL14" s="367"/>
      <c r="CM14" s="414">
        <f>Table14[[#This Row],[YTD 2024]]+Table14[[#This Row],[YTD 2025]]+Table14[[#This Row],[YTD 2026]]</f>
        <v>7894812.5</v>
      </c>
      <c r="CN14" s="418">
        <v>3</v>
      </c>
      <c r="CO14" s="486">
        <f t="shared" si="1"/>
        <v>2631604.1666666665</v>
      </c>
      <c r="CP14" s="486"/>
      <c r="CQ14" s="489">
        <f>Table14[[#This Row],[Avg reagent Sales per month Actual]]-Table14[[#This Row],[Per Month Reagent Commitment]]</f>
        <v>1146851.1666666665</v>
      </c>
      <c r="CR14" s="373"/>
      <c r="CS14" s="367">
        <f>Table14[[#This Row],[On Track / (behind) (avg per month)]]/Table14[[#This Row],[Months]]</f>
        <v>382283.72222222219</v>
      </c>
      <c r="CT14" s="495"/>
      <c r="CU14" s="367">
        <f>Table14[[#This Row],[Total Reagent Sales till date Actual]]*Table14[[#This Row],[Margin %]]</f>
        <v>0</v>
      </c>
      <c r="CV14" s="371">
        <f>CT14</f>
        <v>0</v>
      </c>
      <c r="CW14" s="212">
        <f t="shared" si="3"/>
        <v>55663312.5</v>
      </c>
      <c r="CX14" s="212">
        <f t="shared" si="4"/>
        <v>0</v>
      </c>
      <c r="CY14" s="223">
        <f t="shared" si="2"/>
        <v>18188372</v>
      </c>
      <c r="CZ14" s="226">
        <f t="shared" si="5"/>
        <v>-18188372</v>
      </c>
      <c r="DA14" s="212" t="e">
        <f t="shared" si="6"/>
        <v>#DIV/0!</v>
      </c>
      <c r="DM14" s="244"/>
    </row>
    <row r="15" spans="1:117" s="101" customFormat="1" ht="15" customHeight="1" x14ac:dyDescent="0.3">
      <c r="A15" s="399" t="s">
        <v>296</v>
      </c>
      <c r="B15" s="629" t="s">
        <v>297</v>
      </c>
      <c r="C15" s="399" t="s">
        <v>49</v>
      </c>
      <c r="D15" s="415" t="s">
        <v>36</v>
      </c>
      <c r="E15" s="403">
        <v>15002128</v>
      </c>
      <c r="F15" s="403" t="s">
        <v>317</v>
      </c>
      <c r="G15" s="449">
        <v>3002000081</v>
      </c>
      <c r="H15" s="409"/>
      <c r="I15" s="416" t="s">
        <v>380</v>
      </c>
      <c r="J15" s="417"/>
      <c r="K15" s="417"/>
      <c r="L15" s="417" t="s">
        <v>381</v>
      </c>
      <c r="M15" s="417" t="s">
        <v>303</v>
      </c>
      <c r="N15" s="417"/>
      <c r="O15" s="416" t="s">
        <v>304</v>
      </c>
      <c r="P15" s="418" t="s">
        <v>15</v>
      </c>
      <c r="Q15" s="399" t="s">
        <v>305</v>
      </c>
      <c r="R15" s="399">
        <v>3020000084</v>
      </c>
      <c r="S15" s="415" t="s">
        <v>120</v>
      </c>
      <c r="T15" s="403"/>
      <c r="U15" s="403" t="s">
        <v>367</v>
      </c>
      <c r="V15" s="403" t="s">
        <v>368</v>
      </c>
      <c r="W15" s="350" t="s">
        <v>369</v>
      </c>
      <c r="X15" s="399" t="s">
        <v>370</v>
      </c>
      <c r="Y15" s="399"/>
      <c r="Z15" s="353">
        <v>4115000</v>
      </c>
      <c r="AA15" s="366">
        <v>24</v>
      </c>
      <c r="AB15" s="353">
        <v>283560</v>
      </c>
      <c r="AC15" s="423"/>
      <c r="AD15" s="424"/>
      <c r="AE15" s="424"/>
      <c r="AF15" s="424"/>
      <c r="AG15" s="424"/>
      <c r="AH15" s="424"/>
      <c r="AI15" s="409"/>
      <c r="AJ15" s="409"/>
      <c r="AK15" s="409"/>
      <c r="AL15" s="409"/>
      <c r="AM15" s="425"/>
      <c r="AN15" s="425"/>
      <c r="AO15" s="409"/>
      <c r="AP15" s="409"/>
      <c r="AQ15" s="409"/>
      <c r="AR15" s="409"/>
      <c r="AS15" s="409"/>
      <c r="AT15" s="409"/>
      <c r="AU15" s="409" t="e">
        <v>#N/A</v>
      </c>
      <c r="AV15" s="409"/>
      <c r="AW15" s="409"/>
      <c r="AX15" s="409"/>
      <c r="AY15" s="409"/>
      <c r="AZ15" s="409"/>
      <c r="BA15" s="409"/>
      <c r="BB15" s="409"/>
      <c r="BC15" s="598" t="s">
        <v>1493</v>
      </c>
      <c r="BD15" s="598" t="str">
        <f>Table14[[#This Row],[Comments by Business (Feb 2026)]]</f>
        <v>on Track</v>
      </c>
      <c r="BE15" s="424">
        <v>1</v>
      </c>
      <c r="BF15" s="415" t="s">
        <v>315</v>
      </c>
      <c r="BG15" s="363"/>
      <c r="BH15" s="363"/>
      <c r="BI15" s="363"/>
      <c r="BJ15" s="363"/>
      <c r="BK15" s="359"/>
      <c r="BL15" s="384"/>
      <c r="BM15" s="363"/>
      <c r="BN15" s="385">
        <v>1065505</v>
      </c>
      <c r="BO15" s="385">
        <v>0</v>
      </c>
      <c r="BP15" s="385">
        <v>78277</v>
      </c>
      <c r="BQ15" s="385">
        <v>1540420</v>
      </c>
      <c r="BR15" s="385">
        <v>561386</v>
      </c>
      <c r="BS15" s="362">
        <f>SUM(Table14[[#This Row],[Jan-24]:[Dec-24]])</f>
        <v>3245588</v>
      </c>
      <c r="BT15" s="414">
        <f>4892044/4</f>
        <v>1223011</v>
      </c>
      <c r="BU15" s="414">
        <f>5013144/4</f>
        <v>1253286</v>
      </c>
      <c r="BV15" s="414">
        <f>452331/4</f>
        <v>113082.75</v>
      </c>
      <c r="BW15" s="414">
        <f>477192/4</f>
        <v>119298</v>
      </c>
      <c r="BX15" s="414">
        <f>5945335/4</f>
        <v>1486333.75</v>
      </c>
      <c r="BY15" s="414">
        <f>1056100/4</f>
        <v>264025</v>
      </c>
      <c r="BZ15" s="414">
        <f>2496246/4</f>
        <v>624061.5</v>
      </c>
      <c r="CA15" s="414">
        <f>1965842/4</f>
        <v>491460.5</v>
      </c>
      <c r="CB15" s="414">
        <f>4843759/4</f>
        <v>1210939.75</v>
      </c>
      <c r="CC15" s="414">
        <f>2300360/4</f>
        <v>575090</v>
      </c>
      <c r="CD15" s="414">
        <f>5721267/4</f>
        <v>1430316.75</v>
      </c>
      <c r="CE15" s="414">
        <f>3836840/4</f>
        <v>959210</v>
      </c>
      <c r="CF15" s="362">
        <f>SUM(Table14[[#This Row],[Jan-25]:[Dec-25]])</f>
        <v>9750115</v>
      </c>
      <c r="CG15" s="414">
        <f>2753052/4</f>
        <v>688263</v>
      </c>
      <c r="CH15" s="414">
        <f>950980/4</f>
        <v>237745</v>
      </c>
      <c r="CI15" s="414">
        <f>501270/4</f>
        <v>125317.5</v>
      </c>
      <c r="CJ15" s="414">
        <f>SUM(Table14[[#This Row],[Jan-26]:[Mar-26]])</f>
        <v>1051325.5</v>
      </c>
      <c r="CK15" s="531">
        <f>IFERROR(SUM(Table14[[#This Row],[Oct-25]:[Dec-25]],Table14[[#This Row],[Jan-26]:[Mar-26]])/COUNT(Table14[[#This Row],[Oct-25]:[Dec-25]],Table14[[#This Row],[Jan-26]:[Mar-26]]),0)</f>
        <v>669323.70833333337</v>
      </c>
      <c r="CL15" s="363"/>
      <c r="CM15" s="414">
        <f>Table14[[#This Row],[YTD 2024]]+Table14[[#This Row],[YTD 2025]]+Table14[[#This Row],[YTD 2026]]</f>
        <v>14047028.5</v>
      </c>
      <c r="CN15" s="366">
        <v>19</v>
      </c>
      <c r="CO15" s="353">
        <f t="shared" si="1"/>
        <v>739317.28947368416</v>
      </c>
      <c r="CP15" s="353">
        <f>Table14[[#This Row],[Unit Cost]]-Table14[[#This Row],[Margin on Reagent sale]]</f>
        <v>-2206162.8250000002</v>
      </c>
      <c r="CQ15" s="372">
        <f>Table14[[#This Row],[Avg reagent Sales per month Actual]]-Table14[[#This Row],[Per Month Reagent Commitment]]</f>
        <v>455757.28947368416</v>
      </c>
      <c r="CR15" s="373" t="s">
        <v>316</v>
      </c>
      <c r="CS15" s="367">
        <f>Table14[[#This Row],[On Track / (behind) (avg per month)]]/Table14[[#This Row],[Months]]</f>
        <v>23987.22576177285</v>
      </c>
      <c r="CT15" s="368">
        <v>0.45</v>
      </c>
      <c r="CU15" s="367">
        <f>Table14[[#This Row],[Total Reagent Sales till date Actual]]*Table14[[#This Row],[Margin %]]</f>
        <v>6321162.8250000002</v>
      </c>
      <c r="CV15" s="442"/>
      <c r="CW15" s="212">
        <f t="shared" si="3"/>
        <v>24095653.5</v>
      </c>
      <c r="CX15" s="212">
        <f t="shared" si="4"/>
        <v>0</v>
      </c>
      <c r="CY15" s="223">
        <f t="shared" si="2"/>
        <v>4115000</v>
      </c>
      <c r="CZ15" s="226">
        <f t="shared" si="5"/>
        <v>-4115000</v>
      </c>
      <c r="DA15" s="212" t="e">
        <f t="shared" si="6"/>
        <v>#DIV/0!</v>
      </c>
      <c r="DB15" s="101" t="s">
        <v>382</v>
      </c>
      <c r="DC15" s="226"/>
      <c r="DM15" s="244"/>
    </row>
    <row r="16" spans="1:117" s="101" customFormat="1" ht="15" customHeight="1" x14ac:dyDescent="0.3">
      <c r="A16" s="399" t="s">
        <v>296</v>
      </c>
      <c r="B16" s="629" t="s">
        <v>297</v>
      </c>
      <c r="C16" s="403" t="s">
        <v>49</v>
      </c>
      <c r="D16" s="415" t="s">
        <v>36</v>
      </c>
      <c r="E16" s="403">
        <v>15002128</v>
      </c>
      <c r="F16" s="403" t="s">
        <v>317</v>
      </c>
      <c r="G16" s="449">
        <v>3002000076</v>
      </c>
      <c r="H16" s="666"/>
      <c r="I16" s="416" t="s">
        <v>383</v>
      </c>
      <c r="J16" s="443" t="s">
        <v>384</v>
      </c>
      <c r="K16" s="417"/>
      <c r="L16" s="417" t="s">
        <v>385</v>
      </c>
      <c r="M16" s="417" t="s">
        <v>303</v>
      </c>
      <c r="N16" s="417"/>
      <c r="O16" s="418" t="s">
        <v>304</v>
      </c>
      <c r="P16" s="418" t="s">
        <v>15</v>
      </c>
      <c r="Q16" s="399" t="s">
        <v>374</v>
      </c>
      <c r="R16" s="399">
        <v>3020000084</v>
      </c>
      <c r="S16" s="419" t="s">
        <v>121</v>
      </c>
      <c r="T16" s="403"/>
      <c r="U16" s="403" t="s">
        <v>367</v>
      </c>
      <c r="V16" s="403" t="s">
        <v>368</v>
      </c>
      <c r="W16" s="350" t="s">
        <v>369</v>
      </c>
      <c r="X16" s="399" t="s">
        <v>370</v>
      </c>
      <c r="Y16" s="399"/>
      <c r="Z16" s="486">
        <v>4115000</v>
      </c>
      <c r="AA16" s="418">
        <v>34</v>
      </c>
      <c r="AB16" s="486">
        <v>216625</v>
      </c>
      <c r="AC16" s="409"/>
      <c r="AD16" s="410"/>
      <c r="AE16" s="399"/>
      <c r="AF16" s="399"/>
      <c r="AG16" s="399"/>
      <c r="AH16" s="399"/>
      <c r="AI16" s="403"/>
      <c r="AJ16" s="403"/>
      <c r="AK16" s="403"/>
      <c r="AL16" s="403"/>
      <c r="AM16" s="420"/>
      <c r="AN16" s="420"/>
      <c r="AO16" s="403"/>
      <c r="AP16" s="403"/>
      <c r="AQ16" s="403"/>
      <c r="AR16" s="403"/>
      <c r="AS16" s="403"/>
      <c r="AT16" s="403"/>
      <c r="AU16" s="399"/>
      <c r="AV16" s="420"/>
      <c r="AW16" s="420"/>
      <c r="AX16" s="420"/>
      <c r="AY16" s="420"/>
      <c r="AZ16" s="420"/>
      <c r="BA16" s="370"/>
      <c r="BB16" s="358"/>
      <c r="BC16" s="598" t="s">
        <v>1493</v>
      </c>
      <c r="BD16" s="598" t="s">
        <v>1493</v>
      </c>
      <c r="BE16" s="375">
        <v>1</v>
      </c>
      <c r="BF16" s="415" t="s">
        <v>315</v>
      </c>
      <c r="BG16" s="370"/>
      <c r="BH16" s="370"/>
      <c r="BI16" s="370"/>
      <c r="BJ16" s="370"/>
      <c r="BK16" s="487"/>
      <c r="BL16" s="488"/>
      <c r="BM16" s="358"/>
      <c r="BN16" s="358"/>
      <c r="BO16" s="370"/>
      <c r="BP16" s="487"/>
      <c r="BQ16" s="487"/>
      <c r="BR16" s="487"/>
      <c r="BS16" s="362">
        <f>SUM(Table14[[#This Row],[Jan-24]:[Dec-24]])</f>
        <v>0</v>
      </c>
      <c r="BT16" s="414">
        <f>4892044/4</f>
        <v>1223011</v>
      </c>
      <c r="BU16" s="414">
        <f>5013144/4</f>
        <v>1253286</v>
      </c>
      <c r="BV16" s="414">
        <f>452331/4</f>
        <v>113082.75</v>
      </c>
      <c r="BW16" s="414">
        <f>477192/4</f>
        <v>119298</v>
      </c>
      <c r="BX16" s="414">
        <f>5945335/4</f>
        <v>1486333.75</v>
      </c>
      <c r="BY16" s="414">
        <v>264025</v>
      </c>
      <c r="BZ16" s="414">
        <f t="shared" ref="BZ16:BZ18" si="8">2496246/4</f>
        <v>624061.5</v>
      </c>
      <c r="CA16" s="414">
        <v>491461</v>
      </c>
      <c r="CB16" s="414">
        <v>1210940</v>
      </c>
      <c r="CC16" s="414">
        <f t="shared" ref="CC16:CC18" si="9">2300360/4</f>
        <v>575090</v>
      </c>
      <c r="CD16" s="414">
        <f t="shared" ref="CD16:CD18" si="10">5721267/4</f>
        <v>1430316.75</v>
      </c>
      <c r="CE16" s="414">
        <f t="shared" ref="CE16:CE18" si="11">3836840/4</f>
        <v>959210</v>
      </c>
      <c r="CF16" s="362">
        <f>SUM(Table14[[#This Row],[Jan-25]:[Dec-25]])</f>
        <v>9750115.75</v>
      </c>
      <c r="CG16" s="414">
        <f>CG15</f>
        <v>688263</v>
      </c>
      <c r="CH16" s="414">
        <f t="shared" ref="CH16:CH18" si="12">950980/4</f>
        <v>237745</v>
      </c>
      <c r="CI16" s="414">
        <f>CI15</f>
        <v>125317.5</v>
      </c>
      <c r="CJ16" s="414">
        <f>SUM(Table14[[#This Row],[Jan-26]:[Mar-26]])</f>
        <v>1051325.5</v>
      </c>
      <c r="CK16" s="531">
        <f>IFERROR(SUM(Table14[[#This Row],[Oct-25]:[Dec-25]],Table14[[#This Row],[Jan-26]:[Mar-26]])/COUNT(Table14[[#This Row],[Oct-25]:[Dec-25]],Table14[[#This Row],[Jan-26]:[Mar-26]]),0)</f>
        <v>669323.70833333337</v>
      </c>
      <c r="CL16" s="367"/>
      <c r="CM16" s="414">
        <f>Table14[[#This Row],[YTD 2024]]+Table14[[#This Row],[YTD 2025]]+Table14[[#This Row],[YTD 2026]]</f>
        <v>10801441.25</v>
      </c>
      <c r="CN16" s="418">
        <v>14</v>
      </c>
      <c r="CO16" s="353">
        <f t="shared" si="1"/>
        <v>771531.51785714284</v>
      </c>
      <c r="CP16" s="353">
        <f>Table14[[#This Row],[Unit Cost]]-Table14[[#This Row],[Margin on Reagent sale]]</f>
        <v>-745648.5625</v>
      </c>
      <c r="CQ16" s="489">
        <f>Table14[[#This Row],[Avg reagent Sales per month Actual]]-Table14[[#This Row],[Per Month Reagent Commitment]]</f>
        <v>554906.51785714284</v>
      </c>
      <c r="CR16" s="373" t="s">
        <v>316</v>
      </c>
      <c r="CS16" s="367">
        <f>Table14[[#This Row],[On Track / (behind) (avg per month)]]/Table14[[#This Row],[Months]]</f>
        <v>39636.179846938772</v>
      </c>
      <c r="CT16" s="368">
        <v>0.45</v>
      </c>
      <c r="CU16" s="367">
        <f>Table14[[#This Row],[Total Reagent Sales till date Actual]]*Table14[[#This Row],[Margin %]]</f>
        <v>4860648.5625</v>
      </c>
      <c r="CV16" s="371">
        <f t="shared" ref="CV16:CV45" si="13">CT16</f>
        <v>0.45</v>
      </c>
      <c r="CW16" s="212">
        <f t="shared" si="3"/>
        <v>24095653.5</v>
      </c>
      <c r="CX16" s="212">
        <f t="shared" si="4"/>
        <v>10843044.075000001</v>
      </c>
      <c r="CY16" s="223">
        <f t="shared" si="2"/>
        <v>4115000</v>
      </c>
      <c r="CZ16" s="226">
        <f t="shared" si="5"/>
        <v>6728044.0750000011</v>
      </c>
      <c r="DA16" s="212">
        <f t="shared" si="6"/>
        <v>13.662215054677807</v>
      </c>
      <c r="DM16" s="244"/>
    </row>
    <row r="17" spans="1:117" s="101" customFormat="1" ht="15" customHeight="1" x14ac:dyDescent="0.3">
      <c r="A17" s="399" t="s">
        <v>296</v>
      </c>
      <c r="B17" s="629" t="s">
        <v>297</v>
      </c>
      <c r="C17" s="403" t="s">
        <v>49</v>
      </c>
      <c r="D17" s="415" t="s">
        <v>36</v>
      </c>
      <c r="E17" s="403">
        <v>15002128</v>
      </c>
      <c r="F17" s="403" t="s">
        <v>317</v>
      </c>
      <c r="G17" s="449">
        <v>3002000073</v>
      </c>
      <c r="H17" s="666"/>
      <c r="I17" s="416" t="s">
        <v>386</v>
      </c>
      <c r="J17" s="443" t="s">
        <v>387</v>
      </c>
      <c r="K17" s="417"/>
      <c r="L17" s="417" t="s">
        <v>385</v>
      </c>
      <c r="M17" s="417" t="s">
        <v>303</v>
      </c>
      <c r="N17" s="417"/>
      <c r="O17" s="418" t="s">
        <v>304</v>
      </c>
      <c r="P17" s="418" t="s">
        <v>15</v>
      </c>
      <c r="Q17" s="399" t="s">
        <v>388</v>
      </c>
      <c r="R17" s="399">
        <v>3020000084</v>
      </c>
      <c r="S17" s="419" t="s">
        <v>122</v>
      </c>
      <c r="T17" s="403"/>
      <c r="U17" s="403" t="s">
        <v>367</v>
      </c>
      <c r="V17" s="403" t="s">
        <v>368</v>
      </c>
      <c r="W17" s="350" t="s">
        <v>369</v>
      </c>
      <c r="X17" s="399" t="s">
        <v>370</v>
      </c>
      <c r="Y17" s="399"/>
      <c r="Z17" s="486">
        <v>4115000</v>
      </c>
      <c r="AA17" s="418">
        <v>36</v>
      </c>
      <c r="AB17" s="486">
        <v>195417</v>
      </c>
      <c r="AC17" s="409"/>
      <c r="AD17" s="410"/>
      <c r="AE17" s="399"/>
      <c r="AF17" s="399"/>
      <c r="AG17" s="399"/>
      <c r="AH17" s="399"/>
      <c r="AI17" s="403"/>
      <c r="AJ17" s="403"/>
      <c r="AK17" s="403"/>
      <c r="AL17" s="403"/>
      <c r="AM17" s="420"/>
      <c r="AN17" s="420"/>
      <c r="AO17" s="403"/>
      <c r="AP17" s="403"/>
      <c r="AQ17" s="403"/>
      <c r="AR17" s="403"/>
      <c r="AS17" s="403"/>
      <c r="AT17" s="403"/>
      <c r="AU17" s="399"/>
      <c r="AV17" s="420"/>
      <c r="AW17" s="420"/>
      <c r="AX17" s="420"/>
      <c r="AY17" s="420"/>
      <c r="AZ17" s="420"/>
      <c r="BA17" s="370"/>
      <c r="BB17" s="358"/>
      <c r="BC17" s="598" t="s">
        <v>1493</v>
      </c>
      <c r="BD17" s="598" t="s">
        <v>1493</v>
      </c>
      <c r="BE17" s="375">
        <v>1</v>
      </c>
      <c r="BF17" s="415" t="s">
        <v>315</v>
      </c>
      <c r="BG17" s="370"/>
      <c r="BH17" s="370"/>
      <c r="BI17" s="370"/>
      <c r="BJ17" s="370"/>
      <c r="BK17" s="487"/>
      <c r="BL17" s="488"/>
      <c r="BM17" s="358"/>
      <c r="BN17" s="358"/>
      <c r="BO17" s="370"/>
      <c r="BP17" s="487"/>
      <c r="BQ17" s="487"/>
      <c r="BR17" s="487"/>
      <c r="BS17" s="362">
        <f>SUM(Table14[[#This Row],[Jan-24]:[Dec-24]])</f>
        <v>0</v>
      </c>
      <c r="BT17" s="414">
        <f>4892044/4</f>
        <v>1223011</v>
      </c>
      <c r="BU17" s="414">
        <f>5013144/4</f>
        <v>1253286</v>
      </c>
      <c r="BV17" s="414">
        <f>452331/4</f>
        <v>113082.75</v>
      </c>
      <c r="BW17" s="414">
        <f>477192/4</f>
        <v>119298</v>
      </c>
      <c r="BX17" s="414">
        <f>5945335/4</f>
        <v>1486333.75</v>
      </c>
      <c r="BY17" s="414">
        <v>264025</v>
      </c>
      <c r="BZ17" s="414">
        <f t="shared" si="8"/>
        <v>624061.5</v>
      </c>
      <c r="CA17" s="414">
        <v>491461</v>
      </c>
      <c r="CB17" s="414">
        <v>1210940</v>
      </c>
      <c r="CC17" s="414">
        <f t="shared" si="9"/>
        <v>575090</v>
      </c>
      <c r="CD17" s="414">
        <f t="shared" si="10"/>
        <v>1430316.75</v>
      </c>
      <c r="CE17" s="414">
        <f t="shared" si="11"/>
        <v>959210</v>
      </c>
      <c r="CF17" s="362">
        <f>SUM(Table14[[#This Row],[Jan-25]:[Dec-25]])</f>
        <v>9750115.75</v>
      </c>
      <c r="CG17" s="414">
        <f>CG16</f>
        <v>688263</v>
      </c>
      <c r="CH17" s="414">
        <f t="shared" si="12"/>
        <v>237745</v>
      </c>
      <c r="CI17" s="414">
        <f>CI16</f>
        <v>125317.5</v>
      </c>
      <c r="CJ17" s="414">
        <f>SUM(Table14[[#This Row],[Jan-26]:[Mar-26]])</f>
        <v>1051325.5</v>
      </c>
      <c r="CK17" s="531">
        <f>IFERROR(SUM(Table14[[#This Row],[Oct-25]:[Dec-25]],Table14[[#This Row],[Jan-26]:[Mar-26]])/COUNT(Table14[[#This Row],[Oct-25]:[Dec-25]],Table14[[#This Row],[Jan-26]:[Mar-26]]),0)</f>
        <v>669323.70833333337</v>
      </c>
      <c r="CL17" s="367"/>
      <c r="CM17" s="414">
        <f>Table14[[#This Row],[YTD 2024]]+Table14[[#This Row],[YTD 2025]]+Table14[[#This Row],[YTD 2026]]</f>
        <v>10801441.25</v>
      </c>
      <c r="CN17" s="418">
        <v>14</v>
      </c>
      <c r="CO17" s="353">
        <f t="shared" si="1"/>
        <v>771531.51785714284</v>
      </c>
      <c r="CP17" s="353">
        <f>Table14[[#This Row],[Unit Cost]]-Table14[[#This Row],[Margin on Reagent sale]]</f>
        <v>-745648.5625</v>
      </c>
      <c r="CQ17" s="489">
        <f>Table14[[#This Row],[Avg reagent Sales per month Actual]]-Table14[[#This Row],[Per Month Reagent Commitment]]</f>
        <v>576114.51785714284</v>
      </c>
      <c r="CR17" s="403" t="s">
        <v>316</v>
      </c>
      <c r="CS17" s="367">
        <f>Table14[[#This Row],[On Track / (behind) (avg per month)]]/Table14[[#This Row],[Months]]</f>
        <v>41151.036989795917</v>
      </c>
      <c r="CT17" s="368">
        <v>0.45</v>
      </c>
      <c r="CU17" s="367">
        <f>Table14[[#This Row],[Total Reagent Sales till date Actual]]*Table14[[#This Row],[Margin %]]</f>
        <v>4860648.5625</v>
      </c>
      <c r="CV17" s="371">
        <f t="shared" si="13"/>
        <v>0.45</v>
      </c>
      <c r="CW17" s="212">
        <f t="shared" si="3"/>
        <v>24095653.5</v>
      </c>
      <c r="CX17" s="212">
        <f t="shared" si="4"/>
        <v>10843044.075000001</v>
      </c>
      <c r="CY17" s="223">
        <f t="shared" si="2"/>
        <v>4115000</v>
      </c>
      <c r="CZ17" s="226">
        <f t="shared" si="5"/>
        <v>6728044.0750000011</v>
      </c>
      <c r="DA17" s="212">
        <f t="shared" si="6"/>
        <v>13.662215054677807</v>
      </c>
      <c r="DM17" s="244"/>
    </row>
    <row r="18" spans="1:117" s="101" customFormat="1" ht="15" customHeight="1" x14ac:dyDescent="0.3">
      <c r="A18" s="399" t="s">
        <v>296</v>
      </c>
      <c r="B18" s="629" t="s">
        <v>297</v>
      </c>
      <c r="C18" s="403" t="s">
        <v>49</v>
      </c>
      <c r="D18" s="415" t="s">
        <v>36</v>
      </c>
      <c r="E18" s="403">
        <v>15002128</v>
      </c>
      <c r="F18" s="403" t="s">
        <v>317</v>
      </c>
      <c r="G18" s="449" t="s">
        <v>389</v>
      </c>
      <c r="H18" s="666"/>
      <c r="I18" s="416" t="s">
        <v>390</v>
      </c>
      <c r="J18" s="443" t="s">
        <v>384</v>
      </c>
      <c r="K18" s="417"/>
      <c r="L18" s="417" t="s">
        <v>385</v>
      </c>
      <c r="M18" s="417" t="s">
        <v>303</v>
      </c>
      <c r="N18" s="417"/>
      <c r="O18" s="418" t="s">
        <v>304</v>
      </c>
      <c r="P18" s="418" t="s">
        <v>15</v>
      </c>
      <c r="Q18" s="399" t="s">
        <v>376</v>
      </c>
      <c r="R18" s="399">
        <v>3020000084</v>
      </c>
      <c r="S18" s="419" t="s">
        <v>124</v>
      </c>
      <c r="T18" s="403"/>
      <c r="U18" s="403" t="s">
        <v>367</v>
      </c>
      <c r="V18" s="403" t="s">
        <v>368</v>
      </c>
      <c r="W18" s="350" t="s">
        <v>369</v>
      </c>
      <c r="X18" s="399" t="s">
        <v>370</v>
      </c>
      <c r="Y18" s="399"/>
      <c r="Z18" s="486">
        <v>4115000</v>
      </c>
      <c r="AA18" s="418">
        <v>34</v>
      </c>
      <c r="AB18" s="486">
        <v>220363</v>
      </c>
      <c r="AC18" s="409"/>
      <c r="AD18" s="410"/>
      <c r="AE18" s="399"/>
      <c r="AF18" s="399"/>
      <c r="AG18" s="399"/>
      <c r="AH18" s="399"/>
      <c r="AI18" s="403"/>
      <c r="AJ18" s="403"/>
      <c r="AK18" s="403"/>
      <c r="AL18" s="403"/>
      <c r="AM18" s="420"/>
      <c r="AN18" s="420"/>
      <c r="AO18" s="403"/>
      <c r="AP18" s="403"/>
      <c r="AQ18" s="403"/>
      <c r="AR18" s="403"/>
      <c r="AS18" s="403"/>
      <c r="AT18" s="403"/>
      <c r="AU18" s="399"/>
      <c r="AV18" s="420"/>
      <c r="AW18" s="420"/>
      <c r="AX18" s="420"/>
      <c r="AY18" s="420"/>
      <c r="AZ18" s="420"/>
      <c r="BA18" s="370"/>
      <c r="BB18" s="358"/>
      <c r="BC18" s="598" t="s">
        <v>1493</v>
      </c>
      <c r="BD18" s="598" t="s">
        <v>1493</v>
      </c>
      <c r="BE18" s="375">
        <v>1</v>
      </c>
      <c r="BF18" s="415" t="s">
        <v>315</v>
      </c>
      <c r="BG18" s="370"/>
      <c r="BH18" s="370"/>
      <c r="BI18" s="370"/>
      <c r="BJ18" s="370"/>
      <c r="BK18" s="487"/>
      <c r="BL18" s="488"/>
      <c r="BM18" s="358"/>
      <c r="BN18" s="358"/>
      <c r="BO18" s="370"/>
      <c r="BP18" s="487"/>
      <c r="BQ18" s="487"/>
      <c r="BR18" s="487"/>
      <c r="BS18" s="362">
        <f>SUM(Table14[[#This Row],[Jan-24]:[Dec-24]])</f>
        <v>0</v>
      </c>
      <c r="BT18" s="414">
        <f>4892044/4</f>
        <v>1223011</v>
      </c>
      <c r="BU18" s="414">
        <f>5013144/4</f>
        <v>1253286</v>
      </c>
      <c r="BV18" s="414">
        <f>452331/4</f>
        <v>113082.75</v>
      </c>
      <c r="BW18" s="414">
        <f>477192/4</f>
        <v>119298</v>
      </c>
      <c r="BX18" s="414">
        <f>5945335/4</f>
        <v>1486333.75</v>
      </c>
      <c r="BY18" s="414">
        <v>264025</v>
      </c>
      <c r="BZ18" s="414">
        <f t="shared" si="8"/>
        <v>624061.5</v>
      </c>
      <c r="CA18" s="414">
        <v>491461</v>
      </c>
      <c r="CB18" s="414">
        <v>1210940</v>
      </c>
      <c r="CC18" s="414">
        <f t="shared" si="9"/>
        <v>575090</v>
      </c>
      <c r="CD18" s="414">
        <f t="shared" si="10"/>
        <v>1430316.75</v>
      </c>
      <c r="CE18" s="414">
        <f t="shared" si="11"/>
        <v>959210</v>
      </c>
      <c r="CF18" s="362">
        <f>SUM(Table14[[#This Row],[Jan-25]:[Dec-25]])</f>
        <v>9750115.75</v>
      </c>
      <c r="CG18" s="414">
        <f>CG17</f>
        <v>688263</v>
      </c>
      <c r="CH18" s="414">
        <f t="shared" si="12"/>
        <v>237745</v>
      </c>
      <c r="CI18" s="414">
        <f>CI17</f>
        <v>125317.5</v>
      </c>
      <c r="CJ18" s="414">
        <f>SUM(Table14[[#This Row],[Jan-26]:[Mar-26]])</f>
        <v>1051325.5</v>
      </c>
      <c r="CK18" s="531">
        <f>IFERROR(SUM(Table14[[#This Row],[Oct-25]:[Dec-25]],Table14[[#This Row],[Jan-26]:[Mar-26]])/COUNT(Table14[[#This Row],[Oct-25]:[Dec-25]],Table14[[#This Row],[Jan-26]:[Mar-26]]),0)</f>
        <v>669323.70833333337</v>
      </c>
      <c r="CL18" s="367"/>
      <c r="CM18" s="414">
        <f>Table14[[#This Row],[YTD 2024]]+Table14[[#This Row],[YTD 2025]]+Table14[[#This Row],[YTD 2026]]</f>
        <v>10801441.25</v>
      </c>
      <c r="CN18" s="418">
        <v>14</v>
      </c>
      <c r="CO18" s="353">
        <f t="shared" si="1"/>
        <v>771531.51785714284</v>
      </c>
      <c r="CP18" s="353">
        <f>Table14[[#This Row],[Unit Cost]]-Table14[[#This Row],[Margin on Reagent sale]]</f>
        <v>-745648.5625</v>
      </c>
      <c r="CQ18" s="489">
        <f>Table14[[#This Row],[Avg reagent Sales per month Actual]]-Table14[[#This Row],[Per Month Reagent Commitment]]</f>
        <v>551168.51785714284</v>
      </c>
      <c r="CR18" s="403" t="s">
        <v>316</v>
      </c>
      <c r="CS18" s="367">
        <f>Table14[[#This Row],[On Track / (behind) (avg per month)]]/Table14[[#This Row],[Months]]</f>
        <v>39369.179846938772</v>
      </c>
      <c r="CT18" s="368">
        <v>0.45</v>
      </c>
      <c r="CU18" s="367">
        <f>Table14[[#This Row],[Total Reagent Sales till date Actual]]*Table14[[#This Row],[Margin %]]</f>
        <v>4860648.5625</v>
      </c>
      <c r="CV18" s="371">
        <f t="shared" si="13"/>
        <v>0.45</v>
      </c>
      <c r="CW18" s="212">
        <f t="shared" si="3"/>
        <v>24095653.5</v>
      </c>
      <c r="CX18" s="212">
        <f t="shared" si="4"/>
        <v>10843044.075000001</v>
      </c>
      <c r="CY18" s="223">
        <f t="shared" si="2"/>
        <v>4115000</v>
      </c>
      <c r="CZ18" s="226">
        <f t="shared" si="5"/>
        <v>6728044.0750000011</v>
      </c>
      <c r="DA18" s="212">
        <f t="shared" si="6"/>
        <v>13.662215054677807</v>
      </c>
      <c r="DD18" s="101" t="s">
        <v>391</v>
      </c>
      <c r="DM18" s="244"/>
    </row>
    <row r="19" spans="1:117" s="101" customFormat="1" ht="15" customHeight="1" x14ac:dyDescent="0.3">
      <c r="A19" s="399" t="s">
        <v>296</v>
      </c>
      <c r="B19" s="629" t="s">
        <v>297</v>
      </c>
      <c r="C19" s="399" t="s">
        <v>22</v>
      </c>
      <c r="D19" s="415" t="s">
        <v>33</v>
      </c>
      <c r="E19" s="403">
        <v>15001967</v>
      </c>
      <c r="F19" s="403" t="s">
        <v>392</v>
      </c>
      <c r="G19" s="449">
        <v>3002000097</v>
      </c>
      <c r="H19" s="666"/>
      <c r="I19" s="416">
        <v>123213</v>
      </c>
      <c r="J19" s="417"/>
      <c r="K19" s="417"/>
      <c r="L19" s="417"/>
      <c r="M19" s="417"/>
      <c r="N19" s="417"/>
      <c r="O19" s="418" t="s">
        <v>304</v>
      </c>
      <c r="P19" s="418" t="s">
        <v>15</v>
      </c>
      <c r="Q19" s="399" t="s">
        <v>305</v>
      </c>
      <c r="R19" s="399">
        <v>3020000084</v>
      </c>
      <c r="S19" s="419" t="s">
        <v>120</v>
      </c>
      <c r="T19" s="403"/>
      <c r="U19" s="403" t="s">
        <v>367</v>
      </c>
      <c r="V19" s="403" t="s">
        <v>368</v>
      </c>
      <c r="W19" s="350" t="s">
        <v>369</v>
      </c>
      <c r="X19" s="399" t="s">
        <v>370</v>
      </c>
      <c r="Y19" s="399"/>
      <c r="Z19" s="353">
        <v>1071000</v>
      </c>
      <c r="AA19" s="418">
        <v>25</v>
      </c>
      <c r="AB19" s="353">
        <v>98797</v>
      </c>
      <c r="AC19" s="409"/>
      <c r="AD19" s="410"/>
      <c r="AE19" s="399"/>
      <c r="AF19" s="399"/>
      <c r="AG19" s="399"/>
      <c r="AH19" s="399"/>
      <c r="AI19" s="403"/>
      <c r="AJ19" s="403"/>
      <c r="AK19" s="403"/>
      <c r="AL19" s="403"/>
      <c r="AM19" s="420"/>
      <c r="AN19" s="420"/>
      <c r="AO19" s="403"/>
      <c r="AP19" s="403"/>
      <c r="AQ19" s="403"/>
      <c r="AR19" s="403"/>
      <c r="AS19" s="403"/>
      <c r="AT19" s="403"/>
      <c r="AU19" s="399" t="e">
        <v>#N/A</v>
      </c>
      <c r="AV19" s="420"/>
      <c r="AW19" s="420"/>
      <c r="AX19" s="420"/>
      <c r="AY19" s="420"/>
      <c r="AZ19" s="420"/>
      <c r="BA19" s="370"/>
      <c r="BB19" s="370"/>
      <c r="BC19" s="597" t="s">
        <v>1493</v>
      </c>
      <c r="BD19" s="597" t="s">
        <v>1569</v>
      </c>
      <c r="BE19" s="375">
        <v>1</v>
      </c>
      <c r="BF19" s="419" t="s">
        <v>315</v>
      </c>
      <c r="BG19" s="370"/>
      <c r="BH19" s="370"/>
      <c r="BI19" s="370"/>
      <c r="BJ19" s="370"/>
      <c r="BK19" s="370"/>
      <c r="BL19" s="374"/>
      <c r="BM19" s="358"/>
      <c r="BN19" s="358"/>
      <c r="BO19" s="370"/>
      <c r="BP19" s="370">
        <v>99750</v>
      </c>
      <c r="BQ19" s="370">
        <v>0</v>
      </c>
      <c r="BR19" s="370">
        <v>228000</v>
      </c>
      <c r="BS19" s="362">
        <f>SUM(Table14[[#This Row],[Jan-24]:[Dec-24]])</f>
        <v>327750</v>
      </c>
      <c r="BT19" s="362">
        <v>0</v>
      </c>
      <c r="BU19" s="414">
        <v>332500</v>
      </c>
      <c r="BV19" s="414">
        <v>0</v>
      </c>
      <c r="BW19" s="414">
        <v>0</v>
      </c>
      <c r="BX19" s="414">
        <f>380000/4</f>
        <v>95000</v>
      </c>
      <c r="BY19" s="414">
        <f>304000/4</f>
        <v>76000</v>
      </c>
      <c r="BZ19" s="414">
        <f>247000/4</f>
        <v>61750</v>
      </c>
      <c r="CA19" s="414">
        <f>114000/4</f>
        <v>28500</v>
      </c>
      <c r="CB19" s="414">
        <f>380000/4</f>
        <v>95000</v>
      </c>
      <c r="CC19" s="414">
        <f>304000/4</f>
        <v>76000</v>
      </c>
      <c r="CD19" s="414">
        <f>532000/4</f>
        <v>133000</v>
      </c>
      <c r="CE19" s="414">
        <f>608000/4</f>
        <v>152000</v>
      </c>
      <c r="CF19" s="362">
        <f>SUM(Table14[[#This Row],[Jan-25]:[Dec-25]])</f>
        <v>1049750</v>
      </c>
      <c r="CG19" s="414">
        <v>0</v>
      </c>
      <c r="CH19" s="414">
        <f>1083000/4</f>
        <v>270750</v>
      </c>
      <c r="CI19" s="414">
        <f>418000/4</f>
        <v>104500</v>
      </c>
      <c r="CJ19" s="414">
        <f>SUM(Table14[[#This Row],[Jan-26]:[Mar-26]])</f>
        <v>375250</v>
      </c>
      <c r="CK19" s="531">
        <f>IFERROR(SUM(Table14[[#This Row],[Oct-25]:[Dec-25]],Table14[[#This Row],[Jan-26]:[Mar-26]])/COUNT(Table14[[#This Row],[Oct-25]:[Dec-25]],Table14[[#This Row],[Jan-26]:[Mar-26]]),0)</f>
        <v>122708.33333333333</v>
      </c>
      <c r="CL19" s="367"/>
      <c r="CM19" s="414">
        <f>Table14[[#This Row],[YTD 2024]]+Table14[[#This Row],[YTD 2025]]+Table14[[#This Row],[YTD 2026]]</f>
        <v>1752750</v>
      </c>
      <c r="CN19" s="418">
        <v>18</v>
      </c>
      <c r="CO19" s="353">
        <f t="shared" si="1"/>
        <v>97375</v>
      </c>
      <c r="CP19" s="353">
        <f>Table14[[#This Row],[Unit Cost]]-Table14[[#This Row],[Margin on Reagent sale]]</f>
        <v>369900</v>
      </c>
      <c r="CQ19" s="367">
        <f>Table14[[#This Row],[Avg reagent Sales per month Actual]]-Table14[[#This Row],[Per Month Reagent Commitment]]</f>
        <v>-1422</v>
      </c>
      <c r="CR19" s="373" t="s">
        <v>343</v>
      </c>
      <c r="CS19" s="367">
        <f>Table14[[#This Row],[On Track / (behind) (avg per month)]]/Table14[[#This Row],[Months]]</f>
        <v>-79</v>
      </c>
      <c r="CT19" s="368">
        <v>0.4</v>
      </c>
      <c r="CU19" s="367">
        <f>Table14[[#This Row],[Total Reagent Sales till date Actual]]*Table14[[#This Row],[Margin %]]</f>
        <v>701100</v>
      </c>
      <c r="CV19" s="371">
        <f t="shared" si="13"/>
        <v>0.4</v>
      </c>
      <c r="CW19" s="212">
        <f t="shared" si="3"/>
        <v>4417500</v>
      </c>
      <c r="CX19" s="212">
        <f t="shared" si="4"/>
        <v>1767000</v>
      </c>
      <c r="CY19" s="223">
        <f t="shared" si="2"/>
        <v>1071000</v>
      </c>
      <c r="CZ19" s="226">
        <f t="shared" si="5"/>
        <v>696000</v>
      </c>
      <c r="DA19" s="212">
        <f t="shared" si="6"/>
        <v>21.820033955857383</v>
      </c>
      <c r="DM19" s="244"/>
    </row>
    <row r="20" spans="1:117" s="101" customFormat="1" ht="15" customHeight="1" x14ac:dyDescent="0.3">
      <c r="A20" s="399" t="s">
        <v>296</v>
      </c>
      <c r="B20" s="629" t="s">
        <v>297</v>
      </c>
      <c r="C20" s="399" t="s">
        <v>22</v>
      </c>
      <c r="D20" s="415" t="s">
        <v>33</v>
      </c>
      <c r="E20" s="403">
        <v>15001967</v>
      </c>
      <c r="F20" s="403" t="s">
        <v>392</v>
      </c>
      <c r="G20" s="449">
        <v>3002000064</v>
      </c>
      <c r="H20" s="666"/>
      <c r="I20" s="416">
        <v>121497</v>
      </c>
      <c r="J20" s="417"/>
      <c r="K20" s="417"/>
      <c r="L20" s="417" t="s">
        <v>394</v>
      </c>
      <c r="M20" s="417"/>
      <c r="N20" s="417"/>
      <c r="O20" s="418" t="s">
        <v>304</v>
      </c>
      <c r="P20" s="418" t="s">
        <v>15</v>
      </c>
      <c r="Q20" s="399" t="s">
        <v>374</v>
      </c>
      <c r="R20" s="399">
        <v>3020000084</v>
      </c>
      <c r="S20" s="419" t="s">
        <v>121</v>
      </c>
      <c r="T20" s="403"/>
      <c r="U20" s="403" t="s">
        <v>367</v>
      </c>
      <c r="V20" s="403" t="s">
        <v>368</v>
      </c>
      <c r="W20" s="350" t="s">
        <v>369</v>
      </c>
      <c r="X20" s="399" t="s">
        <v>370</v>
      </c>
      <c r="Y20" s="399"/>
      <c r="Z20" s="353">
        <v>1065000</v>
      </c>
      <c r="AA20" s="418">
        <v>36</v>
      </c>
      <c r="AB20" s="353">
        <v>88427</v>
      </c>
      <c r="AC20" s="409"/>
      <c r="AD20" s="410"/>
      <c r="AE20" s="399"/>
      <c r="AF20" s="399"/>
      <c r="AG20" s="399"/>
      <c r="AH20" s="399"/>
      <c r="AI20" s="403"/>
      <c r="AJ20" s="403"/>
      <c r="AK20" s="403"/>
      <c r="AL20" s="403"/>
      <c r="AM20" s="420"/>
      <c r="AN20" s="420"/>
      <c r="AO20" s="403"/>
      <c r="AP20" s="403"/>
      <c r="AQ20" s="403"/>
      <c r="AR20" s="403"/>
      <c r="AS20" s="403"/>
      <c r="AT20" s="403"/>
      <c r="AU20" s="399" t="e">
        <v>#N/A</v>
      </c>
      <c r="AV20" s="420"/>
      <c r="AW20" s="420"/>
      <c r="AX20" s="420"/>
      <c r="AY20" s="420"/>
      <c r="AZ20" s="420"/>
      <c r="BA20" s="370"/>
      <c r="BB20" s="370"/>
      <c r="BC20" s="597" t="s">
        <v>1493</v>
      </c>
      <c r="BD20" s="597" t="s">
        <v>1569</v>
      </c>
      <c r="BE20" s="375">
        <v>1</v>
      </c>
      <c r="BF20" s="419" t="s">
        <v>315</v>
      </c>
      <c r="BG20" s="370"/>
      <c r="BH20" s="370"/>
      <c r="BI20" s="370"/>
      <c r="BJ20" s="370"/>
      <c r="BK20" s="370"/>
      <c r="BL20" s="374"/>
      <c r="BM20" s="358"/>
      <c r="BN20" s="358"/>
      <c r="BO20" s="370"/>
      <c r="BP20" s="370">
        <v>99750</v>
      </c>
      <c r="BQ20" s="370">
        <v>0</v>
      </c>
      <c r="BR20" s="370">
        <v>228000</v>
      </c>
      <c r="BS20" s="362">
        <f>SUM(Table14[[#This Row],[Jan-24]:[Dec-24]])</f>
        <v>327750</v>
      </c>
      <c r="BT20" s="362">
        <v>0</v>
      </c>
      <c r="BU20" s="414">
        <v>332500</v>
      </c>
      <c r="BV20" s="414">
        <v>0</v>
      </c>
      <c r="BW20" s="414">
        <v>0</v>
      </c>
      <c r="BX20" s="414">
        <f>380000/4</f>
        <v>95000</v>
      </c>
      <c r="BY20" s="414">
        <f>304000/4</f>
        <v>76000</v>
      </c>
      <c r="BZ20" s="414">
        <f>247000/4</f>
        <v>61750</v>
      </c>
      <c r="CA20" s="414">
        <f>114000/4</f>
        <v>28500</v>
      </c>
      <c r="CB20" s="414">
        <f>380000/4</f>
        <v>95000</v>
      </c>
      <c r="CC20" s="414">
        <f>304000/4</f>
        <v>76000</v>
      </c>
      <c r="CD20" s="414">
        <f>532000/4</f>
        <v>133000</v>
      </c>
      <c r="CE20" s="414">
        <f>608000/4</f>
        <v>152000</v>
      </c>
      <c r="CF20" s="362">
        <f>SUM(Table14[[#This Row],[Jan-25]:[Dec-25]])</f>
        <v>1049750</v>
      </c>
      <c r="CG20" s="414">
        <v>0</v>
      </c>
      <c r="CH20" s="414">
        <f>1083000/4</f>
        <v>270750</v>
      </c>
      <c r="CI20" s="414">
        <f>CI19</f>
        <v>104500</v>
      </c>
      <c r="CJ20" s="414">
        <f>SUM(Table14[[#This Row],[Jan-26]:[Mar-26]])</f>
        <v>375250</v>
      </c>
      <c r="CK20" s="531">
        <f>IFERROR(SUM(Table14[[#This Row],[Oct-25]:[Dec-25]],Table14[[#This Row],[Jan-26]:[Mar-26]])/COUNT(Table14[[#This Row],[Oct-25]:[Dec-25]],Table14[[#This Row],[Jan-26]:[Mar-26]]),0)</f>
        <v>122708.33333333333</v>
      </c>
      <c r="CL20" s="367"/>
      <c r="CM20" s="414">
        <f>Table14[[#This Row],[YTD 2024]]+Table14[[#This Row],[YTD 2025]]+Table14[[#This Row],[YTD 2026]]</f>
        <v>1752750</v>
      </c>
      <c r="CN20" s="418">
        <v>18</v>
      </c>
      <c r="CO20" s="353">
        <f t="shared" si="1"/>
        <v>97375</v>
      </c>
      <c r="CP20" s="353">
        <f>Table14[[#This Row],[Unit Cost]]-Table14[[#This Row],[Margin on Reagent sale]]</f>
        <v>363900</v>
      </c>
      <c r="CQ20" s="367">
        <f>Table14[[#This Row],[Avg reagent Sales per month Actual]]-Table14[[#This Row],[Per Month Reagent Commitment]]</f>
        <v>8948</v>
      </c>
      <c r="CR20" s="373" t="s">
        <v>343</v>
      </c>
      <c r="CS20" s="367">
        <f>Table14[[#This Row],[On Track / (behind) (avg per month)]]/Table14[[#This Row],[Months]]</f>
        <v>497.11111111111109</v>
      </c>
      <c r="CT20" s="368">
        <v>0.4</v>
      </c>
      <c r="CU20" s="367">
        <f>Table14[[#This Row],[Total Reagent Sales till date Actual]]*Table14[[#This Row],[Margin %]]</f>
        <v>701100</v>
      </c>
      <c r="CV20" s="371">
        <f t="shared" si="13"/>
        <v>0.4</v>
      </c>
      <c r="CW20" s="212">
        <f t="shared" si="3"/>
        <v>4417500</v>
      </c>
      <c r="CX20" s="212">
        <f t="shared" si="4"/>
        <v>1767000</v>
      </c>
      <c r="CY20" s="223">
        <f t="shared" si="2"/>
        <v>1065000</v>
      </c>
      <c r="CZ20" s="226">
        <f t="shared" si="5"/>
        <v>702000</v>
      </c>
      <c r="DA20" s="212">
        <f t="shared" si="6"/>
        <v>21.697792869269946</v>
      </c>
      <c r="DB20" s="101" t="s">
        <v>395</v>
      </c>
      <c r="DC20" s="226"/>
      <c r="DM20" s="244"/>
    </row>
    <row r="21" spans="1:117" s="101" customFormat="1" ht="15" customHeight="1" x14ac:dyDescent="0.3">
      <c r="A21" s="399" t="s">
        <v>296</v>
      </c>
      <c r="B21" s="629" t="s">
        <v>297</v>
      </c>
      <c r="C21" s="399" t="s">
        <v>22</v>
      </c>
      <c r="D21" s="415" t="s">
        <v>33</v>
      </c>
      <c r="E21" s="403">
        <v>15001967</v>
      </c>
      <c r="F21" s="403" t="s">
        <v>392</v>
      </c>
      <c r="G21" s="449" t="s">
        <v>396</v>
      </c>
      <c r="H21" s="666"/>
      <c r="I21" s="416">
        <v>123120</v>
      </c>
      <c r="J21" s="417"/>
      <c r="K21" s="417"/>
      <c r="L21" s="417"/>
      <c r="M21" s="417"/>
      <c r="N21" s="417"/>
      <c r="O21" s="418" t="s">
        <v>304</v>
      </c>
      <c r="P21" s="418" t="s">
        <v>15</v>
      </c>
      <c r="Q21" s="399" t="s">
        <v>379</v>
      </c>
      <c r="R21" s="399">
        <v>3020000084</v>
      </c>
      <c r="S21" s="419" t="s">
        <v>123</v>
      </c>
      <c r="T21" s="403"/>
      <c r="U21" s="403" t="s">
        <v>367</v>
      </c>
      <c r="V21" s="403" t="s">
        <v>368</v>
      </c>
      <c r="W21" s="350" t="s">
        <v>369</v>
      </c>
      <c r="X21" s="399" t="s">
        <v>370</v>
      </c>
      <c r="Y21" s="399"/>
      <c r="Z21" s="353">
        <v>1055000</v>
      </c>
      <c r="AA21" s="418">
        <v>36</v>
      </c>
      <c r="AB21" s="353">
        <v>88427</v>
      </c>
      <c r="AC21" s="409"/>
      <c r="AD21" s="410"/>
      <c r="AE21" s="399"/>
      <c r="AF21" s="399"/>
      <c r="AG21" s="399"/>
      <c r="AH21" s="399"/>
      <c r="AI21" s="403"/>
      <c r="AJ21" s="403"/>
      <c r="AK21" s="403"/>
      <c r="AL21" s="403"/>
      <c r="AM21" s="420"/>
      <c r="AN21" s="420"/>
      <c r="AO21" s="403"/>
      <c r="AP21" s="403"/>
      <c r="AQ21" s="403"/>
      <c r="AR21" s="403"/>
      <c r="AS21" s="403"/>
      <c r="AT21" s="403"/>
      <c r="AU21" s="399" t="e">
        <v>#N/A</v>
      </c>
      <c r="AV21" s="420"/>
      <c r="AW21" s="420"/>
      <c r="AX21" s="420"/>
      <c r="AY21" s="420"/>
      <c r="AZ21" s="420"/>
      <c r="BA21" s="370"/>
      <c r="BB21" s="370"/>
      <c r="BC21" s="597" t="s">
        <v>1493</v>
      </c>
      <c r="BD21" s="597" t="s">
        <v>1569</v>
      </c>
      <c r="BE21" s="375">
        <v>1</v>
      </c>
      <c r="BF21" s="419" t="s">
        <v>315</v>
      </c>
      <c r="BG21" s="370"/>
      <c r="BH21" s="370"/>
      <c r="BI21" s="370"/>
      <c r="BJ21" s="370"/>
      <c r="BK21" s="370"/>
      <c r="BL21" s="374"/>
      <c r="BM21" s="358"/>
      <c r="BN21" s="358"/>
      <c r="BO21" s="370"/>
      <c r="BP21" s="370">
        <v>99750</v>
      </c>
      <c r="BQ21" s="370">
        <v>0</v>
      </c>
      <c r="BR21" s="370">
        <v>228000</v>
      </c>
      <c r="BS21" s="362">
        <f>SUM(Table14[[#This Row],[Jan-24]:[Dec-24]])</f>
        <v>327750</v>
      </c>
      <c r="BT21" s="362">
        <v>0</v>
      </c>
      <c r="BU21" s="414">
        <v>332500</v>
      </c>
      <c r="BV21" s="414">
        <v>0</v>
      </c>
      <c r="BW21" s="414">
        <v>0</v>
      </c>
      <c r="BX21" s="414">
        <f>380000/4</f>
        <v>95000</v>
      </c>
      <c r="BY21" s="414">
        <f>304000/4</f>
        <v>76000</v>
      </c>
      <c r="BZ21" s="414">
        <f>247000/4</f>
        <v>61750</v>
      </c>
      <c r="CA21" s="414">
        <f>114000/4</f>
        <v>28500</v>
      </c>
      <c r="CB21" s="414">
        <f>380000/4</f>
        <v>95000</v>
      </c>
      <c r="CC21" s="414">
        <f>304000/4</f>
        <v>76000</v>
      </c>
      <c r="CD21" s="414">
        <f>532000/4</f>
        <v>133000</v>
      </c>
      <c r="CE21" s="414">
        <v>152000</v>
      </c>
      <c r="CF21" s="362">
        <f>SUM(Table14[[#This Row],[Jan-25]:[Dec-25]])</f>
        <v>1049750</v>
      </c>
      <c r="CG21" s="414">
        <v>0</v>
      </c>
      <c r="CH21" s="414">
        <v>270750</v>
      </c>
      <c r="CI21" s="414">
        <f>CI20</f>
        <v>104500</v>
      </c>
      <c r="CJ21" s="414">
        <f>SUM(Table14[[#This Row],[Jan-26]:[Mar-26]])</f>
        <v>375250</v>
      </c>
      <c r="CK21" s="531">
        <f>IFERROR(SUM(Table14[[#This Row],[Oct-25]:[Dec-25]],Table14[[#This Row],[Jan-26]:[Mar-26]])/COUNT(Table14[[#This Row],[Oct-25]:[Dec-25]],Table14[[#This Row],[Jan-26]:[Mar-26]]),0)</f>
        <v>122708.33333333333</v>
      </c>
      <c r="CL21" s="367"/>
      <c r="CM21" s="414">
        <f>Table14[[#This Row],[YTD 2024]]+Table14[[#This Row],[YTD 2025]]+Table14[[#This Row],[YTD 2026]]</f>
        <v>1752750</v>
      </c>
      <c r="CN21" s="418">
        <v>18</v>
      </c>
      <c r="CO21" s="353">
        <f t="shared" si="1"/>
        <v>97375</v>
      </c>
      <c r="CP21" s="353">
        <f>Table14[[#This Row],[Unit Cost]]-Table14[[#This Row],[Margin on Reagent sale]]</f>
        <v>353900</v>
      </c>
      <c r="CQ21" s="367">
        <f>Table14[[#This Row],[Avg reagent Sales per month Actual]]-Table14[[#This Row],[Per Month Reagent Commitment]]</f>
        <v>8948</v>
      </c>
      <c r="CR21" s="373" t="s">
        <v>343</v>
      </c>
      <c r="CS21" s="367">
        <f>Table14[[#This Row],[On Track / (behind) (avg per month)]]/Table14[[#This Row],[Months]]</f>
        <v>497.11111111111109</v>
      </c>
      <c r="CT21" s="368">
        <v>0.4</v>
      </c>
      <c r="CU21" s="367">
        <f>Table14[[#This Row],[Total Reagent Sales till date Actual]]*Table14[[#This Row],[Margin %]]</f>
        <v>701100</v>
      </c>
      <c r="CV21" s="371">
        <f t="shared" si="13"/>
        <v>0.4</v>
      </c>
      <c r="CW21" s="212">
        <f t="shared" si="3"/>
        <v>4417500</v>
      </c>
      <c r="CX21" s="212">
        <f t="shared" si="4"/>
        <v>1767000</v>
      </c>
      <c r="CY21" s="223">
        <f t="shared" si="2"/>
        <v>1055000</v>
      </c>
      <c r="CZ21" s="226">
        <f t="shared" si="5"/>
        <v>712000</v>
      </c>
      <c r="DA21" s="212">
        <f t="shared" si="6"/>
        <v>21.494057724957553</v>
      </c>
      <c r="DM21" s="244"/>
    </row>
    <row r="22" spans="1:117" s="101" customFormat="1" ht="15" customHeight="1" x14ac:dyDescent="0.3">
      <c r="A22" s="399" t="s">
        <v>296</v>
      </c>
      <c r="B22" s="629" t="s">
        <v>297</v>
      </c>
      <c r="C22" s="399" t="s">
        <v>22</v>
      </c>
      <c r="D22" s="415" t="s">
        <v>33</v>
      </c>
      <c r="E22" s="403">
        <v>15001967</v>
      </c>
      <c r="F22" s="403" t="s">
        <v>392</v>
      </c>
      <c r="G22" s="449">
        <v>3002000048</v>
      </c>
      <c r="H22" s="666"/>
      <c r="I22" s="416">
        <v>121496</v>
      </c>
      <c r="J22" s="417"/>
      <c r="K22" s="417"/>
      <c r="L22" s="417" t="s">
        <v>394</v>
      </c>
      <c r="M22" s="417"/>
      <c r="N22" s="417"/>
      <c r="O22" s="418" t="s">
        <v>304</v>
      </c>
      <c r="P22" s="418" t="s">
        <v>15</v>
      </c>
      <c r="Q22" s="399" t="s">
        <v>376</v>
      </c>
      <c r="R22" s="399">
        <v>3020000084</v>
      </c>
      <c r="S22" s="419" t="s">
        <v>124</v>
      </c>
      <c r="T22" s="403"/>
      <c r="U22" s="403" t="s">
        <v>367</v>
      </c>
      <c r="V22" s="403" t="s">
        <v>368</v>
      </c>
      <c r="W22" s="350" t="s">
        <v>369</v>
      </c>
      <c r="X22" s="399" t="s">
        <v>370</v>
      </c>
      <c r="Y22" s="399"/>
      <c r="Z22" s="353">
        <v>1065000</v>
      </c>
      <c r="AA22" s="418">
        <v>36</v>
      </c>
      <c r="AB22" s="353">
        <v>87448</v>
      </c>
      <c r="AC22" s="409"/>
      <c r="AD22" s="410"/>
      <c r="AE22" s="399"/>
      <c r="AF22" s="399"/>
      <c r="AG22" s="399"/>
      <c r="AH22" s="399"/>
      <c r="AI22" s="403"/>
      <c r="AJ22" s="403"/>
      <c r="AK22" s="403"/>
      <c r="AL22" s="403"/>
      <c r="AM22" s="420"/>
      <c r="AN22" s="420"/>
      <c r="AO22" s="403"/>
      <c r="AP22" s="403"/>
      <c r="AQ22" s="403"/>
      <c r="AR22" s="403"/>
      <c r="AS22" s="403"/>
      <c r="AT22" s="403"/>
      <c r="AU22" s="399" t="e">
        <v>#N/A</v>
      </c>
      <c r="AV22" s="420"/>
      <c r="AW22" s="420"/>
      <c r="AX22" s="420"/>
      <c r="AY22" s="420"/>
      <c r="AZ22" s="420"/>
      <c r="BA22" s="370"/>
      <c r="BB22" s="370"/>
      <c r="BC22" s="597" t="s">
        <v>1493</v>
      </c>
      <c r="BD22" s="597" t="s">
        <v>1569</v>
      </c>
      <c r="BE22" s="375">
        <v>1</v>
      </c>
      <c r="BF22" s="419" t="s">
        <v>315</v>
      </c>
      <c r="BG22" s="370"/>
      <c r="BH22" s="370"/>
      <c r="BI22" s="370"/>
      <c r="BJ22" s="370"/>
      <c r="BK22" s="370"/>
      <c r="BL22" s="374"/>
      <c r="BM22" s="358"/>
      <c r="BN22" s="358"/>
      <c r="BO22" s="370"/>
      <c r="BP22" s="370">
        <v>99750</v>
      </c>
      <c r="BQ22" s="370">
        <v>0</v>
      </c>
      <c r="BR22" s="370">
        <v>228000</v>
      </c>
      <c r="BS22" s="362">
        <f>SUM(Table14[[#This Row],[Jan-24]:[Dec-24]])</f>
        <v>327750</v>
      </c>
      <c r="BT22" s="362">
        <v>0</v>
      </c>
      <c r="BU22" s="414">
        <v>332500</v>
      </c>
      <c r="BV22" s="414">
        <v>0</v>
      </c>
      <c r="BW22" s="414">
        <v>0</v>
      </c>
      <c r="BX22" s="414">
        <f>380000/4</f>
        <v>95000</v>
      </c>
      <c r="BY22" s="414">
        <f>304000/4</f>
        <v>76000</v>
      </c>
      <c r="BZ22" s="414">
        <f>247000/4</f>
        <v>61750</v>
      </c>
      <c r="CA22" s="414">
        <f>114000/4</f>
        <v>28500</v>
      </c>
      <c r="CB22" s="414">
        <f>380000/4</f>
        <v>95000</v>
      </c>
      <c r="CC22" s="414">
        <f>304000/4</f>
        <v>76000</v>
      </c>
      <c r="CD22" s="414">
        <f>532000/4</f>
        <v>133000</v>
      </c>
      <c r="CE22" s="414">
        <f>608000/4</f>
        <v>152000</v>
      </c>
      <c r="CF22" s="362">
        <f>SUM(Table14[[#This Row],[Jan-25]:[Dec-25]])</f>
        <v>1049750</v>
      </c>
      <c r="CG22" s="414">
        <v>0</v>
      </c>
      <c r="CH22" s="414">
        <f>1083000/4</f>
        <v>270750</v>
      </c>
      <c r="CI22" s="414">
        <f>CI21</f>
        <v>104500</v>
      </c>
      <c r="CJ22" s="414">
        <f>SUM(Table14[[#This Row],[Jan-26]:[Mar-26]])</f>
        <v>375250</v>
      </c>
      <c r="CK22" s="531">
        <f>IFERROR(SUM(Table14[[#This Row],[Oct-25]:[Dec-25]],Table14[[#This Row],[Jan-26]:[Mar-26]])/COUNT(Table14[[#This Row],[Oct-25]:[Dec-25]],Table14[[#This Row],[Jan-26]:[Mar-26]]),0)</f>
        <v>122708.33333333333</v>
      </c>
      <c r="CL22" s="367"/>
      <c r="CM22" s="414">
        <f>Table14[[#This Row],[YTD 2024]]+Table14[[#This Row],[YTD 2025]]+Table14[[#This Row],[YTD 2026]]</f>
        <v>1752750</v>
      </c>
      <c r="CN22" s="418">
        <v>18</v>
      </c>
      <c r="CO22" s="353">
        <f t="shared" si="1"/>
        <v>97375</v>
      </c>
      <c r="CP22" s="353">
        <f>Table14[[#This Row],[Unit Cost]]-Table14[[#This Row],[Margin on Reagent sale]]</f>
        <v>363900</v>
      </c>
      <c r="CQ22" s="367">
        <f>Table14[[#This Row],[Avg reagent Sales per month Actual]]-Table14[[#This Row],[Per Month Reagent Commitment]]</f>
        <v>9927</v>
      </c>
      <c r="CR22" s="373" t="s">
        <v>343</v>
      </c>
      <c r="CS22" s="367">
        <f>Table14[[#This Row],[On Track / (behind) (avg per month)]]/Table14[[#This Row],[Months]]</f>
        <v>551.5</v>
      </c>
      <c r="CT22" s="368">
        <v>0.4</v>
      </c>
      <c r="CU22" s="367">
        <f>Table14[[#This Row],[Total Reagent Sales till date Actual]]*Table14[[#This Row],[Margin %]]</f>
        <v>701100</v>
      </c>
      <c r="CV22" s="371">
        <f t="shared" si="13"/>
        <v>0.4</v>
      </c>
      <c r="CW22" s="212">
        <f t="shared" si="3"/>
        <v>4417500</v>
      </c>
      <c r="CX22" s="212">
        <f t="shared" si="4"/>
        <v>1767000</v>
      </c>
      <c r="CY22" s="223">
        <f t="shared" si="2"/>
        <v>1065000</v>
      </c>
      <c r="CZ22" s="226">
        <f t="shared" si="5"/>
        <v>702000</v>
      </c>
      <c r="DA22" s="212">
        <f t="shared" si="6"/>
        <v>21.697792869269946</v>
      </c>
      <c r="DC22" s="226"/>
      <c r="DM22" s="244"/>
    </row>
    <row r="23" spans="1:117" s="101" customFormat="1" ht="15" customHeight="1" x14ac:dyDescent="0.3">
      <c r="A23" s="399" t="s">
        <v>296</v>
      </c>
      <c r="B23" s="630" t="s">
        <v>297</v>
      </c>
      <c r="C23" s="399" t="s">
        <v>22</v>
      </c>
      <c r="D23" s="415" t="s">
        <v>33</v>
      </c>
      <c r="E23" s="403">
        <v>15001967</v>
      </c>
      <c r="F23" s="403" t="s">
        <v>397</v>
      </c>
      <c r="G23" s="449"/>
      <c r="H23" s="666"/>
      <c r="I23" s="416"/>
      <c r="J23" s="417"/>
      <c r="K23" s="417"/>
      <c r="L23" s="417" t="s">
        <v>398</v>
      </c>
      <c r="M23" s="417"/>
      <c r="N23" s="417"/>
      <c r="O23" s="418" t="s">
        <v>304</v>
      </c>
      <c r="P23" s="418" t="s">
        <v>15</v>
      </c>
      <c r="Q23" s="403" t="s">
        <v>399</v>
      </c>
      <c r="R23" s="399">
        <v>3020000084</v>
      </c>
      <c r="S23" s="419" t="s">
        <v>125</v>
      </c>
      <c r="T23" s="403"/>
      <c r="U23" s="403" t="s">
        <v>367</v>
      </c>
      <c r="V23" s="403" t="s">
        <v>368</v>
      </c>
      <c r="W23" s="350" t="s">
        <v>369</v>
      </c>
      <c r="X23" s="399" t="s">
        <v>370</v>
      </c>
      <c r="Y23" s="399"/>
      <c r="Z23" s="486">
        <v>1194415</v>
      </c>
      <c r="AA23" s="418">
        <v>36</v>
      </c>
      <c r="AB23" s="486">
        <v>125415</v>
      </c>
      <c r="AC23" s="409"/>
      <c r="AD23" s="410"/>
      <c r="AE23" s="399"/>
      <c r="AF23" s="399"/>
      <c r="AG23" s="399"/>
      <c r="AH23" s="399"/>
      <c r="AI23" s="403"/>
      <c r="AJ23" s="403"/>
      <c r="AK23" s="403"/>
      <c r="AL23" s="403"/>
      <c r="AM23" s="420"/>
      <c r="AN23" s="420"/>
      <c r="AO23" s="403"/>
      <c r="AP23" s="403"/>
      <c r="AQ23" s="403"/>
      <c r="AR23" s="403"/>
      <c r="AS23" s="403"/>
      <c r="AT23" s="403"/>
      <c r="AU23" s="399"/>
      <c r="AV23" s="420"/>
      <c r="AW23" s="420"/>
      <c r="AX23" s="420"/>
      <c r="AY23" s="420"/>
      <c r="AZ23" s="420"/>
      <c r="BA23" s="370"/>
      <c r="BB23" s="358"/>
      <c r="BC23" s="597" t="s">
        <v>1496</v>
      </c>
      <c r="BD23" s="597" t="s">
        <v>1657</v>
      </c>
      <c r="BE23" s="358">
        <v>1</v>
      </c>
      <c r="BF23" s="419" t="s">
        <v>315</v>
      </c>
      <c r="BG23" s="370"/>
      <c r="BH23" s="370"/>
      <c r="BI23" s="370"/>
      <c r="BJ23" s="370"/>
      <c r="BK23" s="487">
        <f>8550000/5</f>
        <v>1710000</v>
      </c>
      <c r="BL23" s="488"/>
      <c r="BM23" s="358"/>
      <c r="BN23" s="358"/>
      <c r="BO23" s="370"/>
      <c r="BP23" s="487"/>
      <c r="BQ23" s="487"/>
      <c r="BR23" s="487"/>
      <c r="BS23" s="362">
        <f>SUM(Table14[[#This Row],[Jan-24]:[Dec-24]])</f>
        <v>1710000</v>
      </c>
      <c r="BT23" s="360"/>
      <c r="BU23" s="360"/>
      <c r="BV23" s="376"/>
      <c r="BW23" s="376"/>
      <c r="BX23" s="376"/>
      <c r="BY23" s="376"/>
      <c r="BZ23" s="376"/>
      <c r="CA23" s="376"/>
      <c r="CB23" s="376"/>
      <c r="CC23" s="376"/>
      <c r="CD23" s="370"/>
      <c r="CE23" s="370"/>
      <c r="CF23" s="362">
        <f>SUM(Table14[[#This Row],[Jan-25]:[Dec-25]])</f>
        <v>0</v>
      </c>
      <c r="CG23" s="370">
        <v>0</v>
      </c>
      <c r="CH23" s="370">
        <v>0</v>
      </c>
      <c r="CI23" s="370">
        <v>0</v>
      </c>
      <c r="CJ23" s="414">
        <f>SUM(Table14[[#This Row],[Jan-26]:[Mar-26]])</f>
        <v>0</v>
      </c>
      <c r="CK23" s="531">
        <f>IFERROR(SUM(Table14[[#This Row],[Oct-25]:[Dec-25]],Table14[[#This Row],[Jan-26]:[Mar-26]])/COUNT(Table14[[#This Row],[Oct-25]:[Dec-25]],Table14[[#This Row],[Jan-26]:[Mar-26]]),0)</f>
        <v>0</v>
      </c>
      <c r="CL23" s="367"/>
      <c r="CM23" s="414">
        <f>Table14[[#This Row],[YTD 2024]]+Table14[[#This Row],[YTD 2025]]+Table14[[#This Row],[YTD 2026]]</f>
        <v>1710000</v>
      </c>
      <c r="CN23" s="418">
        <v>2</v>
      </c>
      <c r="CO23" s="486">
        <f t="shared" si="1"/>
        <v>855000</v>
      </c>
      <c r="CP23" s="490"/>
      <c r="CQ23" s="489">
        <f>Table14[[#This Row],[Avg reagent Sales per month Actual]]-Table14[[#This Row],[Per Month Reagent Commitment]]</f>
        <v>729585</v>
      </c>
      <c r="CR23" s="373"/>
      <c r="CS23" s="367">
        <f>Table14[[#This Row],[On Track / (behind) (avg per month)]]/Table14[[#This Row],[Months]]</f>
        <v>364792.5</v>
      </c>
      <c r="CT23" s="491"/>
      <c r="CU23" s="367">
        <f>Table14[[#This Row],[Total Reagent Sales till date Actual]]*Table14[[#This Row],[Margin %]]</f>
        <v>0</v>
      </c>
      <c r="CV23" s="371">
        <f t="shared" si="13"/>
        <v>0</v>
      </c>
      <c r="CW23" s="212">
        <f t="shared" si="3"/>
        <v>0</v>
      </c>
      <c r="CX23" s="212">
        <f t="shared" si="4"/>
        <v>0</v>
      </c>
      <c r="CY23" s="223">
        <f t="shared" si="2"/>
        <v>1194415</v>
      </c>
      <c r="CZ23" s="226">
        <f t="shared" si="5"/>
        <v>-1194415</v>
      </c>
      <c r="DA23" s="212" t="e">
        <f t="shared" si="6"/>
        <v>#DIV/0!</v>
      </c>
      <c r="DM23" s="244"/>
    </row>
    <row r="24" spans="1:117" s="101" customFormat="1" ht="15" customHeight="1" x14ac:dyDescent="0.3">
      <c r="A24" s="399" t="s">
        <v>296</v>
      </c>
      <c r="B24" s="630" t="s">
        <v>297</v>
      </c>
      <c r="C24" s="399" t="s">
        <v>22</v>
      </c>
      <c r="D24" s="415" t="s">
        <v>33</v>
      </c>
      <c r="E24" s="403">
        <v>15001967</v>
      </c>
      <c r="F24" s="403" t="s">
        <v>397</v>
      </c>
      <c r="G24" s="449"/>
      <c r="H24" s="666"/>
      <c r="I24" s="416"/>
      <c r="J24" s="417"/>
      <c r="K24" s="417"/>
      <c r="L24" s="417" t="s">
        <v>398</v>
      </c>
      <c r="M24" s="417"/>
      <c r="N24" s="417"/>
      <c r="O24" s="418" t="s">
        <v>304</v>
      </c>
      <c r="P24" s="418" t="s">
        <v>15</v>
      </c>
      <c r="Q24" s="403" t="s">
        <v>401</v>
      </c>
      <c r="R24" s="399">
        <v>3020000084</v>
      </c>
      <c r="S24" s="419" t="s">
        <v>178</v>
      </c>
      <c r="T24" s="403"/>
      <c r="U24" s="403" t="s">
        <v>367</v>
      </c>
      <c r="V24" s="403" t="s">
        <v>368</v>
      </c>
      <c r="W24" s="350" t="s">
        <v>369</v>
      </c>
      <c r="X24" s="399" t="s">
        <v>370</v>
      </c>
      <c r="Y24" s="399"/>
      <c r="Z24" s="486">
        <v>1194415</v>
      </c>
      <c r="AA24" s="418">
        <v>36</v>
      </c>
      <c r="AB24" s="486">
        <v>125415</v>
      </c>
      <c r="AC24" s="409"/>
      <c r="AD24" s="410"/>
      <c r="AE24" s="399"/>
      <c r="AF24" s="399"/>
      <c r="AG24" s="399"/>
      <c r="AH24" s="399"/>
      <c r="AI24" s="403"/>
      <c r="AJ24" s="403"/>
      <c r="AK24" s="403"/>
      <c r="AL24" s="403"/>
      <c r="AM24" s="420"/>
      <c r="AN24" s="420"/>
      <c r="AO24" s="403"/>
      <c r="AP24" s="403"/>
      <c r="AQ24" s="403"/>
      <c r="AR24" s="403"/>
      <c r="AS24" s="403"/>
      <c r="AT24" s="403"/>
      <c r="AU24" s="399"/>
      <c r="AV24" s="420"/>
      <c r="AW24" s="420"/>
      <c r="AX24" s="420"/>
      <c r="AY24" s="420"/>
      <c r="AZ24" s="420"/>
      <c r="BA24" s="370"/>
      <c r="BB24" s="358"/>
      <c r="BC24" s="597" t="s">
        <v>1496</v>
      </c>
      <c r="BD24" s="597" t="s">
        <v>1657</v>
      </c>
      <c r="BE24" s="358"/>
      <c r="BF24" s="419" t="s">
        <v>315</v>
      </c>
      <c r="BG24" s="370"/>
      <c r="BH24" s="370"/>
      <c r="BI24" s="370"/>
      <c r="BJ24" s="370"/>
      <c r="BK24" s="487"/>
      <c r="BL24" s="488"/>
      <c r="BM24" s="358"/>
      <c r="BN24" s="358"/>
      <c r="BO24" s="370"/>
      <c r="BP24" s="487"/>
      <c r="BQ24" s="487"/>
      <c r="BR24" s="487"/>
      <c r="BS24" s="362">
        <f>SUM(Table14[[#This Row],[Jan-24]:[Dec-24]])</f>
        <v>0</v>
      </c>
      <c r="BT24" s="360"/>
      <c r="BU24" s="360"/>
      <c r="BV24" s="376"/>
      <c r="BW24" s="376"/>
      <c r="BX24" s="376"/>
      <c r="BY24" s="376"/>
      <c r="BZ24" s="376"/>
      <c r="CA24" s="376"/>
      <c r="CB24" s="376"/>
      <c r="CC24" s="376"/>
      <c r="CD24" s="370"/>
      <c r="CE24" s="370"/>
      <c r="CF24" s="362">
        <f>SUM(Table14[[#This Row],[Jan-25]:[Dec-25]])</f>
        <v>0</v>
      </c>
      <c r="CG24" s="370">
        <v>0</v>
      </c>
      <c r="CH24" s="370">
        <v>0</v>
      </c>
      <c r="CI24" s="370">
        <v>0</v>
      </c>
      <c r="CJ24" s="414">
        <f>SUM(Table14[[#This Row],[Jan-26]:[Mar-26]])</f>
        <v>0</v>
      </c>
      <c r="CK24" s="531">
        <f>IFERROR(SUM(Table14[[#This Row],[Oct-25]:[Dec-25]],Table14[[#This Row],[Jan-26]:[Mar-26]])/COUNT(Table14[[#This Row],[Oct-25]:[Dec-25]],Table14[[#This Row],[Jan-26]:[Mar-26]]),0)</f>
        <v>0</v>
      </c>
      <c r="CL24" s="367"/>
      <c r="CM24" s="414">
        <f>Table14[[#This Row],[YTD 2024]]+Table14[[#This Row],[YTD 2025]]+Table14[[#This Row],[YTD 2026]]</f>
        <v>0</v>
      </c>
      <c r="CN24" s="418"/>
      <c r="CO24" s="486" t="e">
        <f t="shared" si="1"/>
        <v>#DIV/0!</v>
      </c>
      <c r="CP24" s="490"/>
      <c r="CQ24" s="489" t="e">
        <f>Table14[[#This Row],[Avg reagent Sales per month Actual]]-Table14[[#This Row],[Per Month Reagent Commitment]]</f>
        <v>#DIV/0!</v>
      </c>
      <c r="CR24" s="373"/>
      <c r="CS24" s="367" t="e">
        <f>Table14[[#This Row],[On Track / (behind) (avg per month)]]/Table14[[#This Row],[Months]]</f>
        <v>#DIV/0!</v>
      </c>
      <c r="CT24" s="491"/>
      <c r="CU24" s="367">
        <f>Table14[[#This Row],[Total Reagent Sales till date Actual]]*Table14[[#This Row],[Margin %]]</f>
        <v>0</v>
      </c>
      <c r="CV24" s="371">
        <f t="shared" si="13"/>
        <v>0</v>
      </c>
      <c r="CW24" s="212">
        <f t="shared" si="3"/>
        <v>0</v>
      </c>
      <c r="CX24" s="212">
        <f t="shared" si="4"/>
        <v>0</v>
      </c>
      <c r="CY24" s="223">
        <f t="shared" si="2"/>
        <v>1194415</v>
      </c>
      <c r="CZ24" s="226">
        <f t="shared" si="5"/>
        <v>-1194415</v>
      </c>
      <c r="DA24" s="212" t="e">
        <f t="shared" si="6"/>
        <v>#DIV/0!</v>
      </c>
      <c r="DM24" s="244"/>
    </row>
    <row r="25" spans="1:117" s="101" customFormat="1" ht="15" customHeight="1" x14ac:dyDescent="0.3">
      <c r="A25" s="399" t="s">
        <v>195</v>
      </c>
      <c r="B25" s="629" t="s">
        <v>345</v>
      </c>
      <c r="C25" s="468" t="s">
        <v>51</v>
      </c>
      <c r="D25" s="469" t="s">
        <v>402</v>
      </c>
      <c r="E25" s="403">
        <v>15003000</v>
      </c>
      <c r="F25" s="403" t="s">
        <v>403</v>
      </c>
      <c r="G25" s="449">
        <v>3002000091</v>
      </c>
      <c r="H25" s="666"/>
      <c r="I25" s="427">
        <v>1590</v>
      </c>
      <c r="J25" s="417"/>
      <c r="K25" s="417"/>
      <c r="L25" s="417" t="s">
        <v>404</v>
      </c>
      <c r="M25" s="417"/>
      <c r="N25" s="417"/>
      <c r="O25" s="418" t="s">
        <v>348</v>
      </c>
      <c r="P25" s="418" t="s">
        <v>15</v>
      </c>
      <c r="Q25" s="403" t="s">
        <v>305</v>
      </c>
      <c r="R25" s="399">
        <v>3020000088</v>
      </c>
      <c r="S25" s="419" t="s">
        <v>165</v>
      </c>
      <c r="T25" s="403"/>
      <c r="U25" s="426" t="s">
        <v>405</v>
      </c>
      <c r="V25" s="403" t="s">
        <v>406</v>
      </c>
      <c r="W25" s="350" t="s">
        <v>407</v>
      </c>
      <c r="X25" s="399" t="s">
        <v>408</v>
      </c>
      <c r="Y25" s="399"/>
      <c r="Z25" s="486">
        <v>3592655</v>
      </c>
      <c r="AA25" s="418">
        <v>36</v>
      </c>
      <c r="AB25" s="486">
        <v>228801</v>
      </c>
      <c r="AC25" s="409"/>
      <c r="AD25" s="410"/>
      <c r="AE25" s="399"/>
      <c r="AF25" s="399"/>
      <c r="AG25" s="399"/>
      <c r="AH25" s="399"/>
      <c r="AI25" s="403"/>
      <c r="AJ25" s="403"/>
      <c r="AK25" s="403"/>
      <c r="AL25" s="403"/>
      <c r="AM25" s="420"/>
      <c r="AN25" s="420"/>
      <c r="AO25" s="403"/>
      <c r="AP25" s="403"/>
      <c r="AQ25" s="403"/>
      <c r="AR25" s="403"/>
      <c r="AS25" s="403"/>
      <c r="AT25" s="403"/>
      <c r="AU25" s="399"/>
      <c r="AV25" s="420"/>
      <c r="AW25" s="420"/>
      <c r="AX25" s="420"/>
      <c r="AY25" s="420"/>
      <c r="AZ25" s="420"/>
      <c r="BA25" s="370"/>
      <c r="BB25" s="358"/>
      <c r="BC25" s="597" t="s">
        <v>348</v>
      </c>
      <c r="BD25" s="597"/>
      <c r="BE25" s="375"/>
      <c r="BF25" s="419"/>
      <c r="BG25" s="370"/>
      <c r="BH25" s="370"/>
      <c r="BI25" s="370"/>
      <c r="BJ25" s="370"/>
      <c r="BK25" s="487"/>
      <c r="BL25" s="488"/>
      <c r="BM25" s="358"/>
      <c r="BN25" s="414">
        <v>597600</v>
      </c>
      <c r="BO25" s="370"/>
      <c r="BP25" s="487"/>
      <c r="BQ25" s="487"/>
      <c r="BR25" s="487"/>
      <c r="BS25" s="362">
        <f>SUM(Table14[[#This Row],[Jan-24]:[Dec-24]])</f>
        <v>597600</v>
      </c>
      <c r="BT25" s="360"/>
      <c r="BU25" s="360"/>
      <c r="BV25" s="376"/>
      <c r="BW25" s="376"/>
      <c r="BX25" s="376"/>
      <c r="BY25" s="376"/>
      <c r="BZ25" s="376"/>
      <c r="CA25" s="376"/>
      <c r="CB25" s="376"/>
      <c r="CC25" s="376"/>
      <c r="CD25" s="376"/>
      <c r="CE25" s="376"/>
      <c r="CF25" s="362">
        <f>SUM(Table14[[#This Row],[Jan-25]:[Dec-25]])</f>
        <v>0</v>
      </c>
      <c r="CG25" s="376"/>
      <c r="CH25" s="376"/>
      <c r="CI25" s="376"/>
      <c r="CJ25" s="414">
        <f>SUM(Table14[[#This Row],[Jan-26]:[Mar-26]])</f>
        <v>0</v>
      </c>
      <c r="CK25" s="531">
        <f>IFERROR(SUM(Table14[[#This Row],[Oct-25]:[Dec-25]],Table14[[#This Row],[Jan-26]:[Mar-26]])/COUNT(Table14[[#This Row],[Oct-25]:[Dec-25]],Table14[[#This Row],[Jan-26]:[Mar-26]]),0)</f>
        <v>0</v>
      </c>
      <c r="CL25" s="367"/>
      <c r="CM25" s="414">
        <f>Table14[[#This Row],[YTD 2024]]+Table14[[#This Row],[YTD 2025]]+Table14[[#This Row],[YTD 2026]]</f>
        <v>597600</v>
      </c>
      <c r="CN25" s="418"/>
      <c r="CO25" s="486" t="e">
        <f t="shared" si="1"/>
        <v>#DIV/0!</v>
      </c>
      <c r="CP25" s="490"/>
      <c r="CQ25" s="489" t="e">
        <f>Table14[[#This Row],[Avg reagent Sales per month Actual]]-Table14[[#This Row],[Per Month Reagent Commitment]]</f>
        <v>#DIV/0!</v>
      </c>
      <c r="CR25" s="373"/>
      <c r="CS25" s="367" t="e">
        <f>Table14[[#This Row],[On Track / (behind) (avg per month)]]/Table14[[#This Row],[Months]]</f>
        <v>#DIV/0!</v>
      </c>
      <c r="CT25" s="491"/>
      <c r="CU25" s="367">
        <f>Table14[[#This Row],[Total Reagent Sales till date Actual]]*Table14[[#This Row],[Margin %]]</f>
        <v>0</v>
      </c>
      <c r="CV25" s="371">
        <f t="shared" si="13"/>
        <v>0</v>
      </c>
      <c r="CW25" s="212">
        <f t="shared" si="3"/>
        <v>0</v>
      </c>
      <c r="CX25" s="212">
        <f t="shared" si="4"/>
        <v>0</v>
      </c>
      <c r="CY25" s="223">
        <f t="shared" si="2"/>
        <v>3592655</v>
      </c>
      <c r="CZ25" s="226">
        <f t="shared" si="5"/>
        <v>-3592655</v>
      </c>
      <c r="DA25" s="212" t="e">
        <f t="shared" si="6"/>
        <v>#DIV/0!</v>
      </c>
      <c r="DM25" s="244"/>
    </row>
    <row r="26" spans="1:117" s="101" customFormat="1" ht="15" customHeight="1" x14ac:dyDescent="0.3">
      <c r="A26" s="399" t="s">
        <v>296</v>
      </c>
      <c r="B26" s="631" t="s">
        <v>297</v>
      </c>
      <c r="C26" s="401" t="s">
        <v>50</v>
      </c>
      <c r="D26" s="402" t="s">
        <v>409</v>
      </c>
      <c r="E26" s="403">
        <v>15003243</v>
      </c>
      <c r="F26" s="401" t="s">
        <v>392</v>
      </c>
      <c r="G26" s="449" t="s">
        <v>410</v>
      </c>
      <c r="H26" s="667"/>
      <c r="I26" s="404" t="s">
        <v>411</v>
      </c>
      <c r="J26" s="405"/>
      <c r="K26" s="405"/>
      <c r="L26" s="405" t="s">
        <v>412</v>
      </c>
      <c r="M26" s="406"/>
      <c r="N26" s="406"/>
      <c r="O26" s="404" t="s">
        <v>304</v>
      </c>
      <c r="P26" s="404" t="s">
        <v>15</v>
      </c>
      <c r="Q26" s="400" t="s">
        <v>401</v>
      </c>
      <c r="R26" s="399">
        <v>3020000114</v>
      </c>
      <c r="S26" s="402" t="s">
        <v>77</v>
      </c>
      <c r="T26" s="401"/>
      <c r="U26" s="407" t="s">
        <v>413</v>
      </c>
      <c r="V26" s="399" t="s">
        <v>414</v>
      </c>
      <c r="W26" s="350" t="s">
        <v>415</v>
      </c>
      <c r="X26" s="408"/>
      <c r="Y26" s="399" t="s">
        <v>416</v>
      </c>
      <c r="Z26" s="351">
        <v>2076170</v>
      </c>
      <c r="AA26" s="352">
        <v>34</v>
      </c>
      <c r="AB26" s="353">
        <v>113459</v>
      </c>
      <c r="AC26" s="409"/>
      <c r="AD26" s="410"/>
      <c r="AE26" s="411"/>
      <c r="AF26" s="411"/>
      <c r="AG26" s="411"/>
      <c r="AH26" s="411"/>
      <c r="AI26" s="411"/>
      <c r="AJ26" s="411"/>
      <c r="AK26" s="411"/>
      <c r="AL26" s="411"/>
      <c r="AM26" s="412"/>
      <c r="AN26" s="412"/>
      <c r="AO26" s="411"/>
      <c r="AP26" s="411"/>
      <c r="AQ26" s="411"/>
      <c r="AR26" s="411"/>
      <c r="AS26" s="411"/>
      <c r="AT26" s="411"/>
      <c r="AU26" s="411"/>
      <c r="AV26" s="412"/>
      <c r="AW26" s="412"/>
      <c r="AX26" s="354"/>
      <c r="AY26" s="354"/>
      <c r="AZ26" s="354"/>
      <c r="BA26" s="354"/>
      <c r="BB26" s="413"/>
      <c r="BC26" s="597" t="s">
        <v>1498</v>
      </c>
      <c r="BD26" s="597" t="s">
        <v>1656</v>
      </c>
      <c r="BE26" s="375">
        <v>1</v>
      </c>
      <c r="BF26" s="402" t="s">
        <v>315</v>
      </c>
      <c r="BG26" s="355"/>
      <c r="BH26" s="355"/>
      <c r="BI26" s="355"/>
      <c r="BJ26" s="355"/>
      <c r="BK26" s="356"/>
      <c r="BL26" s="357"/>
      <c r="BM26" s="358"/>
      <c r="BN26" s="358"/>
      <c r="BO26" s="359"/>
      <c r="BP26" s="359"/>
      <c r="BQ26" s="359"/>
      <c r="BR26" s="359"/>
      <c r="BS26" s="362">
        <f>SUM(Table14[[#This Row],[Jan-24]:[Dec-24]])</f>
        <v>0</v>
      </c>
      <c r="BT26" s="361">
        <v>0</v>
      </c>
      <c r="BU26" s="361">
        <v>0</v>
      </c>
      <c r="BV26" s="414">
        <v>386360.55</v>
      </c>
      <c r="BW26" s="414">
        <v>0</v>
      </c>
      <c r="BX26" s="414">
        <v>0</v>
      </c>
      <c r="BY26" s="414">
        <v>0</v>
      </c>
      <c r="BZ26" s="414">
        <v>441381</v>
      </c>
      <c r="CA26" s="414">
        <v>204305</v>
      </c>
      <c r="CB26" s="414">
        <v>0</v>
      </c>
      <c r="CC26" s="414"/>
      <c r="CD26" s="414"/>
      <c r="CE26" s="414">
        <v>203075</v>
      </c>
      <c r="CF26" s="362">
        <f>SUM(Table14[[#This Row],[Jan-25]:[Dec-25]])</f>
        <v>1235121.55</v>
      </c>
      <c r="CG26" s="414">
        <v>0</v>
      </c>
      <c r="CH26" s="414">
        <v>0</v>
      </c>
      <c r="CI26" s="414"/>
      <c r="CJ26" s="414">
        <f>SUM(Table14[[#This Row],[Jan-26]:[Mar-26]])</f>
        <v>0</v>
      </c>
      <c r="CK26" s="531">
        <f>IFERROR(SUM(Table14[[#This Row],[Oct-25]:[Dec-25]],Table14[[#This Row],[Jan-26]:[Mar-26]])/COUNT(Table14[[#This Row],[Oct-25]:[Dec-25]],Table14[[#This Row],[Jan-26]:[Mar-26]]),0)</f>
        <v>67691.666666666672</v>
      </c>
      <c r="CL26" s="364"/>
      <c r="CM26" s="414">
        <f>Table14[[#This Row],[YTD 2024]]+Table14[[#This Row],[YTD 2025]]+Table14[[#This Row],[YTD 2026]]</f>
        <v>1235121.55</v>
      </c>
      <c r="CN26" s="366">
        <v>8</v>
      </c>
      <c r="CO26" s="353">
        <f t="shared" si="1"/>
        <v>154390.19375000001</v>
      </c>
      <c r="CP26" s="353">
        <f>Table14[[#This Row],[Unit Cost]]-Table14[[#This Row],[Margin on Reagent sale]]</f>
        <v>1582121.38</v>
      </c>
      <c r="CQ26" s="367">
        <f>Table14[[#This Row],[Avg reagent Sales per month Actual]]-Table14[[#This Row],[Per Month Reagent Commitment]]</f>
        <v>40931.193750000006</v>
      </c>
      <c r="CR26" s="403" t="s">
        <v>316</v>
      </c>
      <c r="CS26" s="367">
        <f>Table14[[#This Row],[On Track / (behind) (avg per month)]]/Table14[[#This Row],[Months]]</f>
        <v>5116.3992187500007</v>
      </c>
      <c r="CT26" s="368">
        <v>0.4</v>
      </c>
      <c r="CU26" s="367">
        <f>Table14[[#This Row],[Total Reagent Sales till date Actual]]*Table14[[#This Row],[Margin %]]</f>
        <v>494048.62000000005</v>
      </c>
      <c r="CV26" s="369">
        <f t="shared" si="13"/>
        <v>0.4</v>
      </c>
      <c r="CW26" s="212">
        <f t="shared" si="3"/>
        <v>2436900</v>
      </c>
      <c r="CX26" s="212">
        <f t="shared" si="4"/>
        <v>974760</v>
      </c>
      <c r="CY26" s="223">
        <f t="shared" si="2"/>
        <v>2076170</v>
      </c>
      <c r="CZ26" s="226">
        <f t="shared" si="5"/>
        <v>-1101410</v>
      </c>
      <c r="DA26" s="212">
        <f t="shared" si="6"/>
        <v>76.67745906684722</v>
      </c>
      <c r="DD26" s="101" t="s">
        <v>417</v>
      </c>
      <c r="DM26" s="244"/>
    </row>
    <row r="27" spans="1:117" s="101" customFormat="1" ht="15" customHeight="1" x14ac:dyDescent="0.3">
      <c r="A27" s="401" t="s">
        <v>418</v>
      </c>
      <c r="B27" s="630" t="s">
        <v>297</v>
      </c>
      <c r="C27" s="401" t="s">
        <v>49</v>
      </c>
      <c r="D27" s="415" t="s">
        <v>30</v>
      </c>
      <c r="E27" s="403">
        <v>15002463</v>
      </c>
      <c r="F27" s="403" t="s">
        <v>317</v>
      </c>
      <c r="G27" s="449"/>
      <c r="H27" s="668"/>
      <c r="I27" s="404"/>
      <c r="J27" s="405"/>
      <c r="K27" s="405"/>
      <c r="L27" s="405" t="s">
        <v>419</v>
      </c>
      <c r="M27" s="405"/>
      <c r="N27" s="405"/>
      <c r="O27" s="404" t="s">
        <v>348</v>
      </c>
      <c r="P27" s="404" t="s">
        <v>16</v>
      </c>
      <c r="Q27" s="401" t="s">
        <v>349</v>
      </c>
      <c r="R27" s="399">
        <v>3020000125</v>
      </c>
      <c r="S27" s="403" t="s">
        <v>162</v>
      </c>
      <c r="T27" s="403" t="s">
        <v>420</v>
      </c>
      <c r="U27" s="403" t="s">
        <v>421</v>
      </c>
      <c r="V27" s="403">
        <v>3004102701</v>
      </c>
      <c r="W27" s="399"/>
      <c r="X27" s="399"/>
      <c r="Y27" s="399" t="s">
        <v>422</v>
      </c>
      <c r="Z27" s="353">
        <v>7617629</v>
      </c>
      <c r="AA27" s="418">
        <v>33</v>
      </c>
      <c r="AB27" s="353">
        <v>441785</v>
      </c>
      <c r="AC27" s="409"/>
      <c r="AD27" s="410"/>
      <c r="AE27" s="431"/>
      <c r="AF27" s="399"/>
      <c r="AG27" s="399"/>
      <c r="AH27" s="399"/>
      <c r="AI27" s="432"/>
      <c r="AJ27" s="403"/>
      <c r="AK27" s="432"/>
      <c r="AL27" s="432"/>
      <c r="AM27" s="431"/>
      <c r="AN27" s="431"/>
      <c r="AO27" s="403"/>
      <c r="AP27" s="403"/>
      <c r="AQ27" s="403"/>
      <c r="AR27" s="403"/>
      <c r="AS27" s="403"/>
      <c r="AT27" s="403"/>
      <c r="AU27" s="431"/>
      <c r="AV27" s="399"/>
      <c r="AW27" s="431"/>
      <c r="AX27" s="431"/>
      <c r="AY27" s="399"/>
      <c r="AZ27" s="399"/>
      <c r="BA27" s="399"/>
      <c r="BB27" s="409"/>
      <c r="BC27" s="595" t="s">
        <v>348</v>
      </c>
      <c r="BD27" s="595"/>
      <c r="BE27" s="358"/>
      <c r="BF27" s="403" t="s">
        <v>1523</v>
      </c>
      <c r="BG27" s="378"/>
      <c r="BH27" s="378"/>
      <c r="BI27" s="378"/>
      <c r="BJ27" s="431"/>
      <c r="BK27" s="378"/>
      <c r="BL27" s="396"/>
      <c r="BM27" s="363"/>
      <c r="BN27" s="363"/>
      <c r="BO27" s="431"/>
      <c r="BP27" s="367"/>
      <c r="BQ27" s="367"/>
      <c r="BR27" s="367"/>
      <c r="BS27" s="362">
        <f>SUM(Table14[[#This Row],[Jan-24]:[Dec-24]])</f>
        <v>0</v>
      </c>
      <c r="BT27" s="362"/>
      <c r="BU27" s="360"/>
      <c r="BV27" s="376"/>
      <c r="BW27" s="376"/>
      <c r="BX27" s="376"/>
      <c r="BY27" s="376"/>
      <c r="BZ27" s="376"/>
      <c r="CA27" s="376"/>
      <c r="CB27" s="376"/>
      <c r="CC27" s="376"/>
      <c r="CD27" s="376"/>
      <c r="CE27" s="376"/>
      <c r="CF27" s="362">
        <f>SUM(Table14[[#This Row],[Jan-25]:[Dec-25]])</f>
        <v>0</v>
      </c>
      <c r="CG27" s="376"/>
      <c r="CH27" s="376"/>
      <c r="CI27" s="376"/>
      <c r="CJ27" s="414">
        <f>SUM(Table14[[#This Row],[Jan-26]:[Mar-26]])</f>
        <v>0</v>
      </c>
      <c r="CK27" s="531">
        <f>IFERROR(SUM(Table14[[#This Row],[Oct-25]:[Dec-25]],Table14[[#This Row],[Jan-26]:[Mar-26]])/COUNT(Table14[[#This Row],[Oct-25]:[Dec-25]],Table14[[#This Row],[Jan-26]:[Mar-26]]),0)</f>
        <v>0</v>
      </c>
      <c r="CL27" s="431"/>
      <c r="CM27" s="414">
        <f>Table14[[#This Row],[YTD 2024]]+Table14[[#This Row],[YTD 2025]]+Table14[[#This Row],[YTD 2026]]</f>
        <v>0</v>
      </c>
      <c r="CN27" s="418"/>
      <c r="CO27" s="353" t="e">
        <f t="shared" si="1"/>
        <v>#DIV/0!</v>
      </c>
      <c r="CP27" s="353"/>
      <c r="CQ27" s="367" t="e">
        <f>Table14[[#This Row],[Avg reagent Sales per month Actual]]-Table14[[#This Row],[Per Month Reagent Commitment]]</f>
        <v>#DIV/0!</v>
      </c>
      <c r="CR27" s="403"/>
      <c r="CS27" s="367" t="e">
        <f>Table14[[#This Row],[On Track / (behind) (avg per month)]]/Table14[[#This Row],[Months]]</f>
        <v>#DIV/0!</v>
      </c>
      <c r="CT27" s="399"/>
      <c r="CU27" s="367">
        <f>Table14[[#This Row],[Total Reagent Sales till date Actual]]*Table14[[#This Row],[Margin %]]</f>
        <v>0</v>
      </c>
      <c r="CV27" s="400">
        <f t="shared" si="13"/>
        <v>0</v>
      </c>
      <c r="CW27" s="212">
        <f t="shared" si="3"/>
        <v>0</v>
      </c>
      <c r="CX27" s="212">
        <f t="shared" si="4"/>
        <v>0</v>
      </c>
      <c r="CY27" s="223">
        <f t="shared" si="2"/>
        <v>7617629</v>
      </c>
      <c r="CZ27" s="226">
        <f t="shared" si="5"/>
        <v>-7617629</v>
      </c>
      <c r="DA27" s="212" t="e">
        <f t="shared" si="6"/>
        <v>#DIV/0!</v>
      </c>
      <c r="DB27" s="101" t="s">
        <v>395</v>
      </c>
      <c r="DC27" s="226"/>
      <c r="DM27" s="244"/>
    </row>
    <row r="28" spans="1:117" s="101" customFormat="1" ht="15" customHeight="1" x14ac:dyDescent="0.3">
      <c r="A28" s="399" t="s">
        <v>423</v>
      </c>
      <c r="B28" s="629" t="s">
        <v>297</v>
      </c>
      <c r="C28" s="399" t="s">
        <v>22</v>
      </c>
      <c r="D28" s="415" t="s">
        <v>33</v>
      </c>
      <c r="E28" s="403">
        <v>15001967</v>
      </c>
      <c r="F28" s="403" t="s">
        <v>397</v>
      </c>
      <c r="G28" s="449">
        <v>3002000052</v>
      </c>
      <c r="H28" s="409" t="s">
        <v>299</v>
      </c>
      <c r="I28" s="416">
        <v>123019</v>
      </c>
      <c r="J28" s="417"/>
      <c r="K28" s="417" t="s">
        <v>424</v>
      </c>
      <c r="L28" s="417" t="s">
        <v>404</v>
      </c>
      <c r="M28" s="417" t="s">
        <v>425</v>
      </c>
      <c r="N28" s="417"/>
      <c r="O28" s="418" t="s">
        <v>304</v>
      </c>
      <c r="P28" s="418" t="s">
        <v>16</v>
      </c>
      <c r="Q28" s="399" t="s">
        <v>426</v>
      </c>
      <c r="R28" s="399">
        <v>3020000166</v>
      </c>
      <c r="S28" s="419" t="s">
        <v>112</v>
      </c>
      <c r="T28" s="422" t="s">
        <v>427</v>
      </c>
      <c r="U28" s="403" t="s">
        <v>428</v>
      </c>
      <c r="V28" s="403" t="s">
        <v>429</v>
      </c>
      <c r="W28" s="399" t="s">
        <v>430</v>
      </c>
      <c r="X28" s="399" t="s">
        <v>431</v>
      </c>
      <c r="Y28" s="399"/>
      <c r="Z28" s="353">
        <f>1724486</f>
        <v>1724486</v>
      </c>
      <c r="AA28" s="418">
        <v>21</v>
      </c>
      <c r="AB28" s="353">
        <f>1018392/5</f>
        <v>203678.4</v>
      </c>
      <c r="AC28" s="409"/>
      <c r="AD28" s="410"/>
      <c r="AE28" s="399"/>
      <c r="AF28" s="399"/>
      <c r="AG28" s="399"/>
      <c r="AH28" s="399"/>
      <c r="AI28" s="403"/>
      <c r="AJ28" s="403"/>
      <c r="AK28" s="403"/>
      <c r="AL28" s="403"/>
      <c r="AM28" s="420"/>
      <c r="AN28" s="420"/>
      <c r="AO28" s="403"/>
      <c r="AP28" s="403"/>
      <c r="AQ28" s="403"/>
      <c r="AR28" s="403"/>
      <c r="AS28" s="403"/>
      <c r="AT28" s="403"/>
      <c r="AU28" s="399"/>
      <c r="AV28" s="420"/>
      <c r="AW28" s="420"/>
      <c r="AX28" s="420"/>
      <c r="AY28" s="420"/>
      <c r="AZ28" s="420"/>
      <c r="BA28" s="420"/>
      <c r="BB28" s="420"/>
      <c r="BC28" s="415" t="s">
        <v>1493</v>
      </c>
      <c r="BD28" s="415" t="s">
        <v>1670</v>
      </c>
      <c r="BE28" s="420">
        <v>1</v>
      </c>
      <c r="BF28" s="419" t="s">
        <v>315</v>
      </c>
      <c r="BG28" s="370">
        <f>8144500/5</f>
        <v>1628900</v>
      </c>
      <c r="BH28" s="370">
        <v>0</v>
      </c>
      <c r="BI28" s="370">
        <f>1216000/5</f>
        <v>243200</v>
      </c>
      <c r="BJ28" s="370">
        <v>0</v>
      </c>
      <c r="BK28" s="370">
        <v>0</v>
      </c>
      <c r="BL28" s="370">
        <v>0</v>
      </c>
      <c r="BM28" s="370">
        <v>0</v>
      </c>
      <c r="BN28" s="370">
        <v>0</v>
      </c>
      <c r="BO28" s="370">
        <v>0</v>
      </c>
      <c r="BP28" s="370">
        <f>11470800/5</f>
        <v>2294160</v>
      </c>
      <c r="BQ28" s="370">
        <f>-2026500/5</f>
        <v>-405300</v>
      </c>
      <c r="BR28" s="370">
        <v>0</v>
      </c>
      <c r="BS28" s="362">
        <f>SUM(Table14[[#This Row],[Jan-24]:[Dec-24]])</f>
        <v>3760960</v>
      </c>
      <c r="BT28" s="362">
        <v>0</v>
      </c>
      <c r="BU28" s="414">
        <f>3473800/5</f>
        <v>694760</v>
      </c>
      <c r="BV28" s="414">
        <f>2129050/5</f>
        <v>425810</v>
      </c>
      <c r="BW28" s="414">
        <v>0</v>
      </c>
      <c r="BX28" s="414">
        <v>0</v>
      </c>
      <c r="BY28" s="367">
        <v>0</v>
      </c>
      <c r="BZ28" s="367">
        <v>0</v>
      </c>
      <c r="CA28" s="367">
        <v>151549.79199999999</v>
      </c>
      <c r="CB28" s="367">
        <f>9472000/5</f>
        <v>1894400</v>
      </c>
      <c r="CC28" s="367"/>
      <c r="CD28" s="367"/>
      <c r="CE28" s="367">
        <v>1064699.2</v>
      </c>
      <c r="CF28" s="362">
        <f>SUM(Table14[[#This Row],[Jan-25]:[Dec-25]])</f>
        <v>4231218.9919999996</v>
      </c>
      <c r="CG28" s="367">
        <v>0</v>
      </c>
      <c r="CH28" s="367">
        <v>0</v>
      </c>
      <c r="CI28" s="367">
        <v>0</v>
      </c>
      <c r="CJ28" s="414">
        <f>SUM(Table14[[#This Row],[Jan-26]:[Mar-26]])</f>
        <v>0</v>
      </c>
      <c r="CK28" s="531">
        <f>IFERROR(SUM(Table14[[#This Row],[Oct-25]:[Dec-25]],Table14[[#This Row],[Jan-26]:[Mar-26]])/COUNT(Table14[[#This Row],[Oct-25]:[Dec-25]],Table14[[#This Row],[Jan-26]:[Mar-26]]),0)</f>
        <v>266174.8</v>
      </c>
      <c r="CL28" s="367"/>
      <c r="CM28" s="414">
        <f>Table14[[#This Row],[YTD 2024]]+Table14[[#This Row],[YTD 2025]]+Table14[[#This Row],[YTD 2026]]</f>
        <v>7992178.9919999996</v>
      </c>
      <c r="CN28" s="418">
        <v>22</v>
      </c>
      <c r="CO28" s="353">
        <f t="shared" si="1"/>
        <v>363280.86327272723</v>
      </c>
      <c r="CP28" s="353">
        <f>Table14[[#This Row],[Unit Cost]]-Table14[[#This Row],[Margin on Reagent sale]]</f>
        <v>-1472385.5967999999</v>
      </c>
      <c r="CQ28" s="372">
        <f>Table14[[#This Row],[Avg reagent Sales per month Actual]]-Table14[[#This Row],[Per Month Reagent Commitment]]</f>
        <v>159602.46327272724</v>
      </c>
      <c r="CR28" s="403" t="s">
        <v>316</v>
      </c>
      <c r="CS28" s="367">
        <f>Table14[[#This Row],[On Track / (behind) (avg per month)]]/Table14[[#This Row],[Months]]</f>
        <v>7254.6574214876018</v>
      </c>
      <c r="CT28" s="368">
        <v>0.4</v>
      </c>
      <c r="CU28" s="367">
        <f>Table14[[#This Row],[Total Reagent Sales till date Actual]]*Table14[[#This Row],[Margin %]]</f>
        <v>3196871.5967999999</v>
      </c>
      <c r="CV28" s="400">
        <f t="shared" si="13"/>
        <v>0.4</v>
      </c>
      <c r="CW28" s="212">
        <f t="shared" si="3"/>
        <v>9582292.7999999989</v>
      </c>
      <c r="CX28" s="212">
        <f t="shared" si="4"/>
        <v>3832917.1199999996</v>
      </c>
      <c r="CY28" s="223">
        <f t="shared" si="2"/>
        <v>1724486</v>
      </c>
      <c r="CZ28" s="226">
        <f t="shared" si="5"/>
        <v>2108431.1199999996</v>
      </c>
      <c r="DA28" s="212">
        <f t="shared" si="6"/>
        <v>16.196931490133554</v>
      </c>
      <c r="DC28" s="101" t="s">
        <v>432</v>
      </c>
      <c r="DD28" s="101" t="s">
        <v>417</v>
      </c>
      <c r="DM28" s="244"/>
    </row>
    <row r="29" spans="1:117" s="101" customFormat="1" ht="15" customHeight="1" x14ac:dyDescent="0.3">
      <c r="A29" s="399" t="s">
        <v>423</v>
      </c>
      <c r="B29" s="629" t="s">
        <v>433</v>
      </c>
      <c r="C29" s="399" t="s">
        <v>22</v>
      </c>
      <c r="D29" s="415" t="s">
        <v>33</v>
      </c>
      <c r="E29" s="403">
        <v>15001967</v>
      </c>
      <c r="F29" s="403" t="s">
        <v>397</v>
      </c>
      <c r="G29" s="449">
        <v>3002000053</v>
      </c>
      <c r="H29" s="409"/>
      <c r="I29" s="416">
        <v>123108</v>
      </c>
      <c r="J29" s="417"/>
      <c r="K29" s="417" t="s">
        <v>424</v>
      </c>
      <c r="L29" s="417" t="s">
        <v>404</v>
      </c>
      <c r="M29" s="417" t="s">
        <v>425</v>
      </c>
      <c r="N29" s="417"/>
      <c r="O29" s="418" t="s">
        <v>304</v>
      </c>
      <c r="P29" s="418" t="s">
        <v>16</v>
      </c>
      <c r="Q29" s="399" t="s">
        <v>426</v>
      </c>
      <c r="R29" s="399">
        <v>3020000166</v>
      </c>
      <c r="S29" s="419" t="s">
        <v>112</v>
      </c>
      <c r="T29" s="422" t="s">
        <v>427</v>
      </c>
      <c r="U29" s="403" t="s">
        <v>428</v>
      </c>
      <c r="V29" s="403" t="s">
        <v>429</v>
      </c>
      <c r="W29" s="399" t="s">
        <v>430</v>
      </c>
      <c r="X29" s="399" t="s">
        <v>431</v>
      </c>
      <c r="Y29" s="399"/>
      <c r="Z29" s="353">
        <v>1724486</v>
      </c>
      <c r="AA29" s="418">
        <v>21</v>
      </c>
      <c r="AB29" s="353">
        <f>1018392/5</f>
        <v>203678.4</v>
      </c>
      <c r="AC29" s="409"/>
      <c r="AD29" s="410"/>
      <c r="AE29" s="399"/>
      <c r="AF29" s="399"/>
      <c r="AG29" s="399"/>
      <c r="AH29" s="399"/>
      <c r="AI29" s="403"/>
      <c r="AJ29" s="403"/>
      <c r="AK29" s="403"/>
      <c r="AL29" s="403"/>
      <c r="AM29" s="420"/>
      <c r="AN29" s="420"/>
      <c r="AO29" s="403"/>
      <c r="AP29" s="403"/>
      <c r="AQ29" s="403"/>
      <c r="AR29" s="403"/>
      <c r="AS29" s="403"/>
      <c r="AT29" s="403"/>
      <c r="AU29" s="399" t="e">
        <v>#N/A</v>
      </c>
      <c r="AV29" s="420"/>
      <c r="AW29" s="420"/>
      <c r="AX29" s="420"/>
      <c r="AY29" s="420"/>
      <c r="AZ29" s="420"/>
      <c r="BA29" s="420"/>
      <c r="BB29" s="420"/>
      <c r="BC29" s="415" t="s">
        <v>1493</v>
      </c>
      <c r="BD29" s="415" t="s">
        <v>1670</v>
      </c>
      <c r="BE29" s="420">
        <v>1</v>
      </c>
      <c r="BF29" s="419" t="s">
        <v>315</v>
      </c>
      <c r="BG29" s="370">
        <f>8144500/5</f>
        <v>1628900</v>
      </c>
      <c r="BH29" s="370">
        <v>0</v>
      </c>
      <c r="BI29" s="370">
        <f>1216000/5</f>
        <v>243200</v>
      </c>
      <c r="BJ29" s="370">
        <v>0</v>
      </c>
      <c r="BK29" s="370">
        <v>0</v>
      </c>
      <c r="BL29" s="370">
        <v>0</v>
      </c>
      <c r="BM29" s="370">
        <v>0</v>
      </c>
      <c r="BN29" s="370">
        <v>0</v>
      </c>
      <c r="BO29" s="370">
        <v>0</v>
      </c>
      <c r="BP29" s="370">
        <f>11470800/5</f>
        <v>2294160</v>
      </c>
      <c r="BQ29" s="370">
        <f>-2026500/5</f>
        <v>-405300</v>
      </c>
      <c r="BR29" s="370">
        <v>0</v>
      </c>
      <c r="BS29" s="362">
        <f>SUM(Table14[[#This Row],[Jan-24]:[Dec-24]])</f>
        <v>3760960</v>
      </c>
      <c r="BT29" s="362">
        <v>0</v>
      </c>
      <c r="BU29" s="414">
        <f>3473800/5</f>
        <v>694760</v>
      </c>
      <c r="BV29" s="414">
        <f>2129050/5</f>
        <v>425810</v>
      </c>
      <c r="BW29" s="414">
        <v>0</v>
      </c>
      <c r="BX29" s="414">
        <v>0</v>
      </c>
      <c r="BY29" s="367">
        <v>0</v>
      </c>
      <c r="BZ29" s="367">
        <v>0</v>
      </c>
      <c r="CA29" s="367">
        <v>151549.79199999999</v>
      </c>
      <c r="CB29" s="367">
        <f>9472000/5</f>
        <v>1894400</v>
      </c>
      <c r="CC29" s="367"/>
      <c r="CD29" s="367"/>
      <c r="CE29" s="367">
        <v>1064699.2</v>
      </c>
      <c r="CF29" s="362">
        <f>SUM(Table14[[#This Row],[Jan-25]:[Dec-25]])</f>
        <v>4231218.9919999996</v>
      </c>
      <c r="CG29" s="367">
        <v>0</v>
      </c>
      <c r="CH29" s="367">
        <v>0</v>
      </c>
      <c r="CI29" s="367">
        <v>0</v>
      </c>
      <c r="CJ29" s="414">
        <f>SUM(Table14[[#This Row],[Jan-26]:[Mar-26]])</f>
        <v>0</v>
      </c>
      <c r="CK29" s="531">
        <f>IFERROR(SUM(Table14[[#This Row],[Oct-25]:[Dec-25]],Table14[[#This Row],[Jan-26]:[Mar-26]])/COUNT(Table14[[#This Row],[Oct-25]:[Dec-25]],Table14[[#This Row],[Jan-26]:[Mar-26]]),0)</f>
        <v>266174.8</v>
      </c>
      <c r="CL29" s="367"/>
      <c r="CM29" s="414">
        <f>Table14[[#This Row],[YTD 2024]]+Table14[[#This Row],[YTD 2025]]+Table14[[#This Row],[YTD 2026]]</f>
        <v>7992178.9919999996</v>
      </c>
      <c r="CN29" s="418">
        <v>22</v>
      </c>
      <c r="CO29" s="353">
        <f t="shared" si="1"/>
        <v>363280.86327272723</v>
      </c>
      <c r="CP29" s="353">
        <f>Table14[[#This Row],[Unit Cost]]-Table14[[#This Row],[Margin on Reagent sale]]</f>
        <v>-1472385.5967999999</v>
      </c>
      <c r="CQ29" s="372">
        <f>Table14[[#This Row],[Avg reagent Sales per month Actual]]-Table14[[#This Row],[Per Month Reagent Commitment]]</f>
        <v>159602.46327272724</v>
      </c>
      <c r="CR29" s="403" t="s">
        <v>316</v>
      </c>
      <c r="CS29" s="367">
        <f>Table14[[#This Row],[On Track / (behind) (avg per month)]]/Table14[[#This Row],[Months]]</f>
        <v>7254.6574214876018</v>
      </c>
      <c r="CT29" s="368">
        <v>0.4</v>
      </c>
      <c r="CU29" s="367">
        <f>Table14[[#This Row],[Total Reagent Sales till date Actual]]*Table14[[#This Row],[Margin %]]</f>
        <v>3196871.5967999999</v>
      </c>
      <c r="CV29" s="400">
        <f t="shared" si="13"/>
        <v>0.4</v>
      </c>
      <c r="CW29" s="212">
        <f t="shared" si="3"/>
        <v>9582292.7999999989</v>
      </c>
      <c r="CX29" s="212">
        <f t="shared" si="4"/>
        <v>3832917.1199999996</v>
      </c>
      <c r="CY29" s="223">
        <f t="shared" si="2"/>
        <v>1724486</v>
      </c>
      <c r="CZ29" s="226">
        <f t="shared" si="5"/>
        <v>2108431.1199999996</v>
      </c>
      <c r="DA29" s="212">
        <f t="shared" si="6"/>
        <v>16.196931490133554</v>
      </c>
      <c r="DC29" s="226"/>
      <c r="DM29" s="244"/>
    </row>
    <row r="30" spans="1:117" s="101" customFormat="1" ht="15" customHeight="1" x14ac:dyDescent="0.3">
      <c r="A30" s="399" t="s">
        <v>423</v>
      </c>
      <c r="B30" s="629" t="s">
        <v>297</v>
      </c>
      <c r="C30" s="399" t="s">
        <v>22</v>
      </c>
      <c r="D30" s="415" t="s">
        <v>33</v>
      </c>
      <c r="E30" s="403">
        <v>15001967</v>
      </c>
      <c r="F30" s="403" t="s">
        <v>397</v>
      </c>
      <c r="G30" s="449">
        <v>3002000054</v>
      </c>
      <c r="H30" s="409"/>
      <c r="I30" s="416">
        <v>123109</v>
      </c>
      <c r="J30" s="417"/>
      <c r="K30" s="417" t="s">
        <v>424</v>
      </c>
      <c r="L30" s="417" t="s">
        <v>404</v>
      </c>
      <c r="M30" s="417" t="s">
        <v>425</v>
      </c>
      <c r="N30" s="417"/>
      <c r="O30" s="418" t="s">
        <v>304</v>
      </c>
      <c r="P30" s="418" t="s">
        <v>16</v>
      </c>
      <c r="Q30" s="399" t="s">
        <v>426</v>
      </c>
      <c r="R30" s="399">
        <v>3020000166</v>
      </c>
      <c r="S30" s="419" t="s">
        <v>112</v>
      </c>
      <c r="T30" s="422" t="s">
        <v>427</v>
      </c>
      <c r="U30" s="403" t="s">
        <v>428</v>
      </c>
      <c r="V30" s="403" t="s">
        <v>429</v>
      </c>
      <c r="W30" s="399" t="s">
        <v>430</v>
      </c>
      <c r="X30" s="399" t="s">
        <v>431</v>
      </c>
      <c r="Y30" s="399"/>
      <c r="Z30" s="353">
        <v>1724486</v>
      </c>
      <c r="AA30" s="418">
        <v>21</v>
      </c>
      <c r="AB30" s="353">
        <f>1018392/5</f>
        <v>203678.4</v>
      </c>
      <c r="AC30" s="409"/>
      <c r="AD30" s="410"/>
      <c r="AE30" s="399"/>
      <c r="AF30" s="399"/>
      <c r="AG30" s="399"/>
      <c r="AH30" s="399"/>
      <c r="AI30" s="403"/>
      <c r="AJ30" s="403"/>
      <c r="AK30" s="403"/>
      <c r="AL30" s="403"/>
      <c r="AM30" s="420"/>
      <c r="AN30" s="420"/>
      <c r="AO30" s="403"/>
      <c r="AP30" s="403"/>
      <c r="AQ30" s="403"/>
      <c r="AR30" s="403"/>
      <c r="AS30" s="403"/>
      <c r="AT30" s="403"/>
      <c r="AU30" s="399" t="e">
        <v>#N/A</v>
      </c>
      <c r="AV30" s="420"/>
      <c r="AW30" s="420"/>
      <c r="AX30" s="420"/>
      <c r="AY30" s="420"/>
      <c r="AZ30" s="420"/>
      <c r="BA30" s="420"/>
      <c r="BB30" s="420"/>
      <c r="BC30" s="415" t="s">
        <v>1493</v>
      </c>
      <c r="BD30" s="415" t="s">
        <v>1670</v>
      </c>
      <c r="BE30" s="420">
        <v>1</v>
      </c>
      <c r="BF30" s="419" t="s">
        <v>315</v>
      </c>
      <c r="BG30" s="370">
        <f>8144500/5</f>
        <v>1628900</v>
      </c>
      <c r="BH30" s="370">
        <v>0</v>
      </c>
      <c r="BI30" s="370">
        <f>1216000/5</f>
        <v>243200</v>
      </c>
      <c r="BJ30" s="370">
        <v>0</v>
      </c>
      <c r="BK30" s="370">
        <v>0</v>
      </c>
      <c r="BL30" s="370">
        <v>0</v>
      </c>
      <c r="BM30" s="370">
        <v>0</v>
      </c>
      <c r="BN30" s="370">
        <v>0</v>
      </c>
      <c r="BO30" s="370">
        <v>0</v>
      </c>
      <c r="BP30" s="370">
        <f>11470800/5</f>
        <v>2294160</v>
      </c>
      <c r="BQ30" s="370">
        <f>-2026500/5</f>
        <v>-405300</v>
      </c>
      <c r="BR30" s="370">
        <v>0</v>
      </c>
      <c r="BS30" s="362">
        <f>SUM(Table14[[#This Row],[Jan-24]:[Dec-24]])</f>
        <v>3760960</v>
      </c>
      <c r="BT30" s="362">
        <v>0</v>
      </c>
      <c r="BU30" s="414">
        <f>3473800/5</f>
        <v>694760</v>
      </c>
      <c r="BV30" s="414">
        <f>2129050/5</f>
        <v>425810</v>
      </c>
      <c r="BW30" s="414">
        <v>0</v>
      </c>
      <c r="BX30" s="414">
        <v>0</v>
      </c>
      <c r="BY30" s="367">
        <v>0</v>
      </c>
      <c r="BZ30" s="367">
        <v>0</v>
      </c>
      <c r="CA30" s="367">
        <v>151549.79199999999</v>
      </c>
      <c r="CB30" s="367">
        <f>9472000/5</f>
        <v>1894400</v>
      </c>
      <c r="CC30" s="367"/>
      <c r="CD30" s="367"/>
      <c r="CE30" s="367">
        <v>1064699.2</v>
      </c>
      <c r="CF30" s="362">
        <f>SUM(Table14[[#This Row],[Jan-25]:[Dec-25]])</f>
        <v>4231218.9919999996</v>
      </c>
      <c r="CG30" s="367">
        <v>0</v>
      </c>
      <c r="CH30" s="367">
        <v>0</v>
      </c>
      <c r="CI30" s="367">
        <v>0</v>
      </c>
      <c r="CJ30" s="414">
        <f>SUM(Table14[[#This Row],[Jan-26]:[Mar-26]])</f>
        <v>0</v>
      </c>
      <c r="CK30" s="531">
        <f>IFERROR(SUM(Table14[[#This Row],[Oct-25]:[Dec-25]],Table14[[#This Row],[Jan-26]:[Mar-26]])/COUNT(Table14[[#This Row],[Oct-25]:[Dec-25]],Table14[[#This Row],[Jan-26]:[Mar-26]]),0)</f>
        <v>266174.8</v>
      </c>
      <c r="CL30" s="367"/>
      <c r="CM30" s="414">
        <f>Table14[[#This Row],[YTD 2024]]+Table14[[#This Row],[YTD 2025]]+Table14[[#This Row],[YTD 2026]]</f>
        <v>7992178.9919999996</v>
      </c>
      <c r="CN30" s="418">
        <v>22</v>
      </c>
      <c r="CO30" s="353">
        <f t="shared" si="1"/>
        <v>363280.86327272723</v>
      </c>
      <c r="CP30" s="353">
        <f>Table14[[#This Row],[Unit Cost]]-Table14[[#This Row],[Margin on Reagent sale]]</f>
        <v>-1472385.5967999999</v>
      </c>
      <c r="CQ30" s="372">
        <f>Table14[[#This Row],[Avg reagent Sales per month Actual]]-Table14[[#This Row],[Per Month Reagent Commitment]]</f>
        <v>159602.46327272724</v>
      </c>
      <c r="CR30" s="403" t="s">
        <v>316</v>
      </c>
      <c r="CS30" s="367">
        <f>Table14[[#This Row],[On Track / (behind) (avg per month)]]/Table14[[#This Row],[Months]]</f>
        <v>7254.6574214876018</v>
      </c>
      <c r="CT30" s="368">
        <v>0.4</v>
      </c>
      <c r="CU30" s="367">
        <f>Table14[[#This Row],[Total Reagent Sales till date Actual]]*Table14[[#This Row],[Margin %]]</f>
        <v>3196871.5967999999</v>
      </c>
      <c r="CV30" s="400">
        <f t="shared" si="13"/>
        <v>0.4</v>
      </c>
      <c r="CW30" s="212">
        <f t="shared" si="3"/>
        <v>9582292.7999999989</v>
      </c>
      <c r="CX30" s="212">
        <f t="shared" si="4"/>
        <v>3832917.1199999996</v>
      </c>
      <c r="CY30" s="223">
        <f t="shared" si="2"/>
        <v>1724486</v>
      </c>
      <c r="CZ30" s="226">
        <f t="shared" si="5"/>
        <v>2108431.1199999996</v>
      </c>
      <c r="DA30" s="212">
        <f t="shared" si="6"/>
        <v>16.196931490133554</v>
      </c>
      <c r="DB30" s="101" t="s">
        <v>434</v>
      </c>
      <c r="DM30" s="244"/>
    </row>
    <row r="31" spans="1:117" ht="15" customHeight="1" x14ac:dyDescent="0.3">
      <c r="A31" s="399" t="s">
        <v>423</v>
      </c>
      <c r="B31" s="629" t="s">
        <v>297</v>
      </c>
      <c r="C31" s="399" t="s">
        <v>22</v>
      </c>
      <c r="D31" s="415" t="s">
        <v>33</v>
      </c>
      <c r="E31" s="403">
        <v>15001967</v>
      </c>
      <c r="F31" s="403" t="s">
        <v>397</v>
      </c>
      <c r="G31" s="449">
        <v>3002000055</v>
      </c>
      <c r="H31" s="409"/>
      <c r="I31" s="416">
        <v>123200</v>
      </c>
      <c r="J31" s="417"/>
      <c r="K31" s="417" t="s">
        <v>424</v>
      </c>
      <c r="L31" s="417" t="s">
        <v>404</v>
      </c>
      <c r="M31" s="417" t="s">
        <v>425</v>
      </c>
      <c r="N31" s="417"/>
      <c r="O31" s="418" t="s">
        <v>304</v>
      </c>
      <c r="P31" s="418" t="s">
        <v>16</v>
      </c>
      <c r="Q31" s="399" t="s">
        <v>426</v>
      </c>
      <c r="R31" s="399">
        <v>3020000166</v>
      </c>
      <c r="S31" s="419" t="s">
        <v>112</v>
      </c>
      <c r="T31" s="422" t="s">
        <v>427</v>
      </c>
      <c r="U31" s="403" t="s">
        <v>428</v>
      </c>
      <c r="V31" s="403" t="s">
        <v>429</v>
      </c>
      <c r="W31" s="399" t="s">
        <v>430</v>
      </c>
      <c r="X31" s="399" t="s">
        <v>431</v>
      </c>
      <c r="Y31" s="399"/>
      <c r="Z31" s="353">
        <v>1724486</v>
      </c>
      <c r="AA31" s="418">
        <v>21</v>
      </c>
      <c r="AB31" s="353">
        <f>1018392/5</f>
        <v>203678.4</v>
      </c>
      <c r="AC31" s="409"/>
      <c r="AD31" s="410"/>
      <c r="AE31" s="399"/>
      <c r="AF31" s="399"/>
      <c r="AG31" s="399"/>
      <c r="AH31" s="399"/>
      <c r="AI31" s="403"/>
      <c r="AJ31" s="403"/>
      <c r="AK31" s="403"/>
      <c r="AL31" s="403"/>
      <c r="AM31" s="420"/>
      <c r="AN31" s="420"/>
      <c r="AO31" s="403"/>
      <c r="AP31" s="403"/>
      <c r="AQ31" s="403"/>
      <c r="AR31" s="403"/>
      <c r="AS31" s="403"/>
      <c r="AT31" s="403"/>
      <c r="AU31" s="399" t="e">
        <v>#N/A</v>
      </c>
      <c r="AV31" s="420"/>
      <c r="AW31" s="420"/>
      <c r="AX31" s="420"/>
      <c r="AY31" s="420"/>
      <c r="AZ31" s="420"/>
      <c r="BA31" s="420"/>
      <c r="BB31" s="420"/>
      <c r="BC31" s="415" t="s">
        <v>1493</v>
      </c>
      <c r="BD31" s="415" t="s">
        <v>1670</v>
      </c>
      <c r="BE31" s="420">
        <v>1</v>
      </c>
      <c r="BF31" s="419" t="s">
        <v>315</v>
      </c>
      <c r="BG31" s="370">
        <f>8144500/5</f>
        <v>1628900</v>
      </c>
      <c r="BH31" s="370">
        <v>0</v>
      </c>
      <c r="BI31" s="370">
        <f>1216000/5</f>
        <v>243200</v>
      </c>
      <c r="BJ31" s="370">
        <v>0</v>
      </c>
      <c r="BK31" s="370">
        <v>0</v>
      </c>
      <c r="BL31" s="370">
        <v>0</v>
      </c>
      <c r="BM31" s="370">
        <v>0</v>
      </c>
      <c r="BN31" s="370">
        <v>0</v>
      </c>
      <c r="BO31" s="370">
        <v>0</v>
      </c>
      <c r="BP31" s="370">
        <f>11470800/5</f>
        <v>2294160</v>
      </c>
      <c r="BQ31" s="370">
        <f>-2026500/5</f>
        <v>-405300</v>
      </c>
      <c r="BR31" s="370">
        <v>0</v>
      </c>
      <c r="BS31" s="362">
        <f>SUM(Table14[[#This Row],[Jan-24]:[Dec-24]])</f>
        <v>3760960</v>
      </c>
      <c r="BT31" s="362">
        <v>0</v>
      </c>
      <c r="BU31" s="414">
        <f>3473800/5</f>
        <v>694760</v>
      </c>
      <c r="BV31" s="414">
        <f>2129050/5</f>
        <v>425810</v>
      </c>
      <c r="BW31" s="414">
        <v>0</v>
      </c>
      <c r="BX31" s="414">
        <v>0</v>
      </c>
      <c r="BY31" s="367">
        <v>0</v>
      </c>
      <c r="BZ31" s="367">
        <v>0</v>
      </c>
      <c r="CA31" s="367">
        <v>151549.79199999999</v>
      </c>
      <c r="CB31" s="367">
        <f>9472000/5</f>
        <v>1894400</v>
      </c>
      <c r="CC31" s="367"/>
      <c r="CD31" s="367"/>
      <c r="CE31" s="367">
        <v>1064699.2</v>
      </c>
      <c r="CF31" s="362">
        <f>SUM(Table14[[#This Row],[Jan-25]:[Dec-25]])</f>
        <v>4231218.9919999996</v>
      </c>
      <c r="CG31" s="367">
        <v>0</v>
      </c>
      <c r="CH31" s="367">
        <v>0</v>
      </c>
      <c r="CI31" s="367">
        <v>0</v>
      </c>
      <c r="CJ31" s="414">
        <f>SUM(Table14[[#This Row],[Jan-26]:[Mar-26]])</f>
        <v>0</v>
      </c>
      <c r="CK31" s="531">
        <f>IFERROR(SUM(Table14[[#This Row],[Oct-25]:[Dec-25]],Table14[[#This Row],[Jan-26]:[Mar-26]])/COUNT(Table14[[#This Row],[Oct-25]:[Dec-25]],Table14[[#This Row],[Jan-26]:[Mar-26]]),0)</f>
        <v>266174.8</v>
      </c>
      <c r="CL31" s="367"/>
      <c r="CM31" s="414">
        <f>Table14[[#This Row],[YTD 2024]]+Table14[[#This Row],[YTD 2025]]+Table14[[#This Row],[YTD 2026]]</f>
        <v>7992178.9919999996</v>
      </c>
      <c r="CN31" s="418">
        <v>22</v>
      </c>
      <c r="CO31" s="353">
        <f t="shared" si="1"/>
        <v>363280.86327272723</v>
      </c>
      <c r="CP31" s="353">
        <f>Table14[[#This Row],[Unit Cost]]-Table14[[#This Row],[Margin on Reagent sale]]</f>
        <v>-1472385.5967999999</v>
      </c>
      <c r="CQ31" s="372">
        <f>Table14[[#This Row],[Avg reagent Sales per month Actual]]-Table14[[#This Row],[Per Month Reagent Commitment]]</f>
        <v>159602.46327272724</v>
      </c>
      <c r="CR31" s="403" t="s">
        <v>316</v>
      </c>
      <c r="CS31" s="367">
        <f>Table14[[#This Row],[On Track / (behind) (avg per month)]]/Table14[[#This Row],[Months]]</f>
        <v>7254.6574214876018</v>
      </c>
      <c r="CT31" s="368">
        <v>0.4</v>
      </c>
      <c r="CU31" s="367">
        <f>Table14[[#This Row],[Total Reagent Sales till date Actual]]*Table14[[#This Row],[Margin %]]</f>
        <v>3196871.5967999999</v>
      </c>
      <c r="CV31" s="400">
        <f t="shared" si="13"/>
        <v>0.4</v>
      </c>
      <c r="CW31" s="212">
        <f t="shared" si="3"/>
        <v>9582292.7999999989</v>
      </c>
      <c r="CX31" s="212">
        <f t="shared" si="4"/>
        <v>3832917.1199999996</v>
      </c>
      <c r="CY31" s="223">
        <f t="shared" si="2"/>
        <v>1724486</v>
      </c>
      <c r="CZ31" s="226">
        <f t="shared" si="5"/>
        <v>2108431.1199999996</v>
      </c>
      <c r="DA31" s="212">
        <f t="shared" si="6"/>
        <v>16.196931490133554</v>
      </c>
      <c r="DC31" s="101"/>
      <c r="DD31" s="101" t="s">
        <v>417</v>
      </c>
      <c r="DM31" s="244"/>
    </row>
    <row r="32" spans="1:117" ht="15" customHeight="1" x14ac:dyDescent="0.3">
      <c r="A32" s="399" t="s">
        <v>423</v>
      </c>
      <c r="B32" s="629" t="s">
        <v>297</v>
      </c>
      <c r="C32" s="399" t="s">
        <v>22</v>
      </c>
      <c r="D32" s="415" t="s">
        <v>33</v>
      </c>
      <c r="E32" s="403">
        <v>15001967</v>
      </c>
      <c r="F32" s="403" t="s">
        <v>397</v>
      </c>
      <c r="G32" s="449">
        <v>3002000056</v>
      </c>
      <c r="H32" s="409"/>
      <c r="I32" s="416">
        <v>123217</v>
      </c>
      <c r="J32" s="417"/>
      <c r="K32" s="417" t="s">
        <v>424</v>
      </c>
      <c r="L32" s="417" t="s">
        <v>404</v>
      </c>
      <c r="M32" s="417" t="s">
        <v>425</v>
      </c>
      <c r="N32" s="417"/>
      <c r="O32" s="418" t="s">
        <v>304</v>
      </c>
      <c r="P32" s="418" t="s">
        <v>16</v>
      </c>
      <c r="Q32" s="399" t="s">
        <v>426</v>
      </c>
      <c r="R32" s="399">
        <v>3020000166</v>
      </c>
      <c r="S32" s="419" t="s">
        <v>112</v>
      </c>
      <c r="T32" s="422" t="s">
        <v>427</v>
      </c>
      <c r="U32" s="403" t="s">
        <v>428</v>
      </c>
      <c r="V32" s="403" t="s">
        <v>429</v>
      </c>
      <c r="W32" s="399" t="s">
        <v>430</v>
      </c>
      <c r="X32" s="399" t="s">
        <v>431</v>
      </c>
      <c r="Y32" s="399"/>
      <c r="Z32" s="353">
        <v>1724486</v>
      </c>
      <c r="AA32" s="418">
        <v>21</v>
      </c>
      <c r="AB32" s="353">
        <f>1018392/5</f>
        <v>203678.4</v>
      </c>
      <c r="AC32" s="409"/>
      <c r="AD32" s="410"/>
      <c r="AE32" s="399"/>
      <c r="AF32" s="399"/>
      <c r="AG32" s="399"/>
      <c r="AH32" s="399"/>
      <c r="AI32" s="403"/>
      <c r="AJ32" s="403"/>
      <c r="AK32" s="403"/>
      <c r="AL32" s="403"/>
      <c r="AM32" s="420"/>
      <c r="AN32" s="420"/>
      <c r="AO32" s="403"/>
      <c r="AP32" s="403"/>
      <c r="AQ32" s="403"/>
      <c r="AR32" s="403"/>
      <c r="AS32" s="403"/>
      <c r="AT32" s="403"/>
      <c r="AU32" s="399" t="e">
        <v>#N/A</v>
      </c>
      <c r="AV32" s="420"/>
      <c r="AW32" s="420"/>
      <c r="AX32" s="420"/>
      <c r="AY32" s="420"/>
      <c r="AZ32" s="420"/>
      <c r="BA32" s="420"/>
      <c r="BB32" s="420"/>
      <c r="BC32" s="415" t="s">
        <v>1493</v>
      </c>
      <c r="BD32" s="415" t="s">
        <v>1670</v>
      </c>
      <c r="BE32" s="420">
        <v>1</v>
      </c>
      <c r="BF32" s="419" t="s">
        <v>315</v>
      </c>
      <c r="BG32" s="370">
        <f>8144500/5</f>
        <v>1628900</v>
      </c>
      <c r="BH32" s="370">
        <v>0</v>
      </c>
      <c r="BI32" s="370">
        <f>1216000/5</f>
        <v>243200</v>
      </c>
      <c r="BJ32" s="370">
        <v>0</v>
      </c>
      <c r="BK32" s="370">
        <v>0</v>
      </c>
      <c r="BL32" s="370">
        <v>0</v>
      </c>
      <c r="BM32" s="370">
        <v>0</v>
      </c>
      <c r="BN32" s="370">
        <v>0</v>
      </c>
      <c r="BO32" s="370">
        <v>0</v>
      </c>
      <c r="BP32" s="370">
        <f>11470800/5</f>
        <v>2294160</v>
      </c>
      <c r="BQ32" s="370">
        <f>-2026500/5</f>
        <v>-405300</v>
      </c>
      <c r="BR32" s="370">
        <v>0</v>
      </c>
      <c r="BS32" s="362">
        <f>SUM(Table14[[#This Row],[Jan-24]:[Dec-24]])</f>
        <v>3760960</v>
      </c>
      <c r="BT32" s="362">
        <v>0</v>
      </c>
      <c r="BU32" s="414">
        <f>3473800/5</f>
        <v>694760</v>
      </c>
      <c r="BV32" s="414">
        <f>2129050/5</f>
        <v>425810</v>
      </c>
      <c r="BW32" s="414">
        <v>0</v>
      </c>
      <c r="BX32" s="414">
        <v>0</v>
      </c>
      <c r="BY32" s="367">
        <v>0</v>
      </c>
      <c r="BZ32" s="367">
        <v>0</v>
      </c>
      <c r="CA32" s="367">
        <v>151549.79199999999</v>
      </c>
      <c r="CB32" s="367">
        <f>9472000/5</f>
        <v>1894400</v>
      </c>
      <c r="CC32" s="367"/>
      <c r="CD32" s="367"/>
      <c r="CE32" s="367">
        <v>1064699.2</v>
      </c>
      <c r="CF32" s="362">
        <f>SUM(Table14[[#This Row],[Jan-25]:[Dec-25]])</f>
        <v>4231218.9919999996</v>
      </c>
      <c r="CG32" s="367">
        <v>0</v>
      </c>
      <c r="CH32" s="367">
        <v>0</v>
      </c>
      <c r="CI32" s="367">
        <v>0</v>
      </c>
      <c r="CJ32" s="414">
        <f>SUM(Table14[[#This Row],[Jan-26]:[Mar-26]])</f>
        <v>0</v>
      </c>
      <c r="CK32" s="531">
        <f>IFERROR(SUM(Table14[[#This Row],[Oct-25]:[Dec-25]],Table14[[#This Row],[Jan-26]:[Mar-26]])/COUNT(Table14[[#This Row],[Oct-25]:[Dec-25]],Table14[[#This Row],[Jan-26]:[Mar-26]]),0)</f>
        <v>266174.8</v>
      </c>
      <c r="CL32" s="367"/>
      <c r="CM32" s="414">
        <f>Table14[[#This Row],[YTD 2024]]+Table14[[#This Row],[YTD 2025]]+Table14[[#This Row],[YTD 2026]]</f>
        <v>7992178.9919999996</v>
      </c>
      <c r="CN32" s="418">
        <v>22</v>
      </c>
      <c r="CO32" s="353">
        <f t="shared" si="1"/>
        <v>363280.86327272723</v>
      </c>
      <c r="CP32" s="353">
        <f>Table14[[#This Row],[Unit Cost]]-Table14[[#This Row],[Margin on Reagent sale]]</f>
        <v>-1472385.5967999999</v>
      </c>
      <c r="CQ32" s="372">
        <f>Table14[[#This Row],[Avg reagent Sales per month Actual]]-Table14[[#This Row],[Per Month Reagent Commitment]]</f>
        <v>159602.46327272724</v>
      </c>
      <c r="CR32" s="403" t="s">
        <v>316</v>
      </c>
      <c r="CS32" s="367">
        <f>Table14[[#This Row],[On Track / (behind) (avg per month)]]/Table14[[#This Row],[Months]]</f>
        <v>7254.6574214876018</v>
      </c>
      <c r="CT32" s="368">
        <v>0.4</v>
      </c>
      <c r="CU32" s="367">
        <f>Table14[[#This Row],[Total Reagent Sales till date Actual]]*Table14[[#This Row],[Margin %]]</f>
        <v>3196871.5967999999</v>
      </c>
      <c r="CV32" s="400">
        <f t="shared" si="13"/>
        <v>0.4</v>
      </c>
      <c r="CW32" s="212">
        <f t="shared" si="3"/>
        <v>9582292.7999999989</v>
      </c>
      <c r="CX32" s="212">
        <f t="shared" si="4"/>
        <v>3832917.1199999996</v>
      </c>
      <c r="CY32" s="223">
        <f t="shared" si="2"/>
        <v>1724486</v>
      </c>
      <c r="CZ32" s="226">
        <f t="shared" si="5"/>
        <v>2108431.1199999996</v>
      </c>
      <c r="DA32" s="212">
        <f t="shared" si="6"/>
        <v>16.196931490133554</v>
      </c>
      <c r="DD32" s="101" t="s">
        <v>435</v>
      </c>
      <c r="DM32" s="244"/>
    </row>
    <row r="33" spans="1:117" ht="15" customHeight="1" x14ac:dyDescent="0.3">
      <c r="A33" s="399" t="s">
        <v>423</v>
      </c>
      <c r="B33" s="629" t="s">
        <v>297</v>
      </c>
      <c r="C33" s="399" t="s">
        <v>22</v>
      </c>
      <c r="D33" s="419" t="s">
        <v>436</v>
      </c>
      <c r="E33" s="403">
        <v>15001968</v>
      </c>
      <c r="F33" s="403" t="s">
        <v>397</v>
      </c>
      <c r="G33" s="449" t="s">
        <v>1624</v>
      </c>
      <c r="H33" s="666"/>
      <c r="I33" s="416">
        <v>127709</v>
      </c>
      <c r="J33" s="417"/>
      <c r="K33" s="417"/>
      <c r="L33" s="417" t="s">
        <v>437</v>
      </c>
      <c r="M33" s="417"/>
      <c r="N33" s="417"/>
      <c r="O33" s="418" t="s">
        <v>400</v>
      </c>
      <c r="P33" s="418" t="s">
        <v>16</v>
      </c>
      <c r="Q33" s="399" t="s">
        <v>426</v>
      </c>
      <c r="R33" s="399">
        <v>3020000166</v>
      </c>
      <c r="S33" s="419" t="s">
        <v>172</v>
      </c>
      <c r="T33" s="403" t="s">
        <v>427</v>
      </c>
      <c r="U33" s="403" t="s">
        <v>428</v>
      </c>
      <c r="V33" s="403" t="s">
        <v>429</v>
      </c>
      <c r="W33" s="382" t="s">
        <v>430</v>
      </c>
      <c r="X33" s="399" t="s">
        <v>431</v>
      </c>
      <c r="Y33" s="399"/>
      <c r="Z33" s="486">
        <v>1500000</v>
      </c>
      <c r="AA33" s="418">
        <v>37</v>
      </c>
      <c r="AB33" s="486">
        <v>100771</v>
      </c>
      <c r="AC33" s="409"/>
      <c r="AD33" s="410"/>
      <c r="AE33" s="399"/>
      <c r="AF33" s="399"/>
      <c r="AG33" s="399"/>
      <c r="AH33" s="399"/>
      <c r="AI33" s="403"/>
      <c r="AJ33" s="403"/>
      <c r="AK33" s="403"/>
      <c r="AL33" s="403"/>
      <c r="AM33" s="420"/>
      <c r="AN33" s="420"/>
      <c r="AO33" s="403"/>
      <c r="AP33" s="403"/>
      <c r="AQ33" s="403"/>
      <c r="AR33" s="403"/>
      <c r="AS33" s="403"/>
      <c r="AT33" s="403"/>
      <c r="AU33" s="399"/>
      <c r="AV33" s="420"/>
      <c r="AW33" s="420"/>
      <c r="AX33" s="420"/>
      <c r="AY33" s="420"/>
      <c r="AZ33" s="420"/>
      <c r="BA33" s="370"/>
      <c r="BB33" s="358"/>
      <c r="BC33" s="595" t="s">
        <v>1496</v>
      </c>
      <c r="BD33" s="595" t="s">
        <v>1671</v>
      </c>
      <c r="BE33" s="358">
        <v>1</v>
      </c>
      <c r="BF33" s="419" t="s">
        <v>315</v>
      </c>
      <c r="BG33" s="370"/>
      <c r="BH33" s="370"/>
      <c r="BI33" s="370"/>
      <c r="BJ33" s="370"/>
      <c r="BK33" s="487"/>
      <c r="BL33" s="488"/>
      <c r="BM33" s="358"/>
      <c r="BN33" s="358"/>
      <c r="BO33" s="370"/>
      <c r="BP33" s="487"/>
      <c r="BQ33" s="487"/>
      <c r="BR33" s="487"/>
      <c r="BS33" s="362">
        <f>SUM(Table14[[#This Row],[Jan-24]:[Dec-24]])</f>
        <v>0</v>
      </c>
      <c r="BT33" s="360"/>
      <c r="BU33" s="360"/>
      <c r="BV33" s="376"/>
      <c r="BW33" s="376"/>
      <c r="BX33" s="376">
        <v>0</v>
      </c>
      <c r="BY33" s="376"/>
      <c r="BZ33" s="376"/>
      <c r="CA33" s="376"/>
      <c r="CB33" s="376"/>
      <c r="CC33" s="376"/>
      <c r="CD33" s="376"/>
      <c r="CE33" s="376"/>
      <c r="CF33" s="362">
        <f>SUM(Table14[[#This Row],[Jan-25]:[Dec-25]])</f>
        <v>0</v>
      </c>
      <c r="CG33" s="376">
        <v>0</v>
      </c>
      <c r="CH33" s="376">
        <v>0</v>
      </c>
      <c r="CI33" s="376">
        <v>0</v>
      </c>
      <c r="CJ33" s="414">
        <f>SUM(Table14[[#This Row],[Jan-26]:[Mar-26]])</f>
        <v>0</v>
      </c>
      <c r="CK33" s="531">
        <f>IFERROR(SUM(Table14[[#This Row],[Oct-25]:[Dec-25]],Table14[[#This Row],[Jan-26]:[Mar-26]])/COUNT(Table14[[#This Row],[Oct-25]:[Dec-25]],Table14[[#This Row],[Jan-26]:[Mar-26]]),0)</f>
        <v>0</v>
      </c>
      <c r="CL33" s="367"/>
      <c r="CM33" s="414">
        <f>Table14[[#This Row],[YTD 2024]]+Table14[[#This Row],[YTD 2025]]+Table14[[#This Row],[YTD 2026]]</f>
        <v>0</v>
      </c>
      <c r="CN33" s="418"/>
      <c r="CO33" s="353" t="e">
        <f t="shared" si="1"/>
        <v>#DIV/0!</v>
      </c>
      <c r="CP33" s="353">
        <f>Table14[[#This Row],[Unit Cost]]-Table14[[#This Row],[Margin on Reagent sale]]</f>
        <v>1500000</v>
      </c>
      <c r="CQ33" s="489" t="e">
        <f>Table14[[#This Row],[Avg reagent Sales per month Actual]]-Table14[[#This Row],[Per Month Reagent Commitment]]</f>
        <v>#DIV/0!</v>
      </c>
      <c r="CR33" s="373"/>
      <c r="CS33" s="367" t="e">
        <f>Table14[[#This Row],[On Track / (behind) (avg per month)]]/Table14[[#This Row],[Months]]</f>
        <v>#DIV/0!</v>
      </c>
      <c r="CT33" s="368">
        <v>0.4</v>
      </c>
      <c r="CU33" s="367">
        <f>Table14[[#This Row],[Total Reagent Sales till date Actual]]*Table14[[#This Row],[Margin %]]</f>
        <v>0</v>
      </c>
      <c r="CV33" s="371">
        <f t="shared" si="13"/>
        <v>0.4</v>
      </c>
      <c r="CW33" s="212">
        <f t="shared" si="3"/>
        <v>0</v>
      </c>
      <c r="CX33" s="212">
        <f t="shared" si="4"/>
        <v>0</v>
      </c>
      <c r="CY33" s="223">
        <f t="shared" si="2"/>
        <v>1500000</v>
      </c>
      <c r="CZ33" s="226">
        <f t="shared" si="5"/>
        <v>-1500000</v>
      </c>
      <c r="DA33" s="212" t="e">
        <f t="shared" si="6"/>
        <v>#DIV/0!</v>
      </c>
      <c r="DM33" s="244"/>
    </row>
    <row r="34" spans="1:117" s="101" customFormat="1" ht="15" customHeight="1" x14ac:dyDescent="0.3">
      <c r="A34" s="399" t="s">
        <v>438</v>
      </c>
      <c r="B34" s="630" t="s">
        <v>345</v>
      </c>
      <c r="C34" s="399" t="s">
        <v>51</v>
      </c>
      <c r="D34" s="415" t="s">
        <v>439</v>
      </c>
      <c r="E34" s="403">
        <v>15003000</v>
      </c>
      <c r="F34" s="403" t="s">
        <v>403</v>
      </c>
      <c r="G34" s="449">
        <v>3002000112</v>
      </c>
      <c r="H34" s="666"/>
      <c r="I34" s="416">
        <v>1746</v>
      </c>
      <c r="J34" s="417"/>
      <c r="K34" s="417"/>
      <c r="L34" s="417"/>
      <c r="M34" s="417" t="s">
        <v>303</v>
      </c>
      <c r="N34" s="417"/>
      <c r="O34" s="418" t="s">
        <v>304</v>
      </c>
      <c r="P34" s="418" t="s">
        <v>17</v>
      </c>
      <c r="Q34" s="399" t="s">
        <v>440</v>
      </c>
      <c r="R34" s="399">
        <v>3020001814</v>
      </c>
      <c r="S34" s="403" t="s">
        <v>62</v>
      </c>
      <c r="T34" s="448"/>
      <c r="U34" s="403" t="s">
        <v>441</v>
      </c>
      <c r="V34" s="403" t="s">
        <v>442</v>
      </c>
      <c r="W34" s="382" t="s">
        <v>443</v>
      </c>
      <c r="X34" s="399" t="s">
        <v>444</v>
      </c>
      <c r="Y34" s="399"/>
      <c r="Z34" s="353">
        <v>3592655</v>
      </c>
      <c r="AA34" s="418">
        <v>29</v>
      </c>
      <c r="AB34" s="353">
        <v>356735</v>
      </c>
      <c r="AC34" s="409"/>
      <c r="AD34" s="410"/>
      <c r="AE34" s="399"/>
      <c r="AF34" s="399"/>
      <c r="AG34" s="399"/>
      <c r="AH34" s="399"/>
      <c r="AI34" s="403"/>
      <c r="AJ34" s="403"/>
      <c r="AK34" s="403"/>
      <c r="AL34" s="403"/>
      <c r="AM34" s="420"/>
      <c r="AN34" s="420"/>
      <c r="AO34" s="403"/>
      <c r="AP34" s="403"/>
      <c r="AQ34" s="403"/>
      <c r="AR34" s="403"/>
      <c r="AS34" s="403"/>
      <c r="AT34" s="403"/>
      <c r="AU34" s="399" t="e">
        <v>#N/A</v>
      </c>
      <c r="AV34" s="420"/>
      <c r="AW34" s="420"/>
      <c r="AX34" s="420"/>
      <c r="AY34" s="420"/>
      <c r="AZ34" s="420"/>
      <c r="BA34" s="370"/>
      <c r="BB34" s="370"/>
      <c r="BC34" s="597" t="s">
        <v>1524</v>
      </c>
      <c r="BD34" s="597" t="s">
        <v>1569</v>
      </c>
      <c r="BE34" s="375">
        <v>1</v>
      </c>
      <c r="BF34" s="419" t="s">
        <v>315</v>
      </c>
      <c r="BG34" s="370"/>
      <c r="BH34" s="370"/>
      <c r="BI34" s="370"/>
      <c r="BJ34" s="370"/>
      <c r="BK34" s="370"/>
      <c r="BL34" s="374"/>
      <c r="BM34" s="358"/>
      <c r="BN34" s="358"/>
      <c r="BO34" s="358"/>
      <c r="BP34" s="358"/>
      <c r="BQ34" s="358"/>
      <c r="BR34" s="358"/>
      <c r="BS34" s="362">
        <f>SUM(Table14[[#This Row],[Jan-24]:[Dec-24]])</f>
        <v>0</v>
      </c>
      <c r="BT34" s="414"/>
      <c r="BU34" s="414"/>
      <c r="BV34" s="414"/>
      <c r="BW34" s="421"/>
      <c r="BX34" s="421"/>
      <c r="BY34" s="421"/>
      <c r="BZ34" s="414">
        <v>692600</v>
      </c>
      <c r="CA34" s="414">
        <v>366000</v>
      </c>
      <c r="CB34" s="414">
        <v>318400</v>
      </c>
      <c r="CC34" s="414">
        <v>247800</v>
      </c>
      <c r="CD34" s="414">
        <v>69000</v>
      </c>
      <c r="CE34" s="414">
        <v>578400</v>
      </c>
      <c r="CF34" s="362">
        <f>SUM(Table14[[#This Row],[Jan-25]:[Dec-25]])</f>
        <v>2272200</v>
      </c>
      <c r="CG34" s="414">
        <v>390600</v>
      </c>
      <c r="CH34" s="414">
        <v>499100</v>
      </c>
      <c r="CI34" s="414">
        <v>0</v>
      </c>
      <c r="CJ34" s="414">
        <f>SUM(Table14[[#This Row],[Jan-26]:[Mar-26]])</f>
        <v>889700</v>
      </c>
      <c r="CK34" s="531">
        <f>IFERROR(SUM(Table14[[#This Row],[Oct-25]:[Dec-25]],Table14[[#This Row],[Jan-26]:[Mar-26]])/COUNT(Table14[[#This Row],[Oct-25]:[Dec-25]],Table14[[#This Row],[Jan-26]:[Mar-26]]),0)</f>
        <v>297483.33333333331</v>
      </c>
      <c r="CL34" s="367" t="s">
        <v>445</v>
      </c>
      <c r="CM34" s="414">
        <f>Table14[[#This Row],[YTD 2024]]+Table14[[#This Row],[YTD 2025]]+Table14[[#This Row],[YTD 2026]]</f>
        <v>3161900</v>
      </c>
      <c r="CN34" s="366">
        <v>9</v>
      </c>
      <c r="CO34" s="353">
        <f t="shared" si="1"/>
        <v>351322.22222222225</v>
      </c>
      <c r="CP34" s="353">
        <f>Table14[[#This Row],[Unit Cost]]-Table14[[#This Row],[Margin on Reagent sale]]</f>
        <v>2327895</v>
      </c>
      <c r="CQ34" s="367">
        <f>Table14[[#This Row],[Avg reagent Sales per month Actual]]-Table14[[#This Row],[Per Month Reagent Commitment]]</f>
        <v>-5412.7777777777519</v>
      </c>
      <c r="CR34" s="403" t="s">
        <v>343</v>
      </c>
      <c r="CS34" s="367">
        <f>Table14[[#This Row],[On Track / (behind) (avg per month)]]/Table14[[#This Row],[Months]]</f>
        <v>-601.4197530864169</v>
      </c>
      <c r="CT34" s="368">
        <v>0.4</v>
      </c>
      <c r="CU34" s="367">
        <f>Table14[[#This Row],[Total Reagent Sales till date Actual]]*Table14[[#This Row],[Margin %]]</f>
        <v>1264760</v>
      </c>
      <c r="CV34" s="371">
        <f t="shared" si="13"/>
        <v>0.4</v>
      </c>
      <c r="CW34" s="212">
        <f t="shared" si="3"/>
        <v>10709400</v>
      </c>
      <c r="CX34" s="212">
        <f t="shared" si="4"/>
        <v>4283760</v>
      </c>
      <c r="CY34" s="223">
        <f t="shared" si="2"/>
        <v>3592655</v>
      </c>
      <c r="CZ34" s="226">
        <f t="shared" si="5"/>
        <v>691105</v>
      </c>
      <c r="DA34" s="212">
        <f t="shared" si="6"/>
        <v>30.192069583730181</v>
      </c>
      <c r="DD34" s="101" t="s">
        <v>435</v>
      </c>
      <c r="DH34" s="101" t="s">
        <v>446</v>
      </c>
      <c r="DM34" s="244"/>
    </row>
    <row r="35" spans="1:117" customFormat="1" ht="15" customHeight="1" x14ac:dyDescent="0.3">
      <c r="A35" s="399" t="s">
        <v>438</v>
      </c>
      <c r="B35" s="630" t="s">
        <v>345</v>
      </c>
      <c r="C35" s="399" t="s">
        <v>52</v>
      </c>
      <c r="D35" s="415" t="s">
        <v>447</v>
      </c>
      <c r="E35" s="403">
        <v>15002711</v>
      </c>
      <c r="F35" s="403" t="s">
        <v>448</v>
      </c>
      <c r="G35" s="449">
        <v>3002000031</v>
      </c>
      <c r="H35" s="409" t="s">
        <v>299</v>
      </c>
      <c r="I35" s="416" t="s">
        <v>449</v>
      </c>
      <c r="J35" s="417" t="s">
        <v>450</v>
      </c>
      <c r="K35" s="417" t="s">
        <v>451</v>
      </c>
      <c r="L35" s="417" t="s">
        <v>452</v>
      </c>
      <c r="M35" s="417" t="s">
        <v>303</v>
      </c>
      <c r="N35" s="417"/>
      <c r="O35" s="416" t="s">
        <v>453</v>
      </c>
      <c r="P35" s="418" t="s">
        <v>17</v>
      </c>
      <c r="Q35" s="399" t="s">
        <v>440</v>
      </c>
      <c r="R35" s="399">
        <v>3020000190</v>
      </c>
      <c r="S35" s="403" t="s">
        <v>139</v>
      </c>
      <c r="T35" s="403" t="s">
        <v>454</v>
      </c>
      <c r="U35" s="403" t="s">
        <v>455</v>
      </c>
      <c r="V35" s="403" t="s">
        <v>456</v>
      </c>
      <c r="W35" s="350" t="s">
        <v>457</v>
      </c>
      <c r="X35" s="399" t="s">
        <v>458</v>
      </c>
      <c r="Y35" s="399"/>
      <c r="Z35" s="353">
        <v>3005386</v>
      </c>
      <c r="AA35" s="366">
        <v>39</v>
      </c>
      <c r="AB35" s="353">
        <v>228413</v>
      </c>
      <c r="AC35" s="423"/>
      <c r="AD35" s="424"/>
      <c r="AE35" s="424"/>
      <c r="AF35" s="424"/>
      <c r="AG35" s="424" t="s">
        <v>459</v>
      </c>
      <c r="AH35" s="424"/>
      <c r="AI35" s="409" t="s">
        <v>460</v>
      </c>
      <c r="AJ35" s="409" t="s">
        <v>460</v>
      </c>
      <c r="AK35" s="409" t="s">
        <v>461</v>
      </c>
      <c r="AL35" s="409" t="s">
        <v>462</v>
      </c>
      <c r="AM35" s="425" t="s">
        <v>463</v>
      </c>
      <c r="AN35" s="425" t="s">
        <v>463</v>
      </c>
      <c r="AO35" s="409"/>
      <c r="AP35" s="409" t="s">
        <v>463</v>
      </c>
      <c r="AQ35" s="409" t="s">
        <v>464</v>
      </c>
      <c r="AR35" s="409" t="s">
        <v>464</v>
      </c>
      <c r="AS35" s="409"/>
      <c r="AT35" s="409"/>
      <c r="AU35" s="409" t="s">
        <v>465</v>
      </c>
      <c r="AV35" s="409"/>
      <c r="AW35" s="409"/>
      <c r="AX35" s="409"/>
      <c r="AY35" s="409"/>
      <c r="AZ35" s="409"/>
      <c r="BA35" s="409"/>
      <c r="BB35" s="409"/>
      <c r="BC35" s="596"/>
      <c r="BD35" s="596"/>
      <c r="BE35" s="409"/>
      <c r="BF35" s="403"/>
      <c r="BG35" s="363"/>
      <c r="BH35" s="363"/>
      <c r="BI35" s="363"/>
      <c r="BJ35" s="363"/>
      <c r="BK35" s="363">
        <v>0</v>
      </c>
      <c r="BL35" s="363"/>
      <c r="BM35" s="363"/>
      <c r="BN35" s="363"/>
      <c r="BO35" s="363"/>
      <c r="BP35" s="363"/>
      <c r="BQ35" s="363"/>
      <c r="BR35" s="363"/>
      <c r="BS35" s="362">
        <f>SUM(Table14[[#This Row],[Jan-24]:[Dec-24]])</f>
        <v>0</v>
      </c>
      <c r="BT35" s="362"/>
      <c r="BU35" s="362"/>
      <c r="BV35" s="362"/>
      <c r="BW35" s="362"/>
      <c r="BX35" s="362"/>
      <c r="BY35" s="362"/>
      <c r="BZ35" s="362"/>
      <c r="CA35" s="362"/>
      <c r="CB35" s="362"/>
      <c r="CC35" s="362"/>
      <c r="CD35" s="362"/>
      <c r="CE35" s="362"/>
      <c r="CF35" s="362">
        <f>SUM(Table14[[#This Row],[Jan-25]:[Dec-25]])</f>
        <v>0</v>
      </c>
      <c r="CG35" s="362"/>
      <c r="CH35" s="362"/>
      <c r="CI35" s="362"/>
      <c r="CJ35" s="414">
        <f>SUM(Table14[[#This Row],[Jan-26]:[Mar-26]])</f>
        <v>0</v>
      </c>
      <c r="CK35" s="531">
        <f>IFERROR(SUM(Table14[[#This Row],[Oct-25]:[Dec-25]],Table14[[#This Row],[Jan-26]:[Mar-26]])/COUNT(Table14[[#This Row],[Oct-25]:[Dec-25]],Table14[[#This Row],[Jan-26]:[Mar-26]]),0)</f>
        <v>0</v>
      </c>
      <c r="CL35" s="363" t="s">
        <v>466</v>
      </c>
      <c r="CM35" s="414">
        <f>Table14[[#This Row],[YTD 2024]]+Table14[[#This Row],[YTD 2025]]+Table14[[#This Row],[YTD 2026]]</f>
        <v>0</v>
      </c>
      <c r="CN35" s="366">
        <v>14</v>
      </c>
      <c r="CO35" s="353">
        <f t="shared" si="1"/>
        <v>0</v>
      </c>
      <c r="CP35" s="353">
        <f>Table14[[#This Row],[Unit Cost]]-Table14[[#This Row],[Margin on Reagent sale]]</f>
        <v>3005386</v>
      </c>
      <c r="CQ35" s="372">
        <f>Table14[[#This Row],[Avg reagent Sales per month Actual]]-Table14[[#This Row],[Per Month Reagent Commitment]]</f>
        <v>-228413</v>
      </c>
      <c r="CR35" s="403" t="s">
        <v>467</v>
      </c>
      <c r="CS35" s="367">
        <f>Table14[[#This Row],[On Track / (behind) (avg per month)]]/Table14[[#This Row],[Months]]</f>
        <v>-16315.214285714286</v>
      </c>
      <c r="CT35" s="368">
        <v>0.25</v>
      </c>
      <c r="CU35" s="367">
        <f>Table14[[#This Row],[Total Reagent Sales till date Actual]]*Table14[[#This Row],[Margin %]]</f>
        <v>0</v>
      </c>
      <c r="CV35" s="400">
        <f t="shared" si="13"/>
        <v>0.25</v>
      </c>
      <c r="CW35" s="255">
        <f t="shared" si="3"/>
        <v>0</v>
      </c>
      <c r="CX35" s="255">
        <f t="shared" si="4"/>
        <v>0</v>
      </c>
      <c r="CY35" s="256">
        <f t="shared" si="2"/>
        <v>3005386</v>
      </c>
      <c r="CZ35" s="257">
        <f>+CX35-CY35</f>
        <v>-3005386</v>
      </c>
      <c r="DA35" s="255" t="e">
        <f t="shared" si="6"/>
        <v>#DIV/0!</v>
      </c>
    </row>
    <row r="36" spans="1:117" s="101" customFormat="1" ht="15" customHeight="1" x14ac:dyDescent="0.3">
      <c r="A36" s="399" t="s">
        <v>423</v>
      </c>
      <c r="B36" s="630" t="s">
        <v>297</v>
      </c>
      <c r="C36" s="399" t="s">
        <v>22</v>
      </c>
      <c r="D36" s="415" t="s">
        <v>33</v>
      </c>
      <c r="E36" s="403">
        <v>15001967</v>
      </c>
      <c r="F36" s="403" t="s">
        <v>392</v>
      </c>
      <c r="G36" s="449">
        <v>3002000119</v>
      </c>
      <c r="H36" s="666"/>
      <c r="I36" s="416">
        <v>126054</v>
      </c>
      <c r="J36" s="417"/>
      <c r="K36" s="417"/>
      <c r="L36" s="417" t="s">
        <v>469</v>
      </c>
      <c r="M36" s="417"/>
      <c r="N36" s="417" t="s">
        <v>470</v>
      </c>
      <c r="O36" s="418" t="s">
        <v>304</v>
      </c>
      <c r="P36" s="418" t="s">
        <v>16</v>
      </c>
      <c r="Q36" s="403" t="s">
        <v>349</v>
      </c>
      <c r="R36" s="399">
        <v>3020000206</v>
      </c>
      <c r="S36" s="419" t="s">
        <v>104</v>
      </c>
      <c r="T36" s="403"/>
      <c r="U36" s="403" t="s">
        <v>471</v>
      </c>
      <c r="V36" s="403" t="s">
        <v>472</v>
      </c>
      <c r="W36" s="399" t="s">
        <v>473</v>
      </c>
      <c r="X36" s="399" t="s">
        <v>474</v>
      </c>
      <c r="Y36" s="399" t="s">
        <v>474</v>
      </c>
      <c r="Z36" s="353">
        <f>2382020/2</f>
        <v>1191010</v>
      </c>
      <c r="AA36" s="418">
        <v>29</v>
      </c>
      <c r="AB36" s="353">
        <f>184057/2</f>
        <v>92028.5</v>
      </c>
      <c r="AC36" s="409"/>
      <c r="AD36" s="410"/>
      <c r="AE36" s="399"/>
      <c r="AF36" s="399"/>
      <c r="AG36" s="399"/>
      <c r="AH36" s="399"/>
      <c r="AI36" s="403"/>
      <c r="AJ36" s="403"/>
      <c r="AK36" s="403"/>
      <c r="AL36" s="403"/>
      <c r="AM36" s="420"/>
      <c r="AN36" s="420"/>
      <c r="AO36" s="403"/>
      <c r="AP36" s="403"/>
      <c r="AQ36" s="403"/>
      <c r="AR36" s="403"/>
      <c r="AS36" s="403"/>
      <c r="AT36" s="403"/>
      <c r="AU36" s="399"/>
      <c r="AV36" s="420"/>
      <c r="AW36" s="420"/>
      <c r="AX36" s="420"/>
      <c r="AY36" s="420"/>
      <c r="AZ36" s="420"/>
      <c r="BA36" s="370"/>
      <c r="BB36" s="358"/>
      <c r="BC36" s="597" t="s">
        <v>1493</v>
      </c>
      <c r="BD36" s="597" t="s">
        <v>1673</v>
      </c>
      <c r="BE36" s="375">
        <v>1</v>
      </c>
      <c r="BF36" s="419" t="s">
        <v>315</v>
      </c>
      <c r="BG36" s="370"/>
      <c r="BH36" s="370"/>
      <c r="BI36" s="370"/>
      <c r="BJ36" s="370"/>
      <c r="BK36" s="370"/>
      <c r="BL36" s="374"/>
      <c r="BM36" s="358"/>
      <c r="BN36" s="358"/>
      <c r="BO36" s="370"/>
      <c r="BP36" s="370"/>
      <c r="BQ36" s="370"/>
      <c r="BR36" s="370"/>
      <c r="BS36" s="362">
        <f>SUM(Table14[[#This Row],[Jan-24]:[Dec-24]])</f>
        <v>0</v>
      </c>
      <c r="BT36" s="360"/>
      <c r="BU36" s="360"/>
      <c r="BV36" s="376"/>
      <c r="BW36" s="376"/>
      <c r="BX36" s="376"/>
      <c r="BY36" s="376"/>
      <c r="BZ36" s="376"/>
      <c r="CA36" s="376">
        <v>114000</v>
      </c>
      <c r="CB36" s="376">
        <v>190000</v>
      </c>
      <c r="CC36" s="376"/>
      <c r="CD36" s="376"/>
      <c r="CE36" s="376">
        <v>72000</v>
      </c>
      <c r="CF36" s="362">
        <f>SUM(Table14[[#This Row],[Jan-25]:[Dec-25]])</f>
        <v>376000</v>
      </c>
      <c r="CG36" s="376">
        <v>0</v>
      </c>
      <c r="CH36" s="376">
        <v>532000</v>
      </c>
      <c r="CI36" s="414">
        <f>234000</f>
        <v>234000</v>
      </c>
      <c r="CJ36" s="414">
        <f>SUM(Table14[[#This Row],[Jan-26]:[Mar-26]])</f>
        <v>766000</v>
      </c>
      <c r="CK36" s="531">
        <f>IFERROR(SUM(Table14[[#This Row],[Oct-25]:[Dec-25]],Table14[[#This Row],[Jan-26]:[Mar-26]])/COUNT(Table14[[#This Row],[Oct-25]:[Dec-25]],Table14[[#This Row],[Jan-26]:[Mar-26]]),0)</f>
        <v>209500</v>
      </c>
      <c r="CL36" s="367"/>
      <c r="CM36" s="414">
        <f>Table14[[#This Row],[YTD 2024]]+Table14[[#This Row],[YTD 2025]]+Table14[[#This Row],[YTD 2026]]</f>
        <v>1142000</v>
      </c>
      <c r="CN36" s="418">
        <v>8</v>
      </c>
      <c r="CO36" s="353">
        <f t="shared" si="1"/>
        <v>142750</v>
      </c>
      <c r="CP36" s="351"/>
      <c r="CQ36" s="367">
        <f>Table14[[#This Row],[Avg reagent Sales per month Actual]]-Table14[[#This Row],[Per Month Reagent Commitment]]</f>
        <v>50721.5</v>
      </c>
      <c r="CR36" s="373"/>
      <c r="CS36" s="367">
        <f>Table14[[#This Row],[On Track / (behind) (avg per month)]]/Table14[[#This Row],[Months]]</f>
        <v>6340.1875</v>
      </c>
      <c r="CT36" s="399"/>
      <c r="CU36" s="367">
        <f>Table14[[#This Row],[Total Reagent Sales till date Actual]]*Table14[[#This Row],[Margin %]]</f>
        <v>0</v>
      </c>
      <c r="CV36" s="371">
        <f t="shared" si="13"/>
        <v>0</v>
      </c>
      <c r="CW36" s="212">
        <f t="shared" si="3"/>
        <v>7542000</v>
      </c>
      <c r="CX36" s="212">
        <f t="shared" si="4"/>
        <v>0</v>
      </c>
      <c r="CY36" s="223">
        <f t="shared" si="2"/>
        <v>1191010</v>
      </c>
      <c r="CZ36" s="226">
        <f t="shared" si="5"/>
        <v>-1191010</v>
      </c>
      <c r="DA36" s="212" t="e">
        <f t="shared" si="6"/>
        <v>#DIV/0!</v>
      </c>
      <c r="DM36" s="244"/>
    </row>
    <row r="37" spans="1:117" s="101" customFormat="1" ht="15" customHeight="1" x14ac:dyDescent="0.3">
      <c r="A37" s="401" t="s">
        <v>344</v>
      </c>
      <c r="B37" s="629" t="s">
        <v>345</v>
      </c>
      <c r="C37" s="561" t="s">
        <v>21</v>
      </c>
      <c r="D37" s="555" t="s">
        <v>475</v>
      </c>
      <c r="E37" s="403">
        <v>15002760</v>
      </c>
      <c r="F37" s="403" t="s">
        <v>298</v>
      </c>
      <c r="G37" s="416" t="s">
        <v>1629</v>
      </c>
      <c r="H37" s="666"/>
      <c r="I37" s="416">
        <v>30006183</v>
      </c>
      <c r="J37" s="562"/>
      <c r="K37" s="450" t="s">
        <v>476</v>
      </c>
      <c r="L37" s="451" t="s">
        <v>477</v>
      </c>
      <c r="M37" s="450" t="s">
        <v>303</v>
      </c>
      <c r="N37" s="450"/>
      <c r="O37" s="551" t="s">
        <v>304</v>
      </c>
      <c r="P37" s="551" t="s">
        <v>16</v>
      </c>
      <c r="Q37" s="561" t="s">
        <v>478</v>
      </c>
      <c r="R37" s="561">
        <v>3020000206</v>
      </c>
      <c r="S37" s="568" t="s">
        <v>104</v>
      </c>
      <c r="T37" s="403"/>
      <c r="U37" s="403" t="s">
        <v>471</v>
      </c>
      <c r="V37" s="403" t="s">
        <v>472</v>
      </c>
      <c r="W37" s="399" t="s">
        <v>473</v>
      </c>
      <c r="X37" s="399" t="s">
        <v>474</v>
      </c>
      <c r="Y37" s="399" t="s">
        <v>474</v>
      </c>
      <c r="Z37" s="542">
        <v>7420000</v>
      </c>
      <c r="AA37" s="551">
        <v>61</v>
      </c>
      <c r="AB37" s="542">
        <v>824400</v>
      </c>
      <c r="AC37" s="409"/>
      <c r="AD37" s="410"/>
      <c r="AE37" s="399"/>
      <c r="AF37" s="399"/>
      <c r="AG37" s="399"/>
      <c r="AH37" s="399"/>
      <c r="AI37" s="403"/>
      <c r="AJ37" s="403"/>
      <c r="AK37" s="403"/>
      <c r="AL37" s="403"/>
      <c r="AM37" s="420"/>
      <c r="AN37" s="420"/>
      <c r="AO37" s="403"/>
      <c r="AP37" s="403"/>
      <c r="AQ37" s="403"/>
      <c r="AR37" s="403"/>
      <c r="AS37" s="403"/>
      <c r="AT37" s="403"/>
      <c r="AU37" s="399" t="e">
        <v>#N/A</v>
      </c>
      <c r="AV37" s="420"/>
      <c r="AW37" s="420"/>
      <c r="AX37" s="420"/>
      <c r="AY37" s="420"/>
      <c r="AZ37" s="420"/>
      <c r="BA37" s="420" t="s">
        <v>479</v>
      </c>
      <c r="BB37" s="420"/>
      <c r="BC37" s="555" t="s">
        <v>1530</v>
      </c>
      <c r="BD37" s="555" t="s">
        <v>1678</v>
      </c>
      <c r="BE37" s="420">
        <v>1</v>
      </c>
      <c r="BF37" s="568" t="s">
        <v>635</v>
      </c>
      <c r="BG37" s="370">
        <v>187600</v>
      </c>
      <c r="BH37" s="370">
        <v>217900</v>
      </c>
      <c r="BI37" s="370">
        <v>342225</v>
      </c>
      <c r="BJ37" s="370">
        <v>126700</v>
      </c>
      <c r="BK37" s="370">
        <v>671000</v>
      </c>
      <c r="BL37" s="370">
        <v>304800</v>
      </c>
      <c r="BM37" s="370">
        <v>160200</v>
      </c>
      <c r="BN37" s="370">
        <v>1138700</v>
      </c>
      <c r="BO37" s="370">
        <v>655600</v>
      </c>
      <c r="BP37" s="370">
        <v>0</v>
      </c>
      <c r="BQ37" s="370">
        <v>360200</v>
      </c>
      <c r="BR37" s="370">
        <v>675400</v>
      </c>
      <c r="BS37" s="362">
        <f>SUM(Table14[[#This Row],[Jan-24]:[Dec-24]])</f>
        <v>4840325</v>
      </c>
      <c r="BT37" s="414">
        <v>519200</v>
      </c>
      <c r="BU37" s="414">
        <v>412100</v>
      </c>
      <c r="BV37" s="414">
        <v>-84500</v>
      </c>
      <c r="BW37" s="421">
        <v>282424</v>
      </c>
      <c r="BX37" s="414">
        <v>1689052.55</v>
      </c>
      <c r="BY37" s="367">
        <v>0</v>
      </c>
      <c r="BZ37" s="367">
        <v>0</v>
      </c>
      <c r="CA37" s="367">
        <v>716366</v>
      </c>
      <c r="CB37" s="367">
        <v>424300</v>
      </c>
      <c r="CC37" s="367"/>
      <c r="CD37" s="367"/>
      <c r="CE37" s="547"/>
      <c r="CF37" s="362">
        <f>SUM(Table14[[#This Row],[Jan-25]:[Dec-25]])</f>
        <v>3958942.55</v>
      </c>
      <c r="CG37" s="547">
        <v>0</v>
      </c>
      <c r="CH37" s="547">
        <v>0</v>
      </c>
      <c r="CI37" s="547">
        <v>0</v>
      </c>
      <c r="CJ37" s="414">
        <f>SUM(Table14[[#This Row],[Jan-26]:[Mar-26]])</f>
        <v>0</v>
      </c>
      <c r="CK37" s="531">
        <f>IFERROR(SUM(Table14[[#This Row],[Oct-25]:[Dec-25]],Table14[[#This Row],[Jan-26]:[Mar-26]])/COUNT(Table14[[#This Row],[Oct-25]:[Dec-25]],Table14[[#This Row],[Jan-26]:[Mar-26]]),0)</f>
        <v>0</v>
      </c>
      <c r="CL37" s="547"/>
      <c r="CM37" s="414">
        <f>Table14[[#This Row],[YTD 2024]]+Table14[[#This Row],[YTD 2025]]+Table14[[#This Row],[YTD 2026]]</f>
        <v>8799267.5500000007</v>
      </c>
      <c r="CN37" s="551">
        <v>23</v>
      </c>
      <c r="CO37" s="542">
        <f t="shared" si="1"/>
        <v>382576.85000000003</v>
      </c>
      <c r="CP37" s="542">
        <f>Table14[[#This Row],[Unit Cost]]-Table14[[#This Row],[Margin on Reagent sale]]</f>
        <v>3900292.9799999995</v>
      </c>
      <c r="CQ37" s="547">
        <f>Table14[[#This Row],[Avg reagent Sales per month Actual]]-Table14[[#This Row],[Per Month Reagent Commitment]]</f>
        <v>-441823.14999999997</v>
      </c>
      <c r="CR37" s="548" t="s">
        <v>343</v>
      </c>
      <c r="CS37" s="547">
        <f>Table14[[#This Row],[On Track / (behind) (avg per month)]]/Table14[[#This Row],[Months]]</f>
        <v>-19209.702173913043</v>
      </c>
      <c r="CT37" s="549">
        <v>0.4</v>
      </c>
      <c r="CU37" s="547">
        <f>Table14[[#This Row],[Total Reagent Sales till date Actual]]*Table14[[#This Row],[Margin %]]</f>
        <v>3519707.0200000005</v>
      </c>
      <c r="CV37" s="539">
        <f t="shared" si="13"/>
        <v>0.4</v>
      </c>
      <c r="CW37" s="212">
        <f t="shared" si="3"/>
        <v>0</v>
      </c>
      <c r="CX37" s="212">
        <f t="shared" si="4"/>
        <v>0</v>
      </c>
      <c r="CY37" s="223">
        <f t="shared" si="2"/>
        <v>7420000</v>
      </c>
      <c r="CZ37" s="226">
        <f t="shared" si="5"/>
        <v>-7420000</v>
      </c>
      <c r="DA37" s="212" t="e">
        <f t="shared" si="6"/>
        <v>#DIV/0!</v>
      </c>
      <c r="DM37" s="244"/>
    </row>
    <row r="38" spans="1:117" s="101" customFormat="1" ht="15" customHeight="1" x14ac:dyDescent="0.3">
      <c r="A38" s="399" t="s">
        <v>423</v>
      </c>
      <c r="B38" s="630" t="s">
        <v>297</v>
      </c>
      <c r="C38" s="399" t="s">
        <v>50</v>
      </c>
      <c r="D38" s="415" t="s">
        <v>409</v>
      </c>
      <c r="E38" s="403">
        <v>15003243</v>
      </c>
      <c r="F38" s="403" t="s">
        <v>392</v>
      </c>
      <c r="G38" s="449"/>
      <c r="H38" s="666"/>
      <c r="I38" s="416"/>
      <c r="J38" s="417"/>
      <c r="K38" s="417"/>
      <c r="L38" s="417" t="s">
        <v>469</v>
      </c>
      <c r="M38" s="417"/>
      <c r="N38" s="417"/>
      <c r="O38" s="418" t="s">
        <v>400</v>
      </c>
      <c r="P38" s="418" t="s">
        <v>16</v>
      </c>
      <c r="Q38" s="403" t="s">
        <v>349</v>
      </c>
      <c r="R38" s="399">
        <v>3020000206</v>
      </c>
      <c r="S38" s="419" t="s">
        <v>104</v>
      </c>
      <c r="T38" s="403" t="s">
        <v>481</v>
      </c>
      <c r="U38" s="403" t="s">
        <v>482</v>
      </c>
      <c r="V38" s="403" t="s">
        <v>472</v>
      </c>
      <c r="W38" s="399" t="s">
        <v>473</v>
      </c>
      <c r="X38" s="399" t="s">
        <v>474</v>
      </c>
      <c r="Y38" s="399" t="s">
        <v>474</v>
      </c>
      <c r="Z38" s="486">
        <v>2324427</v>
      </c>
      <c r="AA38" s="418">
        <v>22</v>
      </c>
      <c r="AB38" s="486">
        <v>149427</v>
      </c>
      <c r="AC38" s="409"/>
      <c r="AD38" s="410"/>
      <c r="AE38" s="399"/>
      <c r="AF38" s="399"/>
      <c r="AG38" s="399"/>
      <c r="AH38" s="399"/>
      <c r="AI38" s="403"/>
      <c r="AJ38" s="403"/>
      <c r="AK38" s="403"/>
      <c r="AL38" s="403"/>
      <c r="AM38" s="420"/>
      <c r="AN38" s="420"/>
      <c r="AO38" s="403"/>
      <c r="AP38" s="403"/>
      <c r="AQ38" s="403"/>
      <c r="AR38" s="403"/>
      <c r="AS38" s="403"/>
      <c r="AT38" s="403"/>
      <c r="AU38" s="399"/>
      <c r="AV38" s="420"/>
      <c r="AW38" s="420"/>
      <c r="AX38" s="420"/>
      <c r="AY38" s="420"/>
      <c r="AZ38" s="420"/>
      <c r="BA38" s="370"/>
      <c r="BB38" s="358"/>
      <c r="BC38" s="595" t="s">
        <v>1521</v>
      </c>
      <c r="BD38" s="595" t="s">
        <v>1656</v>
      </c>
      <c r="BE38" s="358">
        <v>1</v>
      </c>
      <c r="BF38" s="419" t="s">
        <v>315</v>
      </c>
      <c r="BG38" s="370"/>
      <c r="BH38" s="370"/>
      <c r="BI38" s="370"/>
      <c r="BJ38" s="370"/>
      <c r="BK38" s="487"/>
      <c r="BL38" s="488"/>
      <c r="BM38" s="358"/>
      <c r="BN38" s="358"/>
      <c r="BO38" s="370"/>
      <c r="BP38" s="487"/>
      <c r="BQ38" s="487"/>
      <c r="BR38" s="487"/>
      <c r="BS38" s="362">
        <f>SUM(Table14[[#This Row],[Jan-24]:[Dec-24]])</f>
        <v>0</v>
      </c>
      <c r="BT38" s="360"/>
      <c r="BU38" s="360"/>
      <c r="BV38" s="376"/>
      <c r="BW38" s="376"/>
      <c r="BX38" s="376"/>
      <c r="BY38" s="376"/>
      <c r="BZ38" s="376"/>
      <c r="CA38" s="376"/>
      <c r="CB38" s="376"/>
      <c r="CC38" s="376"/>
      <c r="CD38" s="376"/>
      <c r="CE38" s="376"/>
      <c r="CF38" s="362">
        <f>SUM(Table14[[#This Row],[Jan-25]:[Dec-25]])</f>
        <v>0</v>
      </c>
      <c r="CG38" s="376">
        <v>0</v>
      </c>
      <c r="CH38" s="376">
        <v>0</v>
      </c>
      <c r="CI38" s="376">
        <v>0</v>
      </c>
      <c r="CJ38" s="414">
        <f>SUM(Table14[[#This Row],[Jan-26]:[Mar-26]])</f>
        <v>0</v>
      </c>
      <c r="CK38" s="531">
        <f>IFERROR(SUM(Table14[[#This Row],[Oct-25]:[Dec-25]],Table14[[#This Row],[Jan-26]:[Mar-26]])/COUNT(Table14[[#This Row],[Oct-25]:[Dec-25]],Table14[[#This Row],[Jan-26]:[Mar-26]]),0)</f>
        <v>0</v>
      </c>
      <c r="CL38" s="367"/>
      <c r="CM38" s="414">
        <f>Table14[[#This Row],[YTD 2024]]+Table14[[#This Row],[YTD 2025]]+Table14[[#This Row],[YTD 2026]]</f>
        <v>0</v>
      </c>
      <c r="CN38" s="418"/>
      <c r="CO38" s="486" t="e">
        <f t="shared" si="1"/>
        <v>#DIV/0!</v>
      </c>
      <c r="CP38" s="490"/>
      <c r="CQ38" s="489" t="e">
        <f>Table14[[#This Row],[Avg reagent Sales per month Actual]]-Table14[[#This Row],[Per Month Reagent Commitment]]</f>
        <v>#DIV/0!</v>
      </c>
      <c r="CR38" s="373"/>
      <c r="CS38" s="367" t="e">
        <f>Table14[[#This Row],[On Track / (behind) (avg per month)]]/Table14[[#This Row],[Months]]</f>
        <v>#DIV/0!</v>
      </c>
      <c r="CT38" s="491"/>
      <c r="CU38" s="367">
        <f>Table14[[#This Row],[Total Reagent Sales till date Actual]]*Table14[[#This Row],[Margin %]]</f>
        <v>0</v>
      </c>
      <c r="CV38" s="371">
        <f t="shared" si="13"/>
        <v>0</v>
      </c>
      <c r="CW38" s="212">
        <f t="shared" si="3"/>
        <v>0</v>
      </c>
      <c r="CX38" s="212">
        <f t="shared" si="4"/>
        <v>0</v>
      </c>
      <c r="CY38" s="223">
        <f t="shared" si="2"/>
        <v>2324427</v>
      </c>
      <c r="CZ38" s="226">
        <f t="shared" si="5"/>
        <v>-2324427</v>
      </c>
      <c r="DA38" s="212" t="e">
        <f t="shared" si="6"/>
        <v>#DIV/0!</v>
      </c>
      <c r="DD38" s="101" t="s">
        <v>435</v>
      </c>
      <c r="DH38" s="101" t="s">
        <v>446</v>
      </c>
      <c r="DM38" s="244"/>
    </row>
    <row r="39" spans="1:117" s="101" customFormat="1" ht="15" customHeight="1" x14ac:dyDescent="0.3">
      <c r="A39" s="399" t="s">
        <v>418</v>
      </c>
      <c r="B39" s="630" t="s">
        <v>297</v>
      </c>
      <c r="C39" s="399" t="s">
        <v>24</v>
      </c>
      <c r="D39" s="415" t="s">
        <v>35</v>
      </c>
      <c r="E39" s="403">
        <v>15002553</v>
      </c>
      <c r="F39" s="403" t="s">
        <v>298</v>
      </c>
      <c r="G39" s="449"/>
      <c r="H39" s="666"/>
      <c r="I39" s="416"/>
      <c r="J39" s="417"/>
      <c r="K39" s="417"/>
      <c r="L39" s="417" t="s">
        <v>483</v>
      </c>
      <c r="M39" s="417"/>
      <c r="N39" s="417"/>
      <c r="O39" s="418" t="s">
        <v>858</v>
      </c>
      <c r="P39" s="418" t="s">
        <v>16</v>
      </c>
      <c r="Q39" s="399" t="s">
        <v>349</v>
      </c>
      <c r="R39" s="399">
        <v>3020000206</v>
      </c>
      <c r="S39" s="419" t="s">
        <v>164</v>
      </c>
      <c r="T39" s="403"/>
      <c r="U39" s="403" t="s">
        <v>471</v>
      </c>
      <c r="V39" s="403" t="s">
        <v>472</v>
      </c>
      <c r="W39" s="399" t="s">
        <v>473</v>
      </c>
      <c r="X39" s="399" t="s">
        <v>474</v>
      </c>
      <c r="Y39" s="399" t="s">
        <v>474</v>
      </c>
      <c r="Z39" s="486">
        <v>3460830</v>
      </c>
      <c r="AA39" s="418">
        <v>36</v>
      </c>
      <c r="AB39" s="486">
        <v>259561</v>
      </c>
      <c r="AC39" s="409"/>
      <c r="AD39" s="410"/>
      <c r="AE39" s="399"/>
      <c r="AF39" s="399"/>
      <c r="AG39" s="399"/>
      <c r="AH39" s="399"/>
      <c r="AI39" s="403"/>
      <c r="AJ39" s="403"/>
      <c r="AK39" s="403"/>
      <c r="AL39" s="403"/>
      <c r="AM39" s="420"/>
      <c r="AN39" s="420"/>
      <c r="AO39" s="403"/>
      <c r="AP39" s="403"/>
      <c r="AQ39" s="403"/>
      <c r="AR39" s="403"/>
      <c r="AS39" s="403"/>
      <c r="AT39" s="403"/>
      <c r="AU39" s="399"/>
      <c r="AV39" s="420"/>
      <c r="AW39" s="420"/>
      <c r="AX39" s="420"/>
      <c r="AY39" s="420"/>
      <c r="AZ39" s="420"/>
      <c r="BA39" s="370"/>
      <c r="BB39" s="358"/>
      <c r="BC39" s="595" t="s">
        <v>1525</v>
      </c>
      <c r="BD39" s="595" t="s">
        <v>1525</v>
      </c>
      <c r="BE39" s="358"/>
      <c r="BF39" s="358" t="s">
        <v>1523</v>
      </c>
      <c r="BG39" s="370"/>
      <c r="BH39" s="370"/>
      <c r="BI39" s="370"/>
      <c r="BJ39" s="370"/>
      <c r="BK39" s="487"/>
      <c r="BL39" s="488"/>
      <c r="BM39" s="358"/>
      <c r="BN39" s="358"/>
      <c r="BO39" s="370"/>
      <c r="BP39" s="487"/>
      <c r="BQ39" s="487"/>
      <c r="BR39" s="487"/>
      <c r="BS39" s="362">
        <f>SUM(Table14[[#This Row],[Jan-24]:[Dec-24]])</f>
        <v>0</v>
      </c>
      <c r="BT39" s="360"/>
      <c r="BU39" s="360"/>
      <c r="BV39" s="376"/>
      <c r="BW39" s="376"/>
      <c r="BX39" s="376"/>
      <c r="BY39" s="376"/>
      <c r="BZ39" s="376"/>
      <c r="CA39" s="376"/>
      <c r="CB39" s="376"/>
      <c r="CC39" s="376"/>
      <c r="CD39" s="370"/>
      <c r="CE39" s="370"/>
      <c r="CF39" s="362">
        <f>SUM(Table14[[#This Row],[Jan-25]:[Dec-25]])</f>
        <v>0</v>
      </c>
      <c r="CG39" s="370"/>
      <c r="CH39" s="588">
        <v>746733</v>
      </c>
      <c r="CI39" s="588">
        <v>914320</v>
      </c>
      <c r="CJ39" s="414">
        <f>SUM(Table14[[#This Row],[Jan-26]:[Mar-26]])</f>
        <v>1661053</v>
      </c>
      <c r="CK39" s="531">
        <f>IFERROR(SUM(Table14[[#This Row],[Oct-25]:[Dec-25]],Table14[[#This Row],[Jan-26]:[Mar-26]])/COUNT(Table14[[#This Row],[Oct-25]:[Dec-25]],Table14[[#This Row],[Jan-26]:[Mar-26]]),0)</f>
        <v>830526.5</v>
      </c>
      <c r="CL39" s="367"/>
      <c r="CM39" s="414">
        <f>Table14[[#This Row],[YTD 2024]]+Table14[[#This Row],[YTD 2025]]+Table14[[#This Row],[YTD 2026]]</f>
        <v>1661053</v>
      </c>
      <c r="CN39" s="418"/>
      <c r="CO39" s="486" t="e">
        <f t="shared" si="1"/>
        <v>#DIV/0!</v>
      </c>
      <c r="CP39" s="490"/>
      <c r="CQ39" s="489" t="e">
        <f>Table14[[#This Row],[Avg reagent Sales per month Actual]]-Table14[[#This Row],[Per Month Reagent Commitment]]</f>
        <v>#DIV/0!</v>
      </c>
      <c r="CR39" s="373"/>
      <c r="CS39" s="367" t="e">
        <f>Table14[[#This Row],[On Track / (behind) (avg per month)]]/Table14[[#This Row],[Months]]</f>
        <v>#DIV/0!</v>
      </c>
      <c r="CT39" s="491"/>
      <c r="CU39" s="367">
        <f>Table14[[#This Row],[Total Reagent Sales till date Actual]]*Table14[[#This Row],[Margin %]]</f>
        <v>0</v>
      </c>
      <c r="CV39" s="371">
        <f t="shared" si="13"/>
        <v>0</v>
      </c>
      <c r="CW39" s="212">
        <f t="shared" si="3"/>
        <v>29898954</v>
      </c>
      <c r="CX39" s="212">
        <f t="shared" si="4"/>
        <v>0</v>
      </c>
      <c r="CY39" s="223">
        <f t="shared" si="2"/>
        <v>3460830</v>
      </c>
      <c r="CZ39" s="226">
        <f t="shared" si="5"/>
        <v>-3460830</v>
      </c>
      <c r="DA39" s="212" t="e">
        <f t="shared" si="6"/>
        <v>#DIV/0!</v>
      </c>
      <c r="DB39" s="101" t="s">
        <v>484</v>
      </c>
      <c r="DM39" s="244"/>
    </row>
    <row r="40" spans="1:117" s="101" customFormat="1" ht="15" customHeight="1" x14ac:dyDescent="0.3">
      <c r="A40" s="399" t="s">
        <v>344</v>
      </c>
      <c r="B40" s="630" t="s">
        <v>345</v>
      </c>
      <c r="C40" s="561" t="s">
        <v>21</v>
      </c>
      <c r="D40" s="555" t="s">
        <v>485</v>
      </c>
      <c r="E40" s="403">
        <v>15002760</v>
      </c>
      <c r="F40" s="403" t="s">
        <v>298</v>
      </c>
      <c r="G40" s="449" t="s">
        <v>486</v>
      </c>
      <c r="H40" s="666"/>
      <c r="I40" s="416"/>
      <c r="J40" s="562"/>
      <c r="K40" s="417"/>
      <c r="L40" s="417" t="s">
        <v>487</v>
      </c>
      <c r="M40" s="417"/>
      <c r="N40" s="417"/>
      <c r="O40" s="551" t="s">
        <v>348</v>
      </c>
      <c r="P40" s="551" t="s">
        <v>16</v>
      </c>
      <c r="Q40" s="548" t="s">
        <v>349</v>
      </c>
      <c r="R40" s="561">
        <v>3020000206</v>
      </c>
      <c r="S40" s="568" t="s">
        <v>163</v>
      </c>
      <c r="T40" s="403"/>
      <c r="U40" s="426"/>
      <c r="V40" s="403"/>
      <c r="W40" s="399"/>
      <c r="X40" s="399"/>
      <c r="Y40" s="399"/>
      <c r="Z40" s="556">
        <v>9115000</v>
      </c>
      <c r="AA40" s="551">
        <v>37</v>
      </c>
      <c r="AB40" s="556">
        <v>716388</v>
      </c>
      <c r="AC40" s="409"/>
      <c r="AD40" s="410"/>
      <c r="AE40" s="399"/>
      <c r="AF40" s="399"/>
      <c r="AG40" s="399"/>
      <c r="AH40" s="399"/>
      <c r="AI40" s="403"/>
      <c r="AJ40" s="403"/>
      <c r="AK40" s="403"/>
      <c r="AL40" s="403"/>
      <c r="AM40" s="420"/>
      <c r="AN40" s="420"/>
      <c r="AO40" s="403"/>
      <c r="AP40" s="403"/>
      <c r="AQ40" s="403"/>
      <c r="AR40" s="403"/>
      <c r="AS40" s="403"/>
      <c r="AT40" s="403"/>
      <c r="AU40" s="399"/>
      <c r="AV40" s="420"/>
      <c r="AW40" s="420"/>
      <c r="AX40" s="420"/>
      <c r="AY40" s="420"/>
      <c r="AZ40" s="420"/>
      <c r="BA40" s="370"/>
      <c r="BB40" s="358"/>
      <c r="BC40" s="599" t="s">
        <v>1529</v>
      </c>
      <c r="BD40" s="599"/>
      <c r="BE40" s="358">
        <v>1</v>
      </c>
      <c r="BF40" s="568" t="s">
        <v>488</v>
      </c>
      <c r="BG40" s="370"/>
      <c r="BH40" s="370"/>
      <c r="BI40" s="370"/>
      <c r="BJ40" s="370"/>
      <c r="BK40" s="487"/>
      <c r="BL40" s="488"/>
      <c r="BM40" s="358"/>
      <c r="BN40" s="358"/>
      <c r="BO40" s="370"/>
      <c r="BP40" s="487"/>
      <c r="BQ40" s="487"/>
      <c r="BR40" s="487"/>
      <c r="BS40" s="362">
        <f>SUM(Table14[[#This Row],[Jan-24]:[Dec-24]])</f>
        <v>0</v>
      </c>
      <c r="BT40" s="360"/>
      <c r="BU40" s="360"/>
      <c r="BV40" s="376"/>
      <c r="BW40" s="376"/>
      <c r="BX40" s="376"/>
      <c r="BY40" s="376"/>
      <c r="BZ40" s="376"/>
      <c r="CA40" s="376"/>
      <c r="CB40" s="376"/>
      <c r="CC40" s="376"/>
      <c r="CD40" s="376"/>
      <c r="CE40" s="557"/>
      <c r="CF40" s="362">
        <f>SUM(Table14[[#This Row],[Jan-25]:[Dec-25]])</f>
        <v>0</v>
      </c>
      <c r="CG40" s="557"/>
      <c r="CH40" s="557"/>
      <c r="CI40" s="557"/>
      <c r="CJ40" s="414">
        <f>SUM(Table14[[#This Row],[Jan-26]:[Mar-26]])</f>
        <v>0</v>
      </c>
      <c r="CK40" s="531">
        <f>IFERROR(SUM(Table14[[#This Row],[Oct-25]:[Dec-25]],Table14[[#This Row],[Jan-26]:[Mar-26]])/COUNT(Table14[[#This Row],[Oct-25]:[Dec-25]],Table14[[#This Row],[Jan-26]:[Mar-26]]),0)</f>
        <v>0</v>
      </c>
      <c r="CL40" s="547"/>
      <c r="CM40" s="414">
        <f>Table14[[#This Row],[YTD 2024]]+Table14[[#This Row],[YTD 2025]]+Table14[[#This Row],[YTD 2026]]</f>
        <v>0</v>
      </c>
      <c r="CN40" s="551"/>
      <c r="CO40" s="556" t="e">
        <f t="shared" ref="CO40:CO71" si="14">CM40/CN40</f>
        <v>#DIV/0!</v>
      </c>
      <c r="CP40" s="569"/>
      <c r="CQ40" s="559" t="e">
        <f>Table14[[#This Row],[Avg reagent Sales per month Actual]]-Table14[[#This Row],[Per Month Reagent Commitment]]</f>
        <v>#DIV/0!</v>
      </c>
      <c r="CR40" s="570"/>
      <c r="CS40" s="547" t="e">
        <f>Table14[[#This Row],[On Track / (behind) (avg per month)]]/Table14[[#This Row],[Months]]</f>
        <v>#DIV/0!</v>
      </c>
      <c r="CT40" s="560"/>
      <c r="CU40" s="547">
        <f>Table14[[#This Row],[Total Reagent Sales till date Actual]]*Table14[[#This Row],[Margin %]]</f>
        <v>0</v>
      </c>
      <c r="CV40" s="571">
        <f t="shared" si="13"/>
        <v>0</v>
      </c>
      <c r="CW40" s="212">
        <f t="shared" si="3"/>
        <v>0</v>
      </c>
      <c r="CX40" s="212">
        <f t="shared" si="4"/>
        <v>0</v>
      </c>
      <c r="CY40" s="223">
        <f t="shared" si="2"/>
        <v>9115000</v>
      </c>
      <c r="CZ40" s="226">
        <f t="shared" si="5"/>
        <v>-9115000</v>
      </c>
      <c r="DA40" s="212" t="e">
        <f t="shared" si="6"/>
        <v>#DIV/0!</v>
      </c>
      <c r="DM40" s="244"/>
    </row>
    <row r="41" spans="1:117" s="101" customFormat="1" ht="15" customHeight="1" x14ac:dyDescent="0.3">
      <c r="A41" s="399" t="s">
        <v>423</v>
      </c>
      <c r="B41" s="630" t="s">
        <v>297</v>
      </c>
      <c r="C41" s="399" t="s">
        <v>22</v>
      </c>
      <c r="D41" s="415" t="s">
        <v>489</v>
      </c>
      <c r="E41" s="403">
        <v>15002248</v>
      </c>
      <c r="F41" s="403" t="s">
        <v>392</v>
      </c>
      <c r="G41" s="449">
        <v>3002000093</v>
      </c>
      <c r="H41" s="666"/>
      <c r="I41" s="427" t="s">
        <v>490</v>
      </c>
      <c r="J41" s="417"/>
      <c r="K41" s="417"/>
      <c r="L41" s="417" t="s">
        <v>491</v>
      </c>
      <c r="M41" s="417" t="s">
        <v>425</v>
      </c>
      <c r="N41" s="417"/>
      <c r="O41" s="418" t="s">
        <v>304</v>
      </c>
      <c r="P41" s="418" t="s">
        <v>16</v>
      </c>
      <c r="Q41" s="399" t="s">
        <v>349</v>
      </c>
      <c r="R41" s="399">
        <v>3020000209</v>
      </c>
      <c r="S41" s="419" t="s">
        <v>132</v>
      </c>
      <c r="T41" s="403" t="s">
        <v>299</v>
      </c>
      <c r="U41" s="403" t="s">
        <v>492</v>
      </c>
      <c r="V41" s="403" t="s">
        <v>493</v>
      </c>
      <c r="W41" s="350" t="s">
        <v>494</v>
      </c>
      <c r="X41" s="399" t="s">
        <v>495</v>
      </c>
      <c r="Y41" s="399"/>
      <c r="Z41" s="486">
        <v>2100000</v>
      </c>
      <c r="AA41" s="418">
        <v>18</v>
      </c>
      <c r="AB41" s="486">
        <v>125042</v>
      </c>
      <c r="AC41" s="409"/>
      <c r="AD41" s="410"/>
      <c r="AE41" s="399"/>
      <c r="AF41" s="399"/>
      <c r="AG41" s="399"/>
      <c r="AH41" s="399"/>
      <c r="AI41" s="403"/>
      <c r="AJ41" s="403"/>
      <c r="AK41" s="403"/>
      <c r="AL41" s="403"/>
      <c r="AM41" s="420"/>
      <c r="AN41" s="420"/>
      <c r="AO41" s="403"/>
      <c r="AP41" s="403"/>
      <c r="AQ41" s="403"/>
      <c r="AR41" s="403"/>
      <c r="AS41" s="403"/>
      <c r="AT41" s="403"/>
      <c r="AU41" s="399"/>
      <c r="AV41" s="420"/>
      <c r="AW41" s="420"/>
      <c r="AX41" s="420"/>
      <c r="AY41" s="420"/>
      <c r="AZ41" s="420"/>
      <c r="BA41" s="370"/>
      <c r="BB41" s="358"/>
      <c r="BC41" s="597" t="s">
        <v>1501</v>
      </c>
      <c r="BD41" s="597" t="s">
        <v>1672</v>
      </c>
      <c r="BE41" s="375">
        <v>1</v>
      </c>
      <c r="BF41" s="419" t="s">
        <v>315</v>
      </c>
      <c r="BG41" s="370"/>
      <c r="BH41" s="370"/>
      <c r="BI41" s="370"/>
      <c r="BJ41" s="370"/>
      <c r="BK41" s="487"/>
      <c r="BL41" s="488"/>
      <c r="BM41" s="358"/>
      <c r="BN41" s="358"/>
      <c r="BO41" s="370"/>
      <c r="BP41" s="487"/>
      <c r="BQ41" s="421">
        <v>616750</v>
      </c>
      <c r="BR41" s="421">
        <v>29000</v>
      </c>
      <c r="BS41" s="362">
        <f>SUM(Table14[[#This Row],[Jan-24]:[Dec-24]])</f>
        <v>645750</v>
      </c>
      <c r="BT41" s="367">
        <v>0</v>
      </c>
      <c r="BU41" s="367">
        <v>0</v>
      </c>
      <c r="BV41" s="367">
        <v>0</v>
      </c>
      <c r="BW41" s="421">
        <v>616750</v>
      </c>
      <c r="BX41" s="421">
        <v>0</v>
      </c>
      <c r="BY41" s="367">
        <v>0</v>
      </c>
      <c r="BZ41" s="367">
        <v>0</v>
      </c>
      <c r="CA41" s="367">
        <v>0</v>
      </c>
      <c r="CB41" s="367"/>
      <c r="CC41" s="367"/>
      <c r="CD41" s="367"/>
      <c r="CE41" s="367"/>
      <c r="CF41" s="362">
        <f>SUM(Table14[[#This Row],[Jan-25]:[Dec-25]])</f>
        <v>616750</v>
      </c>
      <c r="CG41" s="367">
        <v>0</v>
      </c>
      <c r="CH41" s="367">
        <v>0</v>
      </c>
      <c r="CI41" s="367">
        <v>0</v>
      </c>
      <c r="CJ41" s="414">
        <f>SUM(Table14[[#This Row],[Jan-26]:[Mar-26]])</f>
        <v>0</v>
      </c>
      <c r="CK41" s="531">
        <f>IFERROR(SUM(Table14[[#This Row],[Oct-25]:[Dec-25]],Table14[[#This Row],[Jan-26]:[Mar-26]])/COUNT(Table14[[#This Row],[Oct-25]:[Dec-25]],Table14[[#This Row],[Jan-26]:[Mar-26]]),0)</f>
        <v>0</v>
      </c>
      <c r="CL41" s="367"/>
      <c r="CM41" s="414">
        <f>Table14[[#This Row],[YTD 2024]]+Table14[[#This Row],[YTD 2025]]+Table14[[#This Row],[YTD 2026]]</f>
        <v>1262500</v>
      </c>
      <c r="CN41" s="418">
        <v>11</v>
      </c>
      <c r="CO41" s="353">
        <f t="shared" si="14"/>
        <v>114772.72727272728</v>
      </c>
      <c r="CP41" s="353">
        <f>Table14[[#This Row],[Unit Cost]]-Table14[[#This Row],[Margin on Reagent sale]]</f>
        <v>1595000</v>
      </c>
      <c r="CQ41" s="489">
        <f>Table14[[#This Row],[Avg reagent Sales per month Actual]]-Table14[[#This Row],[Per Month Reagent Commitment]]</f>
        <v>-10269.272727272721</v>
      </c>
      <c r="CR41" s="403" t="s">
        <v>316</v>
      </c>
      <c r="CS41" s="367">
        <f>Table14[[#This Row],[On Track / (behind) (avg per month)]]/Table14[[#This Row],[Months]]</f>
        <v>-933.57024793388371</v>
      </c>
      <c r="CT41" s="368">
        <v>0.4</v>
      </c>
      <c r="CU41" s="367">
        <f>Table14[[#This Row],[Total Reagent Sales till date Actual]]*Table14[[#This Row],[Margin %]]</f>
        <v>505000</v>
      </c>
      <c r="CV41" s="371">
        <f t="shared" si="13"/>
        <v>0.4</v>
      </c>
      <c r="CW41" s="212">
        <f t="shared" si="3"/>
        <v>0</v>
      </c>
      <c r="CX41" s="212">
        <f t="shared" si="4"/>
        <v>0</v>
      </c>
      <c r="CY41" s="223">
        <f t="shared" si="2"/>
        <v>2100000</v>
      </c>
      <c r="CZ41" s="226">
        <f t="shared" si="5"/>
        <v>-2100000</v>
      </c>
      <c r="DA41" s="212" t="e">
        <f t="shared" si="6"/>
        <v>#DIV/0!</v>
      </c>
      <c r="DM41" s="244"/>
    </row>
    <row r="42" spans="1:117" s="101" customFormat="1" ht="15" customHeight="1" x14ac:dyDescent="0.3">
      <c r="A42" s="399" t="s">
        <v>296</v>
      </c>
      <c r="B42" s="629" t="s">
        <v>297</v>
      </c>
      <c r="C42" s="399" t="s">
        <v>24</v>
      </c>
      <c r="D42" s="415" t="s">
        <v>35</v>
      </c>
      <c r="E42" s="403">
        <v>15002553</v>
      </c>
      <c r="F42" s="403" t="s">
        <v>298</v>
      </c>
      <c r="G42" s="449"/>
      <c r="H42" s="666"/>
      <c r="I42" s="416"/>
      <c r="J42" s="417"/>
      <c r="K42" s="417"/>
      <c r="L42" s="417" t="s">
        <v>496</v>
      </c>
      <c r="M42" s="417"/>
      <c r="N42" s="417"/>
      <c r="O42" s="418" t="s">
        <v>348</v>
      </c>
      <c r="P42" s="418" t="s">
        <v>15</v>
      </c>
      <c r="Q42" s="399" t="s">
        <v>305</v>
      </c>
      <c r="R42" s="399">
        <v>3020000314</v>
      </c>
      <c r="S42" s="419" t="s">
        <v>150</v>
      </c>
      <c r="T42" s="403"/>
      <c r="U42" s="403" t="s">
        <v>497</v>
      </c>
      <c r="V42" s="403" t="s">
        <v>498</v>
      </c>
      <c r="W42" s="382" t="s">
        <v>499</v>
      </c>
      <c r="X42" s="399" t="s">
        <v>500</v>
      </c>
      <c r="Y42" s="399"/>
      <c r="Z42" s="353">
        <v>3058162</v>
      </c>
      <c r="AA42" s="418">
        <v>36</v>
      </c>
      <c r="AB42" s="353">
        <v>520349</v>
      </c>
      <c r="AC42" s="409"/>
      <c r="AD42" s="410"/>
      <c r="AE42" s="399"/>
      <c r="AF42" s="399"/>
      <c r="AG42" s="399"/>
      <c r="AH42" s="399"/>
      <c r="AI42" s="403"/>
      <c r="AJ42" s="403"/>
      <c r="AK42" s="403"/>
      <c r="AL42" s="403"/>
      <c r="AM42" s="420"/>
      <c r="AN42" s="420"/>
      <c r="AO42" s="403"/>
      <c r="AP42" s="403"/>
      <c r="AQ42" s="403"/>
      <c r="AR42" s="403"/>
      <c r="AS42" s="403"/>
      <c r="AT42" s="403"/>
      <c r="AU42" s="399" t="e">
        <v>#N/A</v>
      </c>
      <c r="AV42" s="420"/>
      <c r="AW42" s="420"/>
      <c r="AX42" s="420"/>
      <c r="AY42" s="420"/>
      <c r="AZ42" s="420"/>
      <c r="BA42" s="370"/>
      <c r="BB42" s="370"/>
      <c r="BC42" s="595"/>
      <c r="BD42" s="595"/>
      <c r="BE42" s="358"/>
      <c r="BF42" s="419"/>
      <c r="BG42" s="370"/>
      <c r="BH42" s="370"/>
      <c r="BI42" s="370"/>
      <c r="BJ42" s="370"/>
      <c r="BK42" s="370"/>
      <c r="BL42" s="374"/>
      <c r="BM42" s="358"/>
      <c r="BN42" s="358"/>
      <c r="BO42" s="370"/>
      <c r="BP42" s="370"/>
      <c r="BQ42" s="370"/>
      <c r="BR42" s="370"/>
      <c r="BS42" s="362">
        <f>SUM(Table14[[#This Row],[Jan-24]:[Dec-24]])</f>
        <v>0</v>
      </c>
      <c r="BT42" s="362"/>
      <c r="BU42" s="362"/>
      <c r="BV42" s="362"/>
      <c r="BW42" s="362"/>
      <c r="BX42" s="362"/>
      <c r="BY42" s="362"/>
      <c r="BZ42" s="362"/>
      <c r="CA42" s="362"/>
      <c r="CB42" s="362"/>
      <c r="CC42" s="362"/>
      <c r="CD42" s="362"/>
      <c r="CE42" s="362"/>
      <c r="CF42" s="362">
        <f>SUM(Table14[[#This Row],[Jan-25]:[Dec-25]])</f>
        <v>0</v>
      </c>
      <c r="CG42" s="362"/>
      <c r="CH42" s="362"/>
      <c r="CI42" s="362"/>
      <c r="CJ42" s="414">
        <f>SUM(Table14[[#This Row],[Jan-26]:[Mar-26]])</f>
        <v>0</v>
      </c>
      <c r="CK42" s="531">
        <f>IFERROR(SUM(Table14[[#This Row],[Oct-25]:[Dec-25]],Table14[[#This Row],[Jan-26]:[Mar-26]])/COUNT(Table14[[#This Row],[Oct-25]:[Dec-25]],Table14[[#This Row],[Jan-26]:[Mar-26]]),0)</f>
        <v>0</v>
      </c>
      <c r="CL42" s="367"/>
      <c r="CM42" s="414">
        <f>Table14[[#This Row],[YTD 2024]]+Table14[[#This Row],[YTD 2025]]+Table14[[#This Row],[YTD 2026]]</f>
        <v>0</v>
      </c>
      <c r="CN42" s="418"/>
      <c r="CO42" s="353" t="e">
        <f t="shared" si="14"/>
        <v>#DIV/0!</v>
      </c>
      <c r="CP42" s="353">
        <f>Table14[[#This Row],[Unit Cost]]-Table14[[#This Row],[Margin on Reagent sale]]</f>
        <v>3058162</v>
      </c>
      <c r="CQ42" s="367" t="e">
        <f>Table14[[#This Row],[Avg reagent Sales per month Actual]]-Table14[[#This Row],[Per Month Reagent Commitment]]</f>
        <v>#DIV/0!</v>
      </c>
      <c r="CR42" s="373" t="s">
        <v>501</v>
      </c>
      <c r="CS42" s="367" t="e">
        <f>Table14[[#This Row],[On Track / (behind) (avg per month)]]/Table14[[#This Row],[Months]]</f>
        <v>#DIV/0!</v>
      </c>
      <c r="CT42" s="368">
        <v>0.4</v>
      </c>
      <c r="CU42" s="367">
        <f>Table14[[#This Row],[Total Reagent Sales till date Actual]]*Table14[[#This Row],[Margin %]]</f>
        <v>0</v>
      </c>
      <c r="CV42" s="371">
        <f t="shared" si="13"/>
        <v>0.4</v>
      </c>
      <c r="CW42" s="212">
        <f t="shared" si="3"/>
        <v>0</v>
      </c>
      <c r="CX42" s="212">
        <f t="shared" si="4"/>
        <v>0</v>
      </c>
      <c r="CY42" s="223">
        <f t="shared" si="2"/>
        <v>3058162</v>
      </c>
      <c r="CZ42" s="226">
        <f t="shared" si="5"/>
        <v>-3058162</v>
      </c>
      <c r="DA42" s="212" t="e">
        <f t="shared" si="6"/>
        <v>#DIV/0!</v>
      </c>
      <c r="DM42" s="244"/>
    </row>
    <row r="43" spans="1:117" s="101" customFormat="1" ht="15" customHeight="1" x14ac:dyDescent="0.3">
      <c r="A43" s="399" t="s">
        <v>296</v>
      </c>
      <c r="B43" s="631" t="s">
        <v>297</v>
      </c>
      <c r="C43" s="535" t="s">
        <v>24</v>
      </c>
      <c r="D43" s="536" t="s">
        <v>31</v>
      </c>
      <c r="E43" s="403">
        <v>15002462</v>
      </c>
      <c r="F43" s="403" t="s">
        <v>298</v>
      </c>
      <c r="G43" s="449"/>
      <c r="H43" s="667"/>
      <c r="I43" s="404" t="s">
        <v>502</v>
      </c>
      <c r="J43" s="537"/>
      <c r="K43" s="405"/>
      <c r="L43" s="405" t="s">
        <v>385</v>
      </c>
      <c r="M43" s="406"/>
      <c r="N43" s="406"/>
      <c r="O43" s="551" t="s">
        <v>304</v>
      </c>
      <c r="P43" s="538" t="s">
        <v>15</v>
      </c>
      <c r="Q43" s="539" t="s">
        <v>305</v>
      </c>
      <c r="R43" s="401">
        <v>3020000386</v>
      </c>
      <c r="S43" s="536" t="s">
        <v>89</v>
      </c>
      <c r="T43" s="401"/>
      <c r="U43" s="401" t="s">
        <v>503</v>
      </c>
      <c r="V43" s="433" t="s">
        <v>504</v>
      </c>
      <c r="W43" s="379" t="s">
        <v>505</v>
      </c>
      <c r="X43" s="401" t="s">
        <v>506</v>
      </c>
      <c r="Y43" s="401"/>
      <c r="Z43" s="540">
        <v>3650000</v>
      </c>
      <c r="AA43" s="541">
        <v>10</v>
      </c>
      <c r="AB43" s="542">
        <v>1194783</v>
      </c>
      <c r="AC43" s="409"/>
      <c r="AD43" s="410"/>
      <c r="AE43" s="411"/>
      <c r="AF43" s="411"/>
      <c r="AG43" s="411"/>
      <c r="AH43" s="411"/>
      <c r="AI43" s="411"/>
      <c r="AJ43" s="411"/>
      <c r="AK43" s="411"/>
      <c r="AL43" s="411"/>
      <c r="AM43" s="412"/>
      <c r="AN43" s="412"/>
      <c r="AO43" s="411"/>
      <c r="AP43" s="411"/>
      <c r="AQ43" s="411"/>
      <c r="AR43" s="411"/>
      <c r="AS43" s="411"/>
      <c r="AT43" s="411"/>
      <c r="AU43" s="411" t="e">
        <v>#N/A</v>
      </c>
      <c r="AV43" s="412"/>
      <c r="AW43" s="412"/>
      <c r="AX43" s="354"/>
      <c r="AY43" s="354"/>
      <c r="AZ43" s="354"/>
      <c r="BA43" s="354"/>
      <c r="BB43" s="413"/>
      <c r="BC43" s="600" t="s">
        <v>1500</v>
      </c>
      <c r="BD43" s="600" t="s">
        <v>1660</v>
      </c>
      <c r="BE43" s="375">
        <v>1</v>
      </c>
      <c r="BF43" s="536" t="s">
        <v>315</v>
      </c>
      <c r="BG43" s="355"/>
      <c r="BH43" s="355"/>
      <c r="BI43" s="355"/>
      <c r="BJ43" s="355"/>
      <c r="BK43" s="356"/>
      <c r="BL43" s="357"/>
      <c r="BM43" s="358"/>
      <c r="BN43" s="358"/>
      <c r="BO43" s="359"/>
      <c r="BP43" s="414"/>
      <c r="BQ43" s="370"/>
      <c r="BR43" s="414"/>
      <c r="BS43" s="362">
        <f>SUM(Table14[[#This Row],[Jan-24]:[Dec-24]])</f>
        <v>0</v>
      </c>
      <c r="BT43" s="361"/>
      <c r="BU43" s="361"/>
      <c r="BV43" s="361"/>
      <c r="BW43" s="361"/>
      <c r="BX43" s="361"/>
      <c r="BY43" s="414">
        <v>146400</v>
      </c>
      <c r="BZ43" s="414"/>
      <c r="CA43" s="414">
        <v>210560</v>
      </c>
      <c r="CB43" s="414">
        <v>278280</v>
      </c>
      <c r="CC43" s="414">
        <v>431600</v>
      </c>
      <c r="CD43" s="414">
        <v>107800</v>
      </c>
      <c r="CE43" s="544">
        <v>80800</v>
      </c>
      <c r="CF43" s="362">
        <f>SUM(Table14[[#This Row],[Jan-25]:[Dec-25]])</f>
        <v>1255440</v>
      </c>
      <c r="CG43" s="544">
        <v>191400</v>
      </c>
      <c r="CH43" s="544">
        <v>62000</v>
      </c>
      <c r="CI43" s="544">
        <v>67800</v>
      </c>
      <c r="CJ43" s="414">
        <f>SUM(Table14[[#This Row],[Jan-26]:[Mar-26]])</f>
        <v>321200</v>
      </c>
      <c r="CK43" s="531">
        <f>IFERROR(SUM(Table14[[#This Row],[Oct-25]:[Dec-25]],Table14[[#This Row],[Jan-26]:[Mar-26]])/COUNT(Table14[[#This Row],[Oct-25]:[Dec-25]],Table14[[#This Row],[Jan-26]:[Mar-26]]),0)</f>
        <v>156900</v>
      </c>
      <c r="CL43" s="552"/>
      <c r="CM43" s="414">
        <f>Table14[[#This Row],[YTD 2024]]+Table14[[#This Row],[YTD 2025]]+Table14[[#This Row],[YTD 2026]]</f>
        <v>1576640</v>
      </c>
      <c r="CN43" s="553">
        <v>8</v>
      </c>
      <c r="CO43" s="542">
        <f t="shared" si="14"/>
        <v>197080</v>
      </c>
      <c r="CP43" s="542">
        <f>Table14[[#This Row],[Unit Cost]]-Table14[[#This Row],[Margin on Reagent sale]]</f>
        <v>3019344</v>
      </c>
      <c r="CQ43" s="547">
        <f>Table14[[#This Row],[Avg reagent Sales per month Actual]]-Table14[[#This Row],[Per Month Reagent Commitment]]</f>
        <v>-997703</v>
      </c>
      <c r="CR43" s="548" t="s">
        <v>343</v>
      </c>
      <c r="CS43" s="547">
        <f>Table14[[#This Row],[On Track / (behind) (avg per month)]]/Table14[[#This Row],[Months]]</f>
        <v>-124712.875</v>
      </c>
      <c r="CT43" s="549">
        <v>0.4</v>
      </c>
      <c r="CU43" s="547">
        <f>Table14[[#This Row],[Total Reagent Sales till date Actual]]*Table14[[#This Row],[Margin %]]</f>
        <v>630656</v>
      </c>
      <c r="CV43" s="550">
        <f t="shared" si="13"/>
        <v>0.4</v>
      </c>
      <c r="CW43" s="212">
        <f t="shared" si="3"/>
        <v>5648400</v>
      </c>
      <c r="CX43" s="212">
        <f t="shared" si="4"/>
        <v>2259360</v>
      </c>
      <c r="CY43" s="223">
        <f t="shared" si="2"/>
        <v>3650000</v>
      </c>
      <c r="CZ43" s="226">
        <f t="shared" si="5"/>
        <v>-1390640</v>
      </c>
      <c r="DA43" s="212">
        <f t="shared" si="6"/>
        <v>58.158062460165709</v>
      </c>
      <c r="DB43" s="101" t="s">
        <v>484</v>
      </c>
      <c r="DM43" s="244"/>
    </row>
    <row r="44" spans="1:117" s="101" customFormat="1" ht="15" customHeight="1" x14ac:dyDescent="0.3">
      <c r="A44" s="399" t="s">
        <v>296</v>
      </c>
      <c r="B44" s="631" t="s">
        <v>297</v>
      </c>
      <c r="C44" s="535" t="s">
        <v>49</v>
      </c>
      <c r="D44" s="536" t="s">
        <v>30</v>
      </c>
      <c r="E44" s="403">
        <v>15002463</v>
      </c>
      <c r="F44" s="403" t="s">
        <v>317</v>
      </c>
      <c r="G44" s="449"/>
      <c r="H44" s="667"/>
      <c r="I44" s="404"/>
      <c r="J44" s="537"/>
      <c r="K44" s="405"/>
      <c r="L44" s="405" t="s">
        <v>385</v>
      </c>
      <c r="M44" s="406"/>
      <c r="N44" s="406"/>
      <c r="O44" s="538" t="s">
        <v>304</v>
      </c>
      <c r="P44" s="538" t="s">
        <v>15</v>
      </c>
      <c r="Q44" s="539" t="s">
        <v>305</v>
      </c>
      <c r="R44" s="401">
        <v>3020000386</v>
      </c>
      <c r="S44" s="536" t="s">
        <v>89</v>
      </c>
      <c r="T44" s="401"/>
      <c r="U44" s="401" t="s">
        <v>503</v>
      </c>
      <c r="V44" s="433" t="s">
        <v>504</v>
      </c>
      <c r="W44" s="379" t="s">
        <v>505</v>
      </c>
      <c r="X44" s="401" t="s">
        <v>506</v>
      </c>
      <c r="Y44" s="401"/>
      <c r="Z44" s="540">
        <v>6941887</v>
      </c>
      <c r="AA44" s="541">
        <v>73</v>
      </c>
      <c r="AB44" s="542">
        <v>882971</v>
      </c>
      <c r="AC44" s="409"/>
      <c r="AD44" s="410"/>
      <c r="AE44" s="411"/>
      <c r="AF44" s="411"/>
      <c r="AG44" s="411"/>
      <c r="AH44" s="411"/>
      <c r="AI44" s="411"/>
      <c r="AJ44" s="411"/>
      <c r="AK44" s="411"/>
      <c r="AL44" s="411"/>
      <c r="AM44" s="412"/>
      <c r="AN44" s="412"/>
      <c r="AO44" s="411"/>
      <c r="AP44" s="411"/>
      <c r="AQ44" s="411"/>
      <c r="AR44" s="411"/>
      <c r="AS44" s="411"/>
      <c r="AT44" s="411"/>
      <c r="AU44" s="411" t="e">
        <v>#N/A</v>
      </c>
      <c r="AV44" s="412"/>
      <c r="AW44" s="412"/>
      <c r="AX44" s="354"/>
      <c r="AY44" s="354"/>
      <c r="AZ44" s="354"/>
      <c r="BA44" s="354"/>
      <c r="BB44" s="413"/>
      <c r="BC44" s="599" t="s">
        <v>1500</v>
      </c>
      <c r="BD44" s="599" t="s">
        <v>1660</v>
      </c>
      <c r="BE44" s="358">
        <v>1</v>
      </c>
      <c r="BF44" s="536" t="s">
        <v>315</v>
      </c>
      <c r="BG44" s="355"/>
      <c r="BH44" s="355"/>
      <c r="BI44" s="355"/>
      <c r="BJ44" s="355"/>
      <c r="BK44" s="356"/>
      <c r="BL44" s="357"/>
      <c r="BM44" s="358"/>
      <c r="BN44" s="358"/>
      <c r="BO44" s="359"/>
      <c r="BP44" s="414"/>
      <c r="BQ44" s="370"/>
      <c r="BR44" s="414"/>
      <c r="BS44" s="362">
        <f>SUM(Table14[[#This Row],[Jan-24]:[Dec-24]])</f>
        <v>0</v>
      </c>
      <c r="BT44" s="361"/>
      <c r="BU44" s="361"/>
      <c r="BV44" s="361"/>
      <c r="BW44" s="361"/>
      <c r="BX44" s="361"/>
      <c r="BY44" s="361"/>
      <c r="BZ44" s="361"/>
      <c r="CA44" s="361"/>
      <c r="CB44" s="361"/>
      <c r="CC44" s="361">
        <v>246700</v>
      </c>
      <c r="CD44" s="361"/>
      <c r="CE44" s="544">
        <v>2800</v>
      </c>
      <c r="CF44" s="362">
        <f>SUM(Table14[[#This Row],[Jan-25]:[Dec-25]])</f>
        <v>249500</v>
      </c>
      <c r="CG44" s="544">
        <v>142222</v>
      </c>
      <c r="CH44" s="544">
        <v>417191.4</v>
      </c>
      <c r="CI44" s="544">
        <v>134582</v>
      </c>
      <c r="CJ44" s="414">
        <f>SUM(Table14[[#This Row],[Jan-26]:[Mar-26]])</f>
        <v>693995.4</v>
      </c>
      <c r="CK44" s="531">
        <f>IFERROR(SUM(Table14[[#This Row],[Oct-25]:[Dec-25]],Table14[[#This Row],[Jan-26]:[Mar-26]])/COUNT(Table14[[#This Row],[Oct-25]:[Dec-25]],Table14[[#This Row],[Jan-26]:[Mar-26]]),0)</f>
        <v>188699.08000000002</v>
      </c>
      <c r="CL44" s="545"/>
      <c r="CM44" s="414">
        <f>Table14[[#This Row],[YTD 2024]]+Table14[[#This Row],[YTD 2025]]+Table14[[#This Row],[YTD 2026]]</f>
        <v>943495.4</v>
      </c>
      <c r="CN44" s="546">
        <v>4</v>
      </c>
      <c r="CO44" s="542">
        <f t="shared" si="14"/>
        <v>235873.85</v>
      </c>
      <c r="CP44" s="542">
        <f>Table14[[#This Row],[Unit Cost]]-Table14[[#This Row],[Margin on Reagent sale]]</f>
        <v>6517314.0700000003</v>
      </c>
      <c r="CQ44" s="547">
        <f>Table14[[#This Row],[Avg reagent Sales per month Actual]]-Table14[[#This Row],[Per Month Reagent Commitment]]</f>
        <v>-647097.15</v>
      </c>
      <c r="CR44" s="548" t="s">
        <v>501</v>
      </c>
      <c r="CS44" s="547">
        <f>Table14[[#This Row],[On Track / (behind) (avg per month)]]/Table14[[#This Row],[Months]]</f>
        <v>-161774.28750000001</v>
      </c>
      <c r="CT44" s="549">
        <v>0.45</v>
      </c>
      <c r="CU44" s="547">
        <f>Table14[[#This Row],[Total Reagent Sales till date Actual]]*Table14[[#This Row],[Margin %]]</f>
        <v>424572.93</v>
      </c>
      <c r="CV44" s="550">
        <f t="shared" si="13"/>
        <v>0.45</v>
      </c>
      <c r="CW44" s="212">
        <f t="shared" si="3"/>
        <v>6793166.8800000008</v>
      </c>
      <c r="CX44" s="212">
        <f t="shared" si="4"/>
        <v>3056925.0960000004</v>
      </c>
      <c r="CY44" s="223">
        <f t="shared" si="2"/>
        <v>6941887</v>
      </c>
      <c r="CZ44" s="226">
        <f t="shared" si="5"/>
        <v>-3884961.9039999996</v>
      </c>
      <c r="DA44" s="212">
        <f t="shared" si="6"/>
        <v>81.751408409386812</v>
      </c>
      <c r="DM44" s="244"/>
    </row>
    <row r="45" spans="1:117" s="101" customFormat="1" ht="15" customHeight="1" x14ac:dyDescent="0.3">
      <c r="A45" s="401" t="s">
        <v>344</v>
      </c>
      <c r="B45" s="629" t="s">
        <v>345</v>
      </c>
      <c r="C45" s="399" t="s">
        <v>25</v>
      </c>
      <c r="D45" s="415" t="s">
        <v>507</v>
      </c>
      <c r="E45" s="403">
        <v>15002673</v>
      </c>
      <c r="F45" s="403" t="s">
        <v>508</v>
      </c>
      <c r="G45" s="449"/>
      <c r="H45" s="666"/>
      <c r="I45" s="416"/>
      <c r="J45" s="417"/>
      <c r="K45" s="417"/>
      <c r="L45" s="417" t="s">
        <v>509</v>
      </c>
      <c r="M45" s="417"/>
      <c r="N45" s="417"/>
      <c r="O45" s="418" t="s">
        <v>304</v>
      </c>
      <c r="P45" s="418" t="s">
        <v>16</v>
      </c>
      <c r="Q45" s="399" t="s">
        <v>510</v>
      </c>
      <c r="R45" s="399">
        <v>3020000394</v>
      </c>
      <c r="S45" s="419" t="s">
        <v>81</v>
      </c>
      <c r="T45" s="403"/>
      <c r="U45" s="426"/>
      <c r="V45" s="403"/>
      <c r="W45" s="399"/>
      <c r="X45" s="399"/>
      <c r="Y45" s="399"/>
      <c r="Z45" s="486">
        <v>5662000</v>
      </c>
      <c r="AA45" s="418">
        <v>33</v>
      </c>
      <c r="AB45" s="486">
        <v>319800</v>
      </c>
      <c r="AC45" s="409"/>
      <c r="AD45" s="410"/>
      <c r="AE45" s="399"/>
      <c r="AF45" s="399"/>
      <c r="AG45" s="399"/>
      <c r="AH45" s="399"/>
      <c r="AI45" s="403"/>
      <c r="AJ45" s="403"/>
      <c r="AK45" s="403"/>
      <c r="AL45" s="403"/>
      <c r="AM45" s="420"/>
      <c r="AN45" s="420"/>
      <c r="AO45" s="403"/>
      <c r="AP45" s="403"/>
      <c r="AQ45" s="403"/>
      <c r="AR45" s="403"/>
      <c r="AS45" s="403"/>
      <c r="AT45" s="403"/>
      <c r="AU45" s="399"/>
      <c r="AV45" s="420"/>
      <c r="AW45" s="420"/>
      <c r="AX45" s="420"/>
      <c r="AY45" s="420"/>
      <c r="AZ45" s="420"/>
      <c r="BA45" s="370"/>
      <c r="BB45" s="358"/>
      <c r="BC45" s="597" t="s">
        <v>1524</v>
      </c>
      <c r="BD45" s="597" t="s">
        <v>1674</v>
      </c>
      <c r="BE45" s="375">
        <v>1</v>
      </c>
      <c r="BF45" s="419" t="s">
        <v>315</v>
      </c>
      <c r="BG45" s="370"/>
      <c r="BH45" s="370"/>
      <c r="BI45" s="370"/>
      <c r="BJ45" s="370"/>
      <c r="BK45" s="487"/>
      <c r="BL45" s="488"/>
      <c r="BM45" s="358"/>
      <c r="BN45" s="358"/>
      <c r="BO45" s="370"/>
      <c r="BP45" s="487"/>
      <c r="BQ45" s="487"/>
      <c r="BR45" s="487"/>
      <c r="BS45" s="362">
        <f>SUM(Table14[[#This Row],[Jan-24]:[Dec-24]])</f>
        <v>0</v>
      </c>
      <c r="BT45" s="360"/>
      <c r="BU45" s="360"/>
      <c r="BV45" s="376"/>
      <c r="BW45" s="376"/>
      <c r="BX45" s="376"/>
      <c r="BY45" s="376"/>
      <c r="BZ45" s="376">
        <v>430327.8</v>
      </c>
      <c r="CA45" s="376">
        <v>330000</v>
      </c>
      <c r="CB45" s="376">
        <v>215000</v>
      </c>
      <c r="CC45" s="376"/>
      <c r="CD45" s="376"/>
      <c r="CE45" s="376">
        <v>350000</v>
      </c>
      <c r="CF45" s="362">
        <f>SUM(Table14[[#This Row],[Jan-25]:[Dec-25]])</f>
        <v>1325327.8</v>
      </c>
      <c r="CG45" s="376">
        <v>0</v>
      </c>
      <c r="CH45" s="376">
        <v>315000</v>
      </c>
      <c r="CI45" s="376">
        <v>0</v>
      </c>
      <c r="CJ45" s="414">
        <f>SUM(Table14[[#This Row],[Jan-26]:[Mar-26]])</f>
        <v>315000</v>
      </c>
      <c r="CK45" s="531">
        <f>IFERROR(SUM(Table14[[#This Row],[Oct-25]:[Dec-25]],Table14[[#This Row],[Jan-26]:[Mar-26]])/COUNT(Table14[[#This Row],[Oct-25]:[Dec-25]],Table14[[#This Row],[Jan-26]:[Mar-26]]),0)</f>
        <v>166250</v>
      </c>
      <c r="CL45" s="367"/>
      <c r="CM45" s="414">
        <f>Table14[[#This Row],[YTD 2024]]+Table14[[#This Row],[YTD 2025]]+Table14[[#This Row],[YTD 2026]]</f>
        <v>1640327.8</v>
      </c>
      <c r="CN45" s="418">
        <v>5</v>
      </c>
      <c r="CO45" s="353">
        <f t="shared" si="14"/>
        <v>328065.56</v>
      </c>
      <c r="CP45" s="353">
        <f>Table14[[#This Row],[Unit Cost]]-Table14[[#This Row],[Margin on Reagent sale]]</f>
        <v>5005868.88</v>
      </c>
      <c r="CQ45" s="489">
        <v>-75245.67200000002</v>
      </c>
      <c r="CR45" s="403" t="s">
        <v>343</v>
      </c>
      <c r="CS45" s="367">
        <f>Table14[[#This Row],[On Track / (behind) (avg per month)]]/Table14[[#This Row],[Months]]</f>
        <v>-15049.134400000004</v>
      </c>
      <c r="CT45" s="368">
        <v>0.4</v>
      </c>
      <c r="CU45" s="367">
        <f>Table14[[#This Row],[Total Reagent Sales till date Actual]]*Table14[[#This Row],[Margin %]]</f>
        <v>656131.12000000011</v>
      </c>
      <c r="CV45" s="371">
        <f t="shared" si="13"/>
        <v>0.4</v>
      </c>
      <c r="CW45" s="212">
        <f t="shared" si="3"/>
        <v>5985000</v>
      </c>
      <c r="CX45" s="212">
        <f t="shared" si="4"/>
        <v>2394000</v>
      </c>
      <c r="CY45" s="223">
        <f t="shared" si="2"/>
        <v>5662000</v>
      </c>
      <c r="CZ45" s="226">
        <f t="shared" si="5"/>
        <v>-3268000</v>
      </c>
      <c r="DA45" s="212">
        <f t="shared" si="6"/>
        <v>85.142857142857139</v>
      </c>
      <c r="DM45" s="244"/>
    </row>
    <row r="46" spans="1:117" s="101" customFormat="1" ht="15" customHeight="1" x14ac:dyDescent="0.3">
      <c r="A46" s="399" t="s">
        <v>511</v>
      </c>
      <c r="B46" s="629" t="s">
        <v>345</v>
      </c>
      <c r="C46" s="399" t="s">
        <v>21</v>
      </c>
      <c r="D46" s="415" t="s">
        <v>28</v>
      </c>
      <c r="E46" s="403">
        <v>15002760</v>
      </c>
      <c r="F46" s="403" t="s">
        <v>298</v>
      </c>
      <c r="G46" s="449">
        <v>3002000023</v>
      </c>
      <c r="H46" s="409" t="s">
        <v>299</v>
      </c>
      <c r="I46" s="416">
        <v>30004829</v>
      </c>
      <c r="J46" s="417" t="s">
        <v>512</v>
      </c>
      <c r="K46" s="417" t="s">
        <v>513</v>
      </c>
      <c r="L46" s="417" t="s">
        <v>514</v>
      </c>
      <c r="M46" s="417" t="s">
        <v>303</v>
      </c>
      <c r="N46" s="417"/>
      <c r="O46" s="416" t="s">
        <v>348</v>
      </c>
      <c r="P46" s="418" t="s">
        <v>15</v>
      </c>
      <c r="Q46" s="399" t="s">
        <v>305</v>
      </c>
      <c r="R46" s="399">
        <v>3020000439</v>
      </c>
      <c r="S46" s="403" t="s">
        <v>63</v>
      </c>
      <c r="T46" s="403" t="s">
        <v>299</v>
      </c>
      <c r="U46" s="403" t="s">
        <v>515</v>
      </c>
      <c r="V46" s="403" t="s">
        <v>516</v>
      </c>
      <c r="W46" s="350" t="s">
        <v>517</v>
      </c>
      <c r="X46" s="399" t="s">
        <v>518</v>
      </c>
      <c r="Y46" s="399"/>
      <c r="Z46" s="353">
        <v>5847387</v>
      </c>
      <c r="AA46" s="366">
        <v>28</v>
      </c>
      <c r="AB46" s="353">
        <v>545522</v>
      </c>
      <c r="AC46" s="423"/>
      <c r="AD46" s="424"/>
      <c r="AE46" s="424" t="s">
        <v>519</v>
      </c>
      <c r="AF46" s="424" t="s">
        <v>520</v>
      </c>
      <c r="AG46" s="424" t="s">
        <v>521</v>
      </c>
      <c r="AH46" s="424"/>
      <c r="AI46" s="409" t="s">
        <v>522</v>
      </c>
      <c r="AJ46" s="409" t="s">
        <v>523</v>
      </c>
      <c r="AK46" s="409"/>
      <c r="AL46" s="409"/>
      <c r="AM46" s="425" t="s">
        <v>524</v>
      </c>
      <c r="AN46" s="425" t="s">
        <v>525</v>
      </c>
      <c r="AO46" s="409"/>
      <c r="AP46" s="409"/>
      <c r="AQ46" s="409"/>
      <c r="AR46" s="409"/>
      <c r="AS46" s="409"/>
      <c r="AT46" s="409"/>
      <c r="AU46" s="409" t="s">
        <v>526</v>
      </c>
      <c r="AV46" s="409"/>
      <c r="AW46" s="409" t="s">
        <v>527</v>
      </c>
      <c r="AX46" s="430"/>
      <c r="AY46" s="430"/>
      <c r="AZ46" s="430"/>
      <c r="BA46" s="430"/>
      <c r="BB46" s="430"/>
      <c r="BC46" s="415" t="s">
        <v>528</v>
      </c>
      <c r="BD46" s="415"/>
      <c r="BE46" s="430"/>
      <c r="BF46" s="403"/>
      <c r="BG46" s="359">
        <v>262916.82</v>
      </c>
      <c r="BH46" s="359">
        <v>284489.45999999996</v>
      </c>
      <c r="BI46" s="359">
        <v>163926.91</v>
      </c>
      <c r="BJ46" s="359">
        <v>36327</v>
      </c>
      <c r="BK46" s="359">
        <v>468860.14</v>
      </c>
      <c r="BL46" s="359">
        <v>654734.74</v>
      </c>
      <c r="BM46" s="359">
        <v>167552</v>
      </c>
      <c r="BN46" s="359">
        <v>565713.64</v>
      </c>
      <c r="BO46" s="359">
        <v>111563</v>
      </c>
      <c r="BP46" s="359">
        <v>140865</v>
      </c>
      <c r="BQ46" s="359">
        <v>206958</v>
      </c>
      <c r="BR46" s="359">
        <v>0</v>
      </c>
      <c r="BS46" s="362">
        <f>SUM(Table14[[#This Row],[Jan-24]:[Dec-24]])</f>
        <v>3063906.71</v>
      </c>
      <c r="BT46" s="362">
        <v>0</v>
      </c>
      <c r="BU46" s="414">
        <v>215169</v>
      </c>
      <c r="BV46" s="414">
        <v>0</v>
      </c>
      <c r="BW46" s="414">
        <v>319587</v>
      </c>
      <c r="BX46" s="414"/>
      <c r="BY46" s="414"/>
      <c r="BZ46" s="414"/>
      <c r="CA46" s="414"/>
      <c r="CB46" s="414"/>
      <c r="CC46" s="414"/>
      <c r="CD46" s="414"/>
      <c r="CE46" s="414"/>
      <c r="CF46" s="362">
        <f>SUM(Table14[[#This Row],[Jan-25]:[Dec-25]])</f>
        <v>534756</v>
      </c>
      <c r="CG46" s="414"/>
      <c r="CH46" s="414"/>
      <c r="CI46" s="414"/>
      <c r="CJ46" s="414">
        <f>SUM(Table14[[#This Row],[Jan-26]:[Mar-26]])</f>
        <v>0</v>
      </c>
      <c r="CK46" s="531">
        <f>IFERROR(SUM(Table14[[#This Row],[Oct-25]:[Dec-25]],Table14[[#This Row],[Jan-26]:[Mar-26]])/COUNT(Table14[[#This Row],[Oct-25]:[Dec-25]],Table14[[#This Row],[Jan-26]:[Mar-26]]),0)</f>
        <v>0</v>
      </c>
      <c r="CL46" s="359"/>
      <c r="CM46" s="414">
        <f>Table14[[#This Row],[YTD 2024]]+Table14[[#This Row],[YTD 2025]]+Table14[[#This Row],[YTD 2026]]</f>
        <v>3598662.71</v>
      </c>
      <c r="CN46" s="366">
        <v>31</v>
      </c>
      <c r="CO46" s="353">
        <f t="shared" si="14"/>
        <v>116085.89387096775</v>
      </c>
      <c r="CP46" s="353">
        <f>Table14[[#This Row],[Unit Cost]]-Table14[[#This Row],[Margin on Reagent sale]]</f>
        <v>4407921.9160000002</v>
      </c>
      <c r="CQ46" s="372">
        <f>Table14[[#This Row],[Avg reagent Sales per month Actual]]-Table14[[#This Row],[Per Month Reagent Commitment]]</f>
        <v>-429436.10612903227</v>
      </c>
      <c r="CR46" s="403" t="s">
        <v>343</v>
      </c>
      <c r="CS46" s="367">
        <f>Table14[[#This Row],[On Track / (behind) (avg per month)]]/Table14[[#This Row],[Months]]</f>
        <v>-13852.777617065558</v>
      </c>
      <c r="CT46" s="368">
        <v>0.4</v>
      </c>
      <c r="CU46" s="367">
        <f>Table14[[#This Row],[Total Reagent Sales till date Actual]]*Table14[[#This Row],[Margin %]]</f>
        <v>1439465.084</v>
      </c>
      <c r="CV46" s="442">
        <v>0.35</v>
      </c>
      <c r="CW46" s="212">
        <f t="shared" si="3"/>
        <v>0</v>
      </c>
      <c r="CX46" s="212">
        <f t="shared" si="4"/>
        <v>0</v>
      </c>
      <c r="CY46" s="223">
        <f t="shared" si="2"/>
        <v>5847387</v>
      </c>
      <c r="CZ46" s="226">
        <f t="shared" si="5"/>
        <v>-5847387</v>
      </c>
      <c r="DA46" s="212" t="e">
        <f t="shared" si="6"/>
        <v>#DIV/0!</v>
      </c>
      <c r="DM46" s="244"/>
    </row>
    <row r="47" spans="1:117" s="101" customFormat="1" ht="15" customHeight="1" x14ac:dyDescent="0.3">
      <c r="A47" s="399" t="s">
        <v>511</v>
      </c>
      <c r="B47" s="630" t="s">
        <v>345</v>
      </c>
      <c r="C47" s="399" t="s">
        <v>21</v>
      </c>
      <c r="D47" s="415" t="s">
        <v>28</v>
      </c>
      <c r="E47" s="403">
        <v>15002760</v>
      </c>
      <c r="F47" s="403" t="s">
        <v>298</v>
      </c>
      <c r="G47" s="449">
        <v>3002000023</v>
      </c>
      <c r="H47" s="409" t="s">
        <v>299</v>
      </c>
      <c r="I47" s="416">
        <v>30004829</v>
      </c>
      <c r="J47" s="417"/>
      <c r="K47" s="417"/>
      <c r="L47" s="417" t="s">
        <v>491</v>
      </c>
      <c r="M47" s="417" t="s">
        <v>303</v>
      </c>
      <c r="N47" s="417"/>
      <c r="O47" s="418" t="s">
        <v>529</v>
      </c>
      <c r="P47" s="418" t="s">
        <v>15</v>
      </c>
      <c r="Q47" s="399" t="s">
        <v>305</v>
      </c>
      <c r="R47" s="399">
        <v>3020000439</v>
      </c>
      <c r="S47" s="403" t="s">
        <v>63</v>
      </c>
      <c r="T47" s="403" t="s">
        <v>299</v>
      </c>
      <c r="U47" s="403" t="s">
        <v>515</v>
      </c>
      <c r="V47" s="403" t="s">
        <v>516</v>
      </c>
      <c r="W47" s="350" t="s">
        <v>517</v>
      </c>
      <c r="X47" s="399" t="s">
        <v>518</v>
      </c>
      <c r="Y47" s="399"/>
      <c r="Z47" s="486">
        <v>5962387</v>
      </c>
      <c r="AA47" s="418">
        <v>60</v>
      </c>
      <c r="AB47" s="486">
        <v>469966</v>
      </c>
      <c r="AC47" s="409"/>
      <c r="AD47" s="410"/>
      <c r="AE47" s="399"/>
      <c r="AF47" s="399"/>
      <c r="AG47" s="399"/>
      <c r="AH47" s="399"/>
      <c r="AI47" s="403"/>
      <c r="AJ47" s="403"/>
      <c r="AK47" s="403"/>
      <c r="AL47" s="403"/>
      <c r="AM47" s="420"/>
      <c r="AN47" s="420"/>
      <c r="AO47" s="403"/>
      <c r="AP47" s="403"/>
      <c r="AQ47" s="403"/>
      <c r="AR47" s="403"/>
      <c r="AS47" s="403"/>
      <c r="AT47" s="403"/>
      <c r="AU47" s="399"/>
      <c r="AV47" s="420"/>
      <c r="AW47" s="420"/>
      <c r="AX47" s="420"/>
      <c r="AY47" s="420"/>
      <c r="AZ47" s="420"/>
      <c r="BA47" s="370"/>
      <c r="BB47" s="358"/>
      <c r="BC47" s="597" t="s">
        <v>940</v>
      </c>
      <c r="BD47" s="597" t="s">
        <v>1640</v>
      </c>
      <c r="BE47" s="375"/>
      <c r="BF47" s="403"/>
      <c r="BG47" s="359">
        <v>0</v>
      </c>
      <c r="BH47" s="359">
        <v>0</v>
      </c>
      <c r="BI47" s="359">
        <v>0</v>
      </c>
      <c r="BJ47" s="359">
        <v>0</v>
      </c>
      <c r="BK47" s="359">
        <v>0</v>
      </c>
      <c r="BL47" s="359">
        <v>0</v>
      </c>
      <c r="BM47" s="359">
        <v>0</v>
      </c>
      <c r="BN47" s="359">
        <v>0</v>
      </c>
      <c r="BO47" s="359">
        <v>0</v>
      </c>
      <c r="BP47" s="359">
        <v>0</v>
      </c>
      <c r="BQ47" s="359">
        <v>0</v>
      </c>
      <c r="BR47" s="359">
        <v>0</v>
      </c>
      <c r="BS47" s="362">
        <f>SUM(Table14[[#This Row],[Jan-24]:[Dec-24]])</f>
        <v>0</v>
      </c>
      <c r="BT47" s="362">
        <v>0</v>
      </c>
      <c r="BU47" s="414">
        <v>0</v>
      </c>
      <c r="BV47" s="414">
        <v>0</v>
      </c>
      <c r="BW47" s="414">
        <v>0</v>
      </c>
      <c r="BX47" s="414">
        <v>915691.58000000007</v>
      </c>
      <c r="BY47" s="414">
        <v>293100.48</v>
      </c>
      <c r="BZ47" s="414">
        <v>0</v>
      </c>
      <c r="CA47" s="414">
        <v>639964.52</v>
      </c>
      <c r="CB47" s="414">
        <v>0</v>
      </c>
      <c r="CC47" s="414">
        <v>375282.49</v>
      </c>
      <c r="CD47" s="414">
        <v>0</v>
      </c>
      <c r="CE47" s="414">
        <v>0</v>
      </c>
      <c r="CF47" s="362">
        <f>SUM(Table14[[#This Row],[Jan-25]:[Dec-25]])</f>
        <v>2224039.0700000003</v>
      </c>
      <c r="CG47" s="414">
        <v>24249.5</v>
      </c>
      <c r="CH47" s="414">
        <v>48499</v>
      </c>
      <c r="CI47" s="414">
        <v>0</v>
      </c>
      <c r="CJ47" s="414">
        <f>SUM(Table14[[#This Row],[Jan-26]:[Mar-26]])</f>
        <v>72748.5</v>
      </c>
      <c r="CK47" s="531">
        <f>IFERROR(SUM(Table14[[#This Row],[Oct-25]:[Dec-25]],Table14[[#This Row],[Jan-26]:[Mar-26]])/COUNT(Table14[[#This Row],[Oct-25]:[Dec-25]],Table14[[#This Row],[Jan-26]:[Mar-26]]),0)</f>
        <v>74671.831666666665</v>
      </c>
      <c r="CL47" s="367"/>
      <c r="CM47" s="414">
        <f>Table14[[#This Row],[YTD 2024]]+Table14[[#This Row],[YTD 2025]]+Table14[[#This Row],[YTD 2026]]</f>
        <v>2296787.5700000003</v>
      </c>
      <c r="CN47" s="418">
        <v>34</v>
      </c>
      <c r="CO47" s="353">
        <f t="shared" si="14"/>
        <v>67552.575588235297</v>
      </c>
      <c r="CP47" s="353">
        <f>Table14[[#This Row],[Unit Cost]]-Table14[[#This Row],[Margin on Reagent sale]]</f>
        <v>5043671.9720000001</v>
      </c>
      <c r="CQ47" s="489">
        <f>Table14[[#This Row],[Avg reagent Sales per month Actual]]-Table14[[#This Row],[Per Month Reagent Commitment]]</f>
        <v>-402413.42441176472</v>
      </c>
      <c r="CR47" s="403" t="s">
        <v>343</v>
      </c>
      <c r="CS47" s="367">
        <f>Table14[[#This Row],[On Track / (behind) (avg per month)]]/Table14[[#This Row],[Months]]</f>
        <v>-11835.688953287197</v>
      </c>
      <c r="CT47" s="368">
        <v>0.4</v>
      </c>
      <c r="CU47" s="367">
        <f>Table14[[#This Row],[Total Reagent Sales till date Actual]]*Table14[[#This Row],[Margin %]]</f>
        <v>918715.02800000017</v>
      </c>
      <c r="CV47" s="371">
        <f>CT47</f>
        <v>0.4</v>
      </c>
      <c r="CW47" s="212">
        <f t="shared" si="3"/>
        <v>2688185.94</v>
      </c>
      <c r="CX47" s="212">
        <f t="shared" si="4"/>
        <v>1075274.3759999999</v>
      </c>
      <c r="CY47" s="223">
        <f t="shared" si="2"/>
        <v>5962387</v>
      </c>
      <c r="CZ47" s="226">
        <f t="shared" si="5"/>
        <v>-4887112.6239999998</v>
      </c>
      <c r="DA47" s="212">
        <f t="shared" si="6"/>
        <v>199.61968479010795</v>
      </c>
      <c r="DM47" s="244"/>
    </row>
    <row r="48" spans="1:117" ht="15" customHeight="1" x14ac:dyDescent="0.3">
      <c r="A48" s="399" t="s">
        <v>296</v>
      </c>
      <c r="B48" s="629" t="s">
        <v>297</v>
      </c>
      <c r="C48" s="399" t="s">
        <v>24</v>
      </c>
      <c r="D48" s="415" t="s">
        <v>31</v>
      </c>
      <c r="E48" s="403">
        <v>15002462</v>
      </c>
      <c r="F48" s="403" t="s">
        <v>298</v>
      </c>
      <c r="G48" s="449">
        <v>3002000009</v>
      </c>
      <c r="H48" s="403" t="s">
        <v>530</v>
      </c>
      <c r="I48" s="416" t="s">
        <v>531</v>
      </c>
      <c r="J48" s="417" t="s">
        <v>532</v>
      </c>
      <c r="K48" s="417" t="s">
        <v>533</v>
      </c>
      <c r="L48" s="417" t="s">
        <v>534</v>
      </c>
      <c r="M48" s="417" t="s">
        <v>303</v>
      </c>
      <c r="N48" s="417"/>
      <c r="O48" s="416" t="s">
        <v>304</v>
      </c>
      <c r="P48" s="418" t="s">
        <v>15</v>
      </c>
      <c r="Q48" s="399" t="s">
        <v>305</v>
      </c>
      <c r="R48" s="399">
        <v>3020000447</v>
      </c>
      <c r="S48" s="435" t="s">
        <v>72</v>
      </c>
      <c r="T48" s="403" t="s">
        <v>535</v>
      </c>
      <c r="U48" s="403" t="s">
        <v>536</v>
      </c>
      <c r="V48" s="403" t="s">
        <v>537</v>
      </c>
      <c r="W48" s="350" t="s">
        <v>538</v>
      </c>
      <c r="X48" s="399"/>
      <c r="Y48" s="399" t="s">
        <v>539</v>
      </c>
      <c r="Z48" s="353">
        <v>2668545</v>
      </c>
      <c r="AA48" s="366">
        <v>27</v>
      </c>
      <c r="AB48" s="353">
        <v>499567</v>
      </c>
      <c r="AC48" s="423"/>
      <c r="AD48" s="424"/>
      <c r="AE48" s="424"/>
      <c r="AF48" s="424"/>
      <c r="AG48" s="424" t="s">
        <v>540</v>
      </c>
      <c r="AH48" s="424" t="s">
        <v>541</v>
      </c>
      <c r="AI48" s="409" t="s">
        <v>542</v>
      </c>
      <c r="AJ48" s="409" t="s">
        <v>543</v>
      </c>
      <c r="AK48" s="409"/>
      <c r="AL48" s="409"/>
      <c r="AM48" s="425"/>
      <c r="AN48" s="425"/>
      <c r="AO48" s="409"/>
      <c r="AP48" s="409"/>
      <c r="AQ48" s="409"/>
      <c r="AR48" s="409"/>
      <c r="AS48" s="409" t="s">
        <v>544</v>
      </c>
      <c r="AT48" s="409"/>
      <c r="AU48" s="409" t="s">
        <v>545</v>
      </c>
      <c r="AV48" s="409"/>
      <c r="AW48" s="403" t="s">
        <v>316</v>
      </c>
      <c r="AX48" s="430"/>
      <c r="AY48" s="430"/>
      <c r="AZ48" s="430"/>
      <c r="BA48" s="430"/>
      <c r="BB48" s="430"/>
      <c r="BC48" s="415" t="s">
        <v>1494</v>
      </c>
      <c r="BD48" s="415" t="s">
        <v>1569</v>
      </c>
      <c r="BE48" s="430">
        <v>1</v>
      </c>
      <c r="BF48" s="415" t="s">
        <v>315</v>
      </c>
      <c r="BG48" s="359">
        <v>146900</v>
      </c>
      <c r="BH48" s="359">
        <v>740800</v>
      </c>
      <c r="BI48" s="359">
        <v>939900</v>
      </c>
      <c r="BJ48" s="359">
        <v>93000</v>
      </c>
      <c r="BK48" s="359">
        <v>764600</v>
      </c>
      <c r="BL48" s="359">
        <v>1053900</v>
      </c>
      <c r="BM48" s="359">
        <v>999900</v>
      </c>
      <c r="BN48" s="359">
        <v>142000</v>
      </c>
      <c r="BO48" s="359">
        <v>0</v>
      </c>
      <c r="BP48" s="359">
        <v>770500</v>
      </c>
      <c r="BQ48" s="359">
        <v>425600</v>
      </c>
      <c r="BR48" s="359">
        <v>959600</v>
      </c>
      <c r="BS48" s="362">
        <f>SUM(Table14[[#This Row],[Jan-24]:[Dec-24]])</f>
        <v>7036700</v>
      </c>
      <c r="BT48" s="414">
        <v>1245700</v>
      </c>
      <c r="BU48" s="414">
        <v>0</v>
      </c>
      <c r="BV48" s="414">
        <v>116000</v>
      </c>
      <c r="BW48" s="414">
        <v>0</v>
      </c>
      <c r="BX48" s="414">
        <v>702500</v>
      </c>
      <c r="BY48" s="414">
        <v>119800</v>
      </c>
      <c r="BZ48" s="414">
        <v>635960</v>
      </c>
      <c r="CA48" s="414">
        <v>613250</v>
      </c>
      <c r="CB48" s="414">
        <v>336820</v>
      </c>
      <c r="CC48" s="414">
        <v>519620</v>
      </c>
      <c r="CD48" s="414">
        <v>486400</v>
      </c>
      <c r="CE48" s="414">
        <v>523620</v>
      </c>
      <c r="CF48" s="362">
        <f>SUM(Table14[[#This Row],[Jan-25]:[Dec-25]])</f>
        <v>5299670</v>
      </c>
      <c r="CG48" s="414">
        <v>269500</v>
      </c>
      <c r="CH48" s="414">
        <v>559660</v>
      </c>
      <c r="CI48" s="414">
        <v>768330</v>
      </c>
      <c r="CJ48" s="414">
        <f>SUM(Table14[[#This Row],[Jan-26]:[Mar-26]])</f>
        <v>1597490</v>
      </c>
      <c r="CK48" s="531">
        <f>IFERROR(SUM(Table14[[#This Row],[Oct-25]:[Dec-25]],Table14[[#This Row],[Jan-26]:[Mar-26]])/COUNT(Table14[[#This Row],[Oct-25]:[Dec-25]],Table14[[#This Row],[Jan-26]:[Mar-26]]),0)</f>
        <v>521188.33333333331</v>
      </c>
      <c r="CL48" s="359"/>
      <c r="CM48" s="414">
        <f>Table14[[#This Row],[YTD 2024]]+Table14[[#This Row],[YTD 2025]]+Table14[[#This Row],[YTD 2026]]</f>
        <v>13933860</v>
      </c>
      <c r="CN48" s="366">
        <v>23</v>
      </c>
      <c r="CO48" s="353">
        <f t="shared" si="14"/>
        <v>605820</v>
      </c>
      <c r="CP48" s="353">
        <f>Table14[[#This Row],[Unit Cost]]-Table14[[#This Row],[Margin on Reagent sale]]</f>
        <v>-2904999</v>
      </c>
      <c r="CQ48" s="372">
        <f>Table14[[#This Row],[Avg reagent Sales per month Actual]]-Table14[[#This Row],[Per Month Reagent Commitment]]</f>
        <v>106253</v>
      </c>
      <c r="CR48" s="403" t="s">
        <v>316</v>
      </c>
      <c r="CS48" s="367">
        <f>Table14[[#This Row],[On Track / (behind) (avg per month)]]/Table14[[#This Row],[Months]]</f>
        <v>4619.695652173913</v>
      </c>
      <c r="CT48" s="368">
        <v>0.4</v>
      </c>
      <c r="CU48" s="367">
        <f>Table14[[#This Row],[Total Reagent Sales till date Actual]]*Table14[[#This Row],[Margin %]]</f>
        <v>5573544</v>
      </c>
      <c r="CV48" s="400">
        <f>CT48</f>
        <v>0.4</v>
      </c>
      <c r="CW48" s="212">
        <f t="shared" si="3"/>
        <v>18762780</v>
      </c>
      <c r="CX48" s="212">
        <f t="shared" si="4"/>
        <v>7505112</v>
      </c>
      <c r="CY48" s="223">
        <f t="shared" si="2"/>
        <v>2668545</v>
      </c>
      <c r="CZ48" s="226">
        <f t="shared" si="5"/>
        <v>4836567</v>
      </c>
      <c r="DA48" s="212">
        <f t="shared" si="6"/>
        <v>12.800291321435308</v>
      </c>
      <c r="DM48" s="244"/>
    </row>
    <row r="49" spans="1:117" ht="15" customHeight="1" x14ac:dyDescent="0.3">
      <c r="A49" s="399" t="s">
        <v>511</v>
      </c>
      <c r="B49" s="629" t="s">
        <v>345</v>
      </c>
      <c r="C49" s="502" t="s">
        <v>21</v>
      </c>
      <c r="D49" s="504" t="s">
        <v>28</v>
      </c>
      <c r="E49" s="403">
        <v>15002760</v>
      </c>
      <c r="F49" s="403" t="s">
        <v>298</v>
      </c>
      <c r="G49" s="449">
        <v>3002000033</v>
      </c>
      <c r="H49" s="409" t="s">
        <v>299</v>
      </c>
      <c r="I49" s="416">
        <v>30006238</v>
      </c>
      <c r="J49" s="417" t="s">
        <v>546</v>
      </c>
      <c r="K49" s="417"/>
      <c r="L49" s="417"/>
      <c r="M49" s="417" t="s">
        <v>425</v>
      </c>
      <c r="N49" s="417"/>
      <c r="O49" s="416" t="s">
        <v>348</v>
      </c>
      <c r="P49" s="514" t="s">
        <v>15</v>
      </c>
      <c r="Q49" s="399" t="s">
        <v>305</v>
      </c>
      <c r="R49" s="502">
        <v>3020000477</v>
      </c>
      <c r="S49" s="521" t="s">
        <v>58</v>
      </c>
      <c r="T49" s="403" t="s">
        <v>547</v>
      </c>
      <c r="U49" s="403" t="s">
        <v>548</v>
      </c>
      <c r="V49" s="403" t="s">
        <v>549</v>
      </c>
      <c r="W49" s="350" t="s">
        <v>550</v>
      </c>
      <c r="X49" s="399" t="s">
        <v>551</v>
      </c>
      <c r="Y49" s="399"/>
      <c r="Z49" s="353"/>
      <c r="AA49" s="366"/>
      <c r="AB49" s="353"/>
      <c r="AC49" s="423"/>
      <c r="AD49" s="424"/>
      <c r="AE49" s="424"/>
      <c r="AF49" s="424"/>
      <c r="AG49" s="424"/>
      <c r="AH49" s="424"/>
      <c r="AI49" s="409"/>
      <c r="AJ49" s="409"/>
      <c r="AK49" s="409"/>
      <c r="AL49" s="409"/>
      <c r="AM49" s="425" t="s">
        <v>552</v>
      </c>
      <c r="AN49" s="425" t="s">
        <v>553</v>
      </c>
      <c r="AO49" s="409"/>
      <c r="AP49" s="409"/>
      <c r="AQ49" s="409"/>
      <c r="AR49" s="409"/>
      <c r="AS49" s="409" t="s">
        <v>554</v>
      </c>
      <c r="AT49" s="409" t="s">
        <v>555</v>
      </c>
      <c r="AU49" s="409" t="s">
        <v>556</v>
      </c>
      <c r="AV49" s="409"/>
      <c r="AW49" s="409" t="s">
        <v>557</v>
      </c>
      <c r="AX49" s="430"/>
      <c r="AY49" s="430"/>
      <c r="AZ49" s="430"/>
      <c r="BA49" s="430"/>
      <c r="BB49" s="430"/>
      <c r="BC49" s="415"/>
      <c r="BD49" s="415"/>
      <c r="BE49" s="430"/>
      <c r="BF49" s="403"/>
      <c r="BG49" s="359">
        <f>5590275/2</f>
        <v>2795137.5</v>
      </c>
      <c r="BH49" s="359">
        <f>299250/2</f>
        <v>149625</v>
      </c>
      <c r="BI49" s="359">
        <f>7696425/2</f>
        <v>3848212.5</v>
      </c>
      <c r="BJ49" s="359">
        <f>2659227/2</f>
        <v>1329613.5</v>
      </c>
      <c r="BK49" s="359">
        <v>0</v>
      </c>
      <c r="BL49" s="359">
        <v>0</v>
      </c>
      <c r="BM49" s="359">
        <v>0</v>
      </c>
      <c r="BN49" s="359">
        <v>0</v>
      </c>
      <c r="BO49" s="359">
        <v>0</v>
      </c>
      <c r="BP49" s="359">
        <v>0</v>
      </c>
      <c r="BQ49" s="359">
        <v>0</v>
      </c>
      <c r="BR49" s="359">
        <v>0</v>
      </c>
      <c r="BS49" s="362">
        <f>SUM(Table14[[#This Row],[Jan-24]:[Dec-24]])</f>
        <v>8122588.5</v>
      </c>
      <c r="BT49" s="513">
        <v>0</v>
      </c>
      <c r="BU49" s="513">
        <v>0</v>
      </c>
      <c r="BV49" s="513"/>
      <c r="BW49" s="513"/>
      <c r="BX49" s="513"/>
      <c r="BY49" s="513"/>
      <c r="BZ49" s="513"/>
      <c r="CA49" s="513"/>
      <c r="CB49" s="513"/>
      <c r="CC49" s="513"/>
      <c r="CD49" s="513"/>
      <c r="CE49" s="513"/>
      <c r="CF49" s="362">
        <f>SUM(Table14[[#This Row],[Jan-25]:[Dec-25]])</f>
        <v>0</v>
      </c>
      <c r="CG49" s="513"/>
      <c r="CH49" s="513"/>
      <c r="CI49" s="513"/>
      <c r="CJ49" s="414">
        <f>SUM(Table14[[#This Row],[Jan-26]:[Mar-26]])</f>
        <v>0</v>
      </c>
      <c r="CK49" s="531">
        <f>IFERROR(SUM(Table14[[#This Row],[Oct-25]:[Dec-25]],Table14[[#This Row],[Jan-26]:[Mar-26]])/COUNT(Table14[[#This Row],[Oct-25]:[Dec-25]],Table14[[#This Row],[Jan-26]:[Mar-26]]),0)</f>
        <v>0</v>
      </c>
      <c r="CL49" s="511"/>
      <c r="CM49" s="414">
        <f>Table14[[#This Row],[YTD 2024]]+Table14[[#This Row],[YTD 2025]]+Table14[[#This Row],[YTD 2026]]</f>
        <v>8122588.5</v>
      </c>
      <c r="CN49" s="522">
        <v>16</v>
      </c>
      <c r="CO49" s="517">
        <f t="shared" si="14"/>
        <v>507661.78125</v>
      </c>
      <c r="CP49" s="517">
        <f>Table14[[#This Row],[Unit Cost]]-Table14[[#This Row],[Margin on Reagent sale]]</f>
        <v>-3249035.4000000004</v>
      </c>
      <c r="CQ49" s="523">
        <f>Table14[[#This Row],[Avg reagent Sales per month Actual]]-Table14[[#This Row],[Per Month Reagent Commitment]]</f>
        <v>507661.78125</v>
      </c>
      <c r="CR49" s="521" t="s">
        <v>316</v>
      </c>
      <c r="CS49" s="516">
        <f>Table14[[#This Row],[On Track / (behind) (avg per month)]]/Table14[[#This Row],[Months]]</f>
        <v>31728.861328125</v>
      </c>
      <c r="CT49" s="524">
        <v>0.4</v>
      </c>
      <c r="CU49" s="516">
        <f>Table14[[#This Row],[Total Reagent Sales till date Actual]]*Table14[[#This Row],[Margin %]]</f>
        <v>3249035.4000000004</v>
      </c>
      <c r="CV49" s="525">
        <v>0.35</v>
      </c>
      <c r="CW49" s="212">
        <f t="shared" si="3"/>
        <v>0</v>
      </c>
      <c r="CX49" s="212">
        <f t="shared" si="4"/>
        <v>0</v>
      </c>
      <c r="CY49" s="223">
        <f t="shared" si="2"/>
        <v>0</v>
      </c>
      <c r="CZ49" s="226">
        <f t="shared" si="5"/>
        <v>0</v>
      </c>
      <c r="DA49" s="212" t="e">
        <f t="shared" si="6"/>
        <v>#DIV/0!</v>
      </c>
      <c r="DM49" s="244"/>
    </row>
    <row r="50" spans="1:117" ht="15" customHeight="1" x14ac:dyDescent="0.3">
      <c r="A50" s="399" t="s">
        <v>511</v>
      </c>
      <c r="B50" s="629" t="s">
        <v>345</v>
      </c>
      <c r="C50" s="502" t="s">
        <v>21</v>
      </c>
      <c r="D50" s="503" t="s">
        <v>28</v>
      </c>
      <c r="E50" s="403">
        <v>15002760</v>
      </c>
      <c r="F50" s="403" t="s">
        <v>298</v>
      </c>
      <c r="G50" s="449">
        <v>3002000037</v>
      </c>
      <c r="H50" s="409" t="s">
        <v>299</v>
      </c>
      <c r="I50" s="416">
        <v>30006243</v>
      </c>
      <c r="J50" s="417" t="s">
        <v>546</v>
      </c>
      <c r="K50" s="417"/>
      <c r="L50" s="417"/>
      <c r="M50" s="417" t="s">
        <v>425</v>
      </c>
      <c r="N50" s="417"/>
      <c r="O50" s="416" t="s">
        <v>348</v>
      </c>
      <c r="P50" s="514" t="s">
        <v>15</v>
      </c>
      <c r="Q50" s="399" t="s">
        <v>305</v>
      </c>
      <c r="R50" s="502">
        <v>3020000477</v>
      </c>
      <c r="S50" s="521" t="s">
        <v>58</v>
      </c>
      <c r="T50" s="403" t="s">
        <v>303</v>
      </c>
      <c r="U50" s="403" t="s">
        <v>548</v>
      </c>
      <c r="V50" s="403" t="s">
        <v>549</v>
      </c>
      <c r="W50" s="350" t="s">
        <v>550</v>
      </c>
      <c r="X50" s="399" t="s">
        <v>551</v>
      </c>
      <c r="Y50" s="399"/>
      <c r="Z50" s="353"/>
      <c r="AA50" s="366"/>
      <c r="AB50" s="353"/>
      <c r="AC50" s="423"/>
      <c r="AD50" s="424"/>
      <c r="AE50" s="424"/>
      <c r="AF50" s="424"/>
      <c r="AG50" s="424"/>
      <c r="AH50" s="424"/>
      <c r="AI50" s="409"/>
      <c r="AJ50" s="409"/>
      <c r="AK50" s="409"/>
      <c r="AL50" s="409"/>
      <c r="AM50" s="425" t="s">
        <v>552</v>
      </c>
      <c r="AN50" s="425" t="s">
        <v>553</v>
      </c>
      <c r="AO50" s="409"/>
      <c r="AP50" s="409"/>
      <c r="AQ50" s="409"/>
      <c r="AR50" s="409"/>
      <c r="AS50" s="409"/>
      <c r="AT50" s="409"/>
      <c r="AU50" s="409" t="s">
        <v>556</v>
      </c>
      <c r="AV50" s="409"/>
      <c r="AW50" s="409" t="s">
        <v>557</v>
      </c>
      <c r="AX50" s="430"/>
      <c r="AY50" s="430"/>
      <c r="AZ50" s="430"/>
      <c r="BA50" s="430"/>
      <c r="BB50" s="430"/>
      <c r="BC50" s="415"/>
      <c r="BD50" s="415"/>
      <c r="BE50" s="430"/>
      <c r="BF50" s="403"/>
      <c r="BG50" s="359">
        <f>5590275/2</f>
        <v>2795137.5</v>
      </c>
      <c r="BH50" s="359">
        <f>299250/2</f>
        <v>149625</v>
      </c>
      <c r="BI50" s="359">
        <f>7696425/2</f>
        <v>3848212.5</v>
      </c>
      <c r="BJ50" s="359">
        <f>2659227/2</f>
        <v>1329613.5</v>
      </c>
      <c r="BK50" s="359">
        <v>0</v>
      </c>
      <c r="BL50" s="359">
        <v>0</v>
      </c>
      <c r="BM50" s="359">
        <v>0</v>
      </c>
      <c r="BN50" s="359">
        <v>0</v>
      </c>
      <c r="BO50" s="359">
        <v>0</v>
      </c>
      <c r="BP50" s="359">
        <v>0</v>
      </c>
      <c r="BQ50" s="359">
        <v>0</v>
      </c>
      <c r="BR50" s="359">
        <v>0</v>
      </c>
      <c r="BS50" s="362">
        <f>SUM(Table14[[#This Row],[Jan-24]:[Dec-24]])</f>
        <v>8122588.5</v>
      </c>
      <c r="BT50" s="513">
        <v>0</v>
      </c>
      <c r="BU50" s="513"/>
      <c r="BV50" s="513"/>
      <c r="BW50" s="513"/>
      <c r="BX50" s="513"/>
      <c r="BY50" s="513"/>
      <c r="BZ50" s="513"/>
      <c r="CA50" s="513"/>
      <c r="CB50" s="513"/>
      <c r="CC50" s="513"/>
      <c r="CD50" s="513"/>
      <c r="CE50" s="513"/>
      <c r="CF50" s="362">
        <f>SUM(Table14[[#This Row],[Jan-25]:[Dec-25]])</f>
        <v>0</v>
      </c>
      <c r="CG50" s="513"/>
      <c r="CH50" s="513"/>
      <c r="CI50" s="513"/>
      <c r="CJ50" s="414">
        <f>SUM(Table14[[#This Row],[Jan-26]:[Mar-26]])</f>
        <v>0</v>
      </c>
      <c r="CK50" s="531">
        <f>IFERROR(SUM(Table14[[#This Row],[Oct-25]:[Dec-25]],Table14[[#This Row],[Jan-26]:[Mar-26]])/COUNT(Table14[[#This Row],[Oct-25]:[Dec-25]],Table14[[#This Row],[Jan-26]:[Mar-26]]),0)</f>
        <v>0</v>
      </c>
      <c r="CL50" s="511"/>
      <c r="CM50" s="414">
        <f>Table14[[#This Row],[YTD 2024]]+Table14[[#This Row],[YTD 2025]]+Table14[[#This Row],[YTD 2026]]</f>
        <v>8122588.5</v>
      </c>
      <c r="CN50" s="522">
        <v>16</v>
      </c>
      <c r="CO50" s="517">
        <f t="shared" si="14"/>
        <v>507661.78125</v>
      </c>
      <c r="CP50" s="517">
        <f>Table14[[#This Row],[Unit Cost]]-Table14[[#This Row],[Margin on Reagent sale]]</f>
        <v>-3249035.4000000004</v>
      </c>
      <c r="CQ50" s="523">
        <f>Table14[[#This Row],[Avg reagent Sales per month Actual]]-Table14[[#This Row],[Per Month Reagent Commitment]]</f>
        <v>507661.78125</v>
      </c>
      <c r="CR50" s="521" t="s">
        <v>316</v>
      </c>
      <c r="CS50" s="516">
        <f>Table14[[#This Row],[On Track / (behind) (avg per month)]]/Table14[[#This Row],[Months]]</f>
        <v>31728.861328125</v>
      </c>
      <c r="CT50" s="524">
        <v>0.4</v>
      </c>
      <c r="CU50" s="516">
        <f>Table14[[#This Row],[Total Reagent Sales till date Actual]]*Table14[[#This Row],[Margin %]]</f>
        <v>3249035.4000000004</v>
      </c>
      <c r="CV50" s="525">
        <v>0.35</v>
      </c>
      <c r="CW50" s="212">
        <f t="shared" si="3"/>
        <v>0</v>
      </c>
      <c r="CX50" s="212">
        <f t="shared" si="4"/>
        <v>0</v>
      </c>
      <c r="CY50" s="223">
        <f t="shared" si="2"/>
        <v>0</v>
      </c>
      <c r="CZ50" s="226">
        <f t="shared" si="5"/>
        <v>0</v>
      </c>
      <c r="DA50" s="212" t="e">
        <f t="shared" si="6"/>
        <v>#DIV/0!</v>
      </c>
      <c r="DD50" s="101" t="s">
        <v>417</v>
      </c>
      <c r="DM50" s="244"/>
    </row>
    <row r="51" spans="1:117" ht="15" customHeight="1" x14ac:dyDescent="0.3">
      <c r="A51" s="399" t="s">
        <v>511</v>
      </c>
      <c r="B51" s="629" t="s">
        <v>345</v>
      </c>
      <c r="C51" s="561" t="s">
        <v>21</v>
      </c>
      <c r="D51" s="555" t="s">
        <v>28</v>
      </c>
      <c r="E51" s="403">
        <v>15002760</v>
      </c>
      <c r="F51" s="403" t="s">
        <v>298</v>
      </c>
      <c r="G51" s="449">
        <v>3002000033</v>
      </c>
      <c r="H51" s="409" t="s">
        <v>299</v>
      </c>
      <c r="I51" s="416">
        <v>30006238</v>
      </c>
      <c r="J51" s="562"/>
      <c r="K51" s="417" t="s">
        <v>558</v>
      </c>
      <c r="L51" s="417" t="s">
        <v>559</v>
      </c>
      <c r="M51" s="417" t="s">
        <v>303</v>
      </c>
      <c r="N51" s="417"/>
      <c r="O51" s="563" t="s">
        <v>529</v>
      </c>
      <c r="P51" s="551" t="s">
        <v>15</v>
      </c>
      <c r="Q51" s="561" t="s">
        <v>305</v>
      </c>
      <c r="R51" s="399">
        <v>3020000477</v>
      </c>
      <c r="S51" s="548" t="s">
        <v>58</v>
      </c>
      <c r="T51" s="403" t="s">
        <v>547</v>
      </c>
      <c r="U51" s="403" t="s">
        <v>548</v>
      </c>
      <c r="V51" s="403" t="s">
        <v>549</v>
      </c>
      <c r="W51" s="350" t="s">
        <v>550</v>
      </c>
      <c r="X51" s="399" t="s">
        <v>551</v>
      </c>
      <c r="Y51" s="399"/>
      <c r="Z51" s="542">
        <v>9415840</v>
      </c>
      <c r="AA51" s="554">
        <v>36</v>
      </c>
      <c r="AB51" s="542">
        <v>1229963</v>
      </c>
      <c r="AC51" s="423"/>
      <c r="AD51" s="424"/>
      <c r="AE51" s="424"/>
      <c r="AF51" s="424"/>
      <c r="AG51" s="424"/>
      <c r="AH51" s="424"/>
      <c r="AI51" s="409"/>
      <c r="AJ51" s="409"/>
      <c r="AK51" s="409"/>
      <c r="AL51" s="409"/>
      <c r="AM51" s="425" t="s">
        <v>552</v>
      </c>
      <c r="AN51" s="425" t="s">
        <v>553</v>
      </c>
      <c r="AO51" s="409"/>
      <c r="AP51" s="409"/>
      <c r="AQ51" s="409"/>
      <c r="AR51" s="409"/>
      <c r="AS51" s="409" t="s">
        <v>554</v>
      </c>
      <c r="AT51" s="409" t="s">
        <v>555</v>
      </c>
      <c r="AU51" s="409"/>
      <c r="AV51" s="409"/>
      <c r="AW51" s="409"/>
      <c r="AX51" s="409"/>
      <c r="AY51" s="409"/>
      <c r="AZ51" s="409" t="s">
        <v>560</v>
      </c>
      <c r="BA51" s="409"/>
      <c r="BB51" s="409"/>
      <c r="BC51" s="601" t="s">
        <v>1493</v>
      </c>
      <c r="BD51" s="601" t="s">
        <v>1569</v>
      </c>
      <c r="BE51" s="424">
        <v>1</v>
      </c>
      <c r="BF51" s="548" t="s">
        <v>315</v>
      </c>
      <c r="BG51" s="363">
        <v>2795137.5</v>
      </c>
      <c r="BH51" s="363">
        <v>149625</v>
      </c>
      <c r="BI51" s="363">
        <v>3848212.5</v>
      </c>
      <c r="BJ51" s="363">
        <v>1329613.5</v>
      </c>
      <c r="BK51" s="363">
        <f>4553429/2</f>
        <v>2276714.5</v>
      </c>
      <c r="BL51" s="363">
        <f>4163639/2</f>
        <v>2081819.5</v>
      </c>
      <c r="BM51" s="358">
        <v>0</v>
      </c>
      <c r="BN51" s="363">
        <f>5205817.66/2</f>
        <v>2602908.83</v>
      </c>
      <c r="BO51" s="363">
        <f>3725900/2</f>
        <v>1862950</v>
      </c>
      <c r="BP51" s="414">
        <f>4269662.4/2</f>
        <v>2134831.2000000002</v>
      </c>
      <c r="BQ51" s="414">
        <f>3256441.64/2</f>
        <v>1628220.82</v>
      </c>
      <c r="BR51" s="414">
        <f>8442680.5/2</f>
        <v>4221340.25</v>
      </c>
      <c r="BS51" s="362">
        <f>SUM(Table14[[#This Row],[Jan-24]:[Dec-24]])</f>
        <v>24931373.599999998</v>
      </c>
      <c r="BT51" s="362">
        <v>0</v>
      </c>
      <c r="BU51" s="414">
        <f>1508821.92/2</f>
        <v>754410.96</v>
      </c>
      <c r="BV51" s="414">
        <f>3061340.88/2</f>
        <v>1530670.44</v>
      </c>
      <c r="BW51" s="421">
        <f>1363306/2</f>
        <v>681653</v>
      </c>
      <c r="BX51" s="414">
        <f>11640512.62/2</f>
        <v>5820256.3099999996</v>
      </c>
      <c r="BY51" s="414">
        <v>6057816</v>
      </c>
      <c r="BZ51" s="414">
        <v>0</v>
      </c>
      <c r="CA51" s="414">
        <v>0</v>
      </c>
      <c r="CB51" s="414">
        <f>3637852.48/2</f>
        <v>1818926.24</v>
      </c>
      <c r="CC51" s="414"/>
      <c r="CD51" s="414"/>
      <c r="CE51" s="544">
        <v>1231901.5</v>
      </c>
      <c r="CF51" s="362">
        <f>SUM(Table14[[#This Row],[Jan-25]:[Dec-25]])</f>
        <v>17895634.449999999</v>
      </c>
      <c r="CG51" s="544">
        <f>4416842/2</f>
        <v>2208421</v>
      </c>
      <c r="CH51" s="544">
        <v>1746554</v>
      </c>
      <c r="CI51" s="544">
        <f>192712/2</f>
        <v>96356</v>
      </c>
      <c r="CJ51" s="414">
        <f>SUM(Table14[[#This Row],[Jan-26]:[Mar-26]])</f>
        <v>4051331</v>
      </c>
      <c r="CK51" s="531">
        <f>IFERROR(SUM(Table14[[#This Row],[Oct-25]:[Dec-25]],Table14[[#This Row],[Jan-26]:[Mar-26]])/COUNT(Table14[[#This Row],[Oct-25]:[Dec-25]],Table14[[#This Row],[Jan-26]:[Mar-26]]),0)</f>
        <v>1320808.125</v>
      </c>
      <c r="CL51" s="564"/>
      <c r="CM51" s="414">
        <f>Table14[[#This Row],[YTD 2024]]+Table14[[#This Row],[YTD 2025]]+Table14[[#This Row],[YTD 2026]]</f>
        <v>46878339.049999997</v>
      </c>
      <c r="CN51" s="554">
        <v>18</v>
      </c>
      <c r="CO51" s="542">
        <f t="shared" si="14"/>
        <v>2604352.1694444441</v>
      </c>
      <c r="CP51" s="542">
        <f>Table14[[#This Row],[Unit Cost]]-Table14[[#This Row],[Margin on Reagent sale]]</f>
        <v>-9335495.620000001</v>
      </c>
      <c r="CQ51" s="565">
        <f>Table14[[#This Row],[Avg reagent Sales per month Actual]]-Table14[[#This Row],[Per Month Reagent Commitment]]</f>
        <v>1374389.1694444441</v>
      </c>
      <c r="CR51" s="548" t="s">
        <v>562</v>
      </c>
      <c r="CS51" s="547">
        <f>Table14[[#This Row],[On Track / (behind) (avg per month)]]/Table14[[#This Row],[Months]]</f>
        <v>76354.953858024674</v>
      </c>
      <c r="CT51" s="549">
        <v>0.4</v>
      </c>
      <c r="CU51" s="547">
        <f>Table14[[#This Row],[Total Reagent Sales till date Actual]]*Table14[[#This Row],[Margin %]]</f>
        <v>18751335.620000001</v>
      </c>
      <c r="CV51" s="566">
        <v>0.35</v>
      </c>
      <c r="CW51" s="212">
        <f t="shared" si="3"/>
        <v>47549092.5</v>
      </c>
      <c r="CX51" s="212">
        <f t="shared" si="4"/>
        <v>16642182.374999998</v>
      </c>
      <c r="CY51" s="223">
        <f t="shared" si="2"/>
        <v>9415840</v>
      </c>
      <c r="CZ51" s="226">
        <f t="shared" si="5"/>
        <v>7226342.3749999981</v>
      </c>
      <c r="DA51" s="212">
        <f t="shared" si="6"/>
        <v>20.368136363485803</v>
      </c>
      <c r="DM51" s="244"/>
    </row>
    <row r="52" spans="1:117" ht="15" customHeight="1" x14ac:dyDescent="0.3">
      <c r="A52" s="399" t="s">
        <v>511</v>
      </c>
      <c r="B52" s="629" t="s">
        <v>345</v>
      </c>
      <c r="C52" s="561" t="s">
        <v>21</v>
      </c>
      <c r="D52" s="555" t="s">
        <v>28</v>
      </c>
      <c r="E52" s="403">
        <v>15002760</v>
      </c>
      <c r="F52" s="403" t="s">
        <v>298</v>
      </c>
      <c r="G52" s="449">
        <v>3002000037</v>
      </c>
      <c r="H52" s="409" t="s">
        <v>299</v>
      </c>
      <c r="I52" s="416">
        <v>30006243</v>
      </c>
      <c r="J52" s="562"/>
      <c r="K52" s="417" t="s">
        <v>558</v>
      </c>
      <c r="L52" s="417" t="s">
        <v>559</v>
      </c>
      <c r="M52" s="417" t="s">
        <v>303</v>
      </c>
      <c r="N52" s="417"/>
      <c r="O52" s="563" t="s">
        <v>529</v>
      </c>
      <c r="P52" s="551" t="s">
        <v>15</v>
      </c>
      <c r="Q52" s="561" t="s">
        <v>305</v>
      </c>
      <c r="R52" s="399">
        <v>3020000477</v>
      </c>
      <c r="S52" s="548" t="s">
        <v>58</v>
      </c>
      <c r="T52" s="403" t="s">
        <v>303</v>
      </c>
      <c r="U52" s="403" t="s">
        <v>548</v>
      </c>
      <c r="V52" s="403" t="s">
        <v>549</v>
      </c>
      <c r="W52" s="350" t="s">
        <v>550</v>
      </c>
      <c r="X52" s="399" t="s">
        <v>551</v>
      </c>
      <c r="Y52" s="399"/>
      <c r="Z52" s="542">
        <v>9415840</v>
      </c>
      <c r="AA52" s="554">
        <v>36</v>
      </c>
      <c r="AB52" s="542">
        <v>1229963</v>
      </c>
      <c r="AC52" s="423"/>
      <c r="AD52" s="424"/>
      <c r="AE52" s="424"/>
      <c r="AF52" s="424"/>
      <c r="AG52" s="424"/>
      <c r="AH52" s="424"/>
      <c r="AI52" s="409"/>
      <c r="AJ52" s="409"/>
      <c r="AK52" s="409"/>
      <c r="AL52" s="409"/>
      <c r="AM52" s="425" t="s">
        <v>552</v>
      </c>
      <c r="AN52" s="425" t="s">
        <v>553</v>
      </c>
      <c r="AO52" s="409"/>
      <c r="AP52" s="409"/>
      <c r="AQ52" s="409"/>
      <c r="AR52" s="409"/>
      <c r="AS52" s="409"/>
      <c r="AT52" s="409"/>
      <c r="AU52" s="409"/>
      <c r="AV52" s="409"/>
      <c r="AW52" s="409"/>
      <c r="AX52" s="409"/>
      <c r="AY52" s="409"/>
      <c r="AZ52" s="409" t="s">
        <v>560</v>
      </c>
      <c r="BA52" s="409"/>
      <c r="BB52" s="409"/>
      <c r="BC52" s="601" t="s">
        <v>1493</v>
      </c>
      <c r="BD52" s="601" t="s">
        <v>1569</v>
      </c>
      <c r="BE52" s="424">
        <v>1</v>
      </c>
      <c r="BF52" s="548" t="s">
        <v>315</v>
      </c>
      <c r="BG52" s="363">
        <v>2795137.5</v>
      </c>
      <c r="BH52" s="363">
        <v>149625</v>
      </c>
      <c r="BI52" s="363">
        <v>3848212.5</v>
      </c>
      <c r="BJ52" s="363">
        <v>1329613.5</v>
      </c>
      <c r="BK52" s="363">
        <f>4553429/2</f>
        <v>2276714.5</v>
      </c>
      <c r="BL52" s="363">
        <f>4163639/2</f>
        <v>2081819.5</v>
      </c>
      <c r="BM52" s="358">
        <v>0</v>
      </c>
      <c r="BN52" s="363">
        <f>5205817.66/2</f>
        <v>2602908.83</v>
      </c>
      <c r="BO52" s="363">
        <f>3725900/2</f>
        <v>1862950</v>
      </c>
      <c r="BP52" s="414">
        <f>4269662.4/2</f>
        <v>2134831.2000000002</v>
      </c>
      <c r="BQ52" s="414">
        <f>3256441.64/2</f>
        <v>1628220.82</v>
      </c>
      <c r="BR52" s="414">
        <f>8442680.5/2</f>
        <v>4221340.25</v>
      </c>
      <c r="BS52" s="362">
        <f>SUM(Table14[[#This Row],[Jan-24]:[Dec-24]])</f>
        <v>24931373.599999998</v>
      </c>
      <c r="BT52" s="362">
        <v>0</v>
      </c>
      <c r="BU52" s="414">
        <f>1508821.92/2</f>
        <v>754410.96</v>
      </c>
      <c r="BV52" s="414">
        <f>3061340.88/2</f>
        <v>1530670.44</v>
      </c>
      <c r="BW52" s="421">
        <f>1363306/2</f>
        <v>681653</v>
      </c>
      <c r="BX52" s="414">
        <f>11640512.62/2</f>
        <v>5820256.3099999996</v>
      </c>
      <c r="BY52" s="414">
        <v>6057816</v>
      </c>
      <c r="BZ52" s="414">
        <v>0</v>
      </c>
      <c r="CA52" s="414">
        <v>0</v>
      </c>
      <c r="CB52" s="414">
        <f>3637852.48/2</f>
        <v>1818926.24</v>
      </c>
      <c r="CC52" s="414"/>
      <c r="CD52" s="414"/>
      <c r="CE52" s="544">
        <v>1231901.5</v>
      </c>
      <c r="CF52" s="362">
        <f>SUM(Table14[[#This Row],[Jan-25]:[Dec-25]])</f>
        <v>17895634.449999999</v>
      </c>
      <c r="CG52" s="544">
        <f>CG51</f>
        <v>2208421</v>
      </c>
      <c r="CH52" s="544">
        <v>1746554</v>
      </c>
      <c r="CI52" s="544">
        <f>CI51</f>
        <v>96356</v>
      </c>
      <c r="CJ52" s="414">
        <f>SUM(Table14[[#This Row],[Jan-26]:[Mar-26]])</f>
        <v>4051331</v>
      </c>
      <c r="CK52" s="531">
        <f>IFERROR(SUM(Table14[[#This Row],[Oct-25]:[Dec-25]],Table14[[#This Row],[Jan-26]:[Mar-26]])/COUNT(Table14[[#This Row],[Oct-25]:[Dec-25]],Table14[[#This Row],[Jan-26]:[Mar-26]]),0)</f>
        <v>1320808.125</v>
      </c>
      <c r="CL52" s="564"/>
      <c r="CM52" s="414">
        <f>Table14[[#This Row],[YTD 2024]]+Table14[[#This Row],[YTD 2025]]+Table14[[#This Row],[YTD 2026]]</f>
        <v>46878339.049999997</v>
      </c>
      <c r="CN52" s="554">
        <v>18</v>
      </c>
      <c r="CO52" s="542">
        <f t="shared" si="14"/>
        <v>2604352.1694444441</v>
      </c>
      <c r="CP52" s="542">
        <f>Table14[[#This Row],[Unit Cost]]-Table14[[#This Row],[Margin on Reagent sale]]</f>
        <v>-9335495.620000001</v>
      </c>
      <c r="CQ52" s="565">
        <f>Table14[[#This Row],[Avg reagent Sales per month Actual]]-Table14[[#This Row],[Per Month Reagent Commitment]]</f>
        <v>1374389.1694444441</v>
      </c>
      <c r="CR52" s="548" t="s">
        <v>562</v>
      </c>
      <c r="CS52" s="547">
        <f>Table14[[#This Row],[On Track / (behind) (avg per month)]]/Table14[[#This Row],[Months]]</f>
        <v>76354.953858024674</v>
      </c>
      <c r="CT52" s="549">
        <v>0.4</v>
      </c>
      <c r="CU52" s="547">
        <f>Table14[[#This Row],[Total Reagent Sales till date Actual]]*Table14[[#This Row],[Margin %]]</f>
        <v>18751335.620000001</v>
      </c>
      <c r="CV52" s="566">
        <v>0.35</v>
      </c>
      <c r="CW52" s="212"/>
      <c r="CX52" s="212"/>
      <c r="CY52" s="223"/>
      <c r="CZ52" s="226"/>
      <c r="DA52" s="212"/>
      <c r="DM52" s="244"/>
    </row>
    <row r="53" spans="1:117" ht="15" customHeight="1" x14ac:dyDescent="0.3">
      <c r="A53" s="399" t="s">
        <v>423</v>
      </c>
      <c r="B53" s="629" t="s">
        <v>297</v>
      </c>
      <c r="C53" s="399" t="s">
        <v>24</v>
      </c>
      <c r="D53" s="415" t="s">
        <v>31</v>
      </c>
      <c r="E53" s="403">
        <v>15002462</v>
      </c>
      <c r="F53" s="403" t="s">
        <v>298</v>
      </c>
      <c r="G53" s="449">
        <v>3002000075</v>
      </c>
      <c r="H53" s="409" t="s">
        <v>299</v>
      </c>
      <c r="I53" s="416" t="s">
        <v>563</v>
      </c>
      <c r="J53" s="417"/>
      <c r="K53" s="417"/>
      <c r="L53" s="417" t="s">
        <v>564</v>
      </c>
      <c r="M53" s="417" t="s">
        <v>425</v>
      </c>
      <c r="N53" s="417"/>
      <c r="O53" s="418" t="s">
        <v>304</v>
      </c>
      <c r="P53" s="418" t="s">
        <v>16</v>
      </c>
      <c r="Q53" s="399" t="s">
        <v>565</v>
      </c>
      <c r="R53" s="399">
        <v>3020000491</v>
      </c>
      <c r="S53" s="403" t="s">
        <v>60</v>
      </c>
      <c r="T53" s="403"/>
      <c r="U53" s="403" t="s">
        <v>566</v>
      </c>
      <c r="V53" s="403" t="s">
        <v>567</v>
      </c>
      <c r="W53" s="399" t="s">
        <v>568</v>
      </c>
      <c r="X53" s="399" t="s">
        <v>569</v>
      </c>
      <c r="Y53" s="399"/>
      <c r="Z53" s="353">
        <v>3535471</v>
      </c>
      <c r="AA53" s="418">
        <v>36</v>
      </c>
      <c r="AB53" s="353">
        <v>536481</v>
      </c>
      <c r="AC53" s="409"/>
      <c r="AD53" s="410"/>
      <c r="AE53" s="431"/>
      <c r="AF53" s="399"/>
      <c r="AG53" s="399"/>
      <c r="AH53" s="399"/>
      <c r="AI53" s="432"/>
      <c r="AJ53" s="403"/>
      <c r="AK53" s="432"/>
      <c r="AL53" s="432"/>
      <c r="AM53" s="422"/>
      <c r="AN53" s="422"/>
      <c r="AO53" s="403"/>
      <c r="AP53" s="403"/>
      <c r="AQ53" s="403"/>
      <c r="AR53" s="403"/>
      <c r="AS53" s="403"/>
      <c r="AT53" s="403"/>
      <c r="AU53" s="431"/>
      <c r="AV53" s="420"/>
      <c r="AW53" s="422"/>
      <c r="AX53" s="422"/>
      <c r="AY53" s="422"/>
      <c r="AZ53" s="422"/>
      <c r="BA53" s="422"/>
      <c r="BB53" s="422"/>
      <c r="BC53" s="435" t="s">
        <v>1511</v>
      </c>
      <c r="BD53" s="435" t="s">
        <v>1640</v>
      </c>
      <c r="BE53" s="422"/>
      <c r="BF53" s="403" t="s">
        <v>315</v>
      </c>
      <c r="BG53" s="377">
        <v>235502.5</v>
      </c>
      <c r="BH53" s="377">
        <v>15660</v>
      </c>
      <c r="BI53" s="377">
        <v>165984</v>
      </c>
      <c r="BJ53" s="377">
        <v>125262</v>
      </c>
      <c r="BK53" s="377">
        <v>37908.5</v>
      </c>
      <c r="BL53" s="377">
        <v>55880</v>
      </c>
      <c r="BM53" s="377">
        <v>0</v>
      </c>
      <c r="BN53" s="377">
        <v>239596</v>
      </c>
      <c r="BO53" s="377">
        <v>65535</v>
      </c>
      <c r="BP53" s="377">
        <v>64800</v>
      </c>
      <c r="BQ53" s="377">
        <v>0</v>
      </c>
      <c r="BR53" s="377">
        <v>154960</v>
      </c>
      <c r="BS53" s="362">
        <f>SUM(Table14[[#This Row],[Jan-24]:[Dec-24]])</f>
        <v>1161088</v>
      </c>
      <c r="BT53" s="414">
        <v>49960</v>
      </c>
      <c r="BU53" s="414">
        <v>0</v>
      </c>
      <c r="BV53" s="414">
        <v>155411</v>
      </c>
      <c r="BW53" s="414">
        <v>0</v>
      </c>
      <c r="BX53" s="414">
        <v>0</v>
      </c>
      <c r="BY53" s="367">
        <v>0</v>
      </c>
      <c r="BZ53" s="367">
        <v>0</v>
      </c>
      <c r="CA53" s="367">
        <v>0</v>
      </c>
      <c r="CB53" s="367">
        <v>0</v>
      </c>
      <c r="CC53" s="367">
        <v>0</v>
      </c>
      <c r="CD53" s="367">
        <v>0</v>
      </c>
      <c r="CE53" s="367"/>
      <c r="CF53" s="362">
        <f>SUM(Table14[[#This Row],[Jan-25]:[Dec-25]])</f>
        <v>205371</v>
      </c>
      <c r="CG53" s="367">
        <v>0</v>
      </c>
      <c r="CH53" s="367">
        <v>0</v>
      </c>
      <c r="CI53" s="367">
        <v>0</v>
      </c>
      <c r="CJ53" s="414">
        <f>SUM(Table14[[#This Row],[Jan-26]:[Mar-26]])</f>
        <v>0</v>
      </c>
      <c r="CK53" s="531">
        <f>IFERROR(SUM(Table14[[#This Row],[Oct-25]:[Dec-25]],Table14[[#This Row],[Jan-26]:[Mar-26]])/COUNT(Table14[[#This Row],[Oct-25]:[Dec-25]],Table14[[#This Row],[Jan-26]:[Mar-26]]),0)</f>
        <v>0</v>
      </c>
      <c r="CL53" s="378"/>
      <c r="CM53" s="414">
        <f>Table14[[#This Row],[YTD 2024]]+Table14[[#This Row],[YTD 2025]]+Table14[[#This Row],[YTD 2026]]</f>
        <v>1366459</v>
      </c>
      <c r="CN53" s="418">
        <v>25</v>
      </c>
      <c r="CO53" s="353">
        <f t="shared" si="14"/>
        <v>54658.36</v>
      </c>
      <c r="CP53" s="353">
        <f>Table14[[#This Row],[Unit Cost]]-Table14[[#This Row],[Margin on Reagent sale]]</f>
        <v>2988887.4</v>
      </c>
      <c r="CQ53" s="372">
        <f>Table14[[#This Row],[Avg reagent Sales per month Actual]]-Table14[[#This Row],[Per Month Reagent Commitment]]</f>
        <v>-481822.64</v>
      </c>
      <c r="CR53" s="403" t="s">
        <v>343</v>
      </c>
      <c r="CS53" s="367">
        <f>Table14[[#This Row],[On Track / (behind) (avg per month)]]/Table14[[#This Row],[Months]]</f>
        <v>-19272.905600000002</v>
      </c>
      <c r="CT53" s="368">
        <v>0.4</v>
      </c>
      <c r="CU53" s="367">
        <f>Table14[[#This Row],[Total Reagent Sales till date Actual]]*Table14[[#This Row],[Margin %]]</f>
        <v>546583.6</v>
      </c>
      <c r="CV53" s="400">
        <f t="shared" ref="CV53:CV60" si="15">CT53</f>
        <v>0.4</v>
      </c>
      <c r="CW53" s="212"/>
      <c r="CX53" s="212"/>
      <c r="CY53" s="223"/>
      <c r="CZ53" s="226"/>
      <c r="DA53" s="212"/>
      <c r="DM53" s="244"/>
    </row>
    <row r="54" spans="1:117" ht="15" customHeight="1" x14ac:dyDescent="0.3">
      <c r="A54" s="399" t="s">
        <v>423</v>
      </c>
      <c r="B54" s="629" t="s">
        <v>297</v>
      </c>
      <c r="C54" s="399" t="s">
        <v>24</v>
      </c>
      <c r="D54" s="415" t="s">
        <v>31</v>
      </c>
      <c r="E54" s="403">
        <v>15002462</v>
      </c>
      <c r="F54" s="403" t="s">
        <v>298</v>
      </c>
      <c r="G54" s="403" t="s">
        <v>1638</v>
      </c>
      <c r="H54" s="666" t="s">
        <v>570</v>
      </c>
      <c r="I54" s="416" t="s">
        <v>563</v>
      </c>
      <c r="J54" s="417"/>
      <c r="K54" s="417"/>
      <c r="L54" s="417" t="s">
        <v>437</v>
      </c>
      <c r="M54" s="417"/>
      <c r="N54" s="417"/>
      <c r="O54" s="418" t="s">
        <v>304</v>
      </c>
      <c r="P54" s="418" t="s">
        <v>16</v>
      </c>
      <c r="Q54" s="399" t="s">
        <v>565</v>
      </c>
      <c r="R54" s="399">
        <v>3020000491</v>
      </c>
      <c r="S54" s="403" t="s">
        <v>60</v>
      </c>
      <c r="T54" s="403"/>
      <c r="U54" s="426" t="s">
        <v>571</v>
      </c>
      <c r="V54" s="403" t="s">
        <v>572</v>
      </c>
      <c r="W54" s="399" t="s">
        <v>568</v>
      </c>
      <c r="X54" s="399" t="s">
        <v>569</v>
      </c>
      <c r="Y54" s="399"/>
      <c r="Z54" s="486">
        <v>3650471</v>
      </c>
      <c r="AA54" s="418">
        <v>35</v>
      </c>
      <c r="AB54" s="486">
        <v>424199</v>
      </c>
      <c r="AC54" s="409"/>
      <c r="AD54" s="410"/>
      <c r="AE54" s="399"/>
      <c r="AF54" s="399"/>
      <c r="AG54" s="399"/>
      <c r="AH54" s="399"/>
      <c r="AI54" s="403"/>
      <c r="AJ54" s="403"/>
      <c r="AK54" s="403"/>
      <c r="AL54" s="403"/>
      <c r="AM54" s="420"/>
      <c r="AN54" s="420"/>
      <c r="AO54" s="403"/>
      <c r="AP54" s="403"/>
      <c r="AQ54" s="403"/>
      <c r="AR54" s="403"/>
      <c r="AS54" s="403"/>
      <c r="AT54" s="403"/>
      <c r="AU54" s="399"/>
      <c r="AV54" s="420"/>
      <c r="AW54" s="420"/>
      <c r="AX54" s="420"/>
      <c r="AY54" s="420"/>
      <c r="AZ54" s="420"/>
      <c r="BA54" s="370"/>
      <c r="BB54" s="358"/>
      <c r="BC54" s="435" t="s">
        <v>1511</v>
      </c>
      <c r="BD54" s="435" t="s">
        <v>1640</v>
      </c>
      <c r="BE54" s="375"/>
      <c r="BF54" s="419" t="s">
        <v>315</v>
      </c>
      <c r="BG54" s="370">
        <v>235502.5</v>
      </c>
      <c r="BH54" s="370">
        <v>15660</v>
      </c>
      <c r="BI54" s="370">
        <v>165984</v>
      </c>
      <c r="BJ54" s="370">
        <v>125262</v>
      </c>
      <c r="BK54" s="370">
        <v>37908.5</v>
      </c>
      <c r="BL54" s="370">
        <v>55880</v>
      </c>
      <c r="BM54" s="370">
        <v>0</v>
      </c>
      <c r="BN54" s="370">
        <v>239596</v>
      </c>
      <c r="BO54" s="370">
        <v>65535</v>
      </c>
      <c r="BP54" s="370">
        <v>64800</v>
      </c>
      <c r="BQ54" s="370">
        <v>0</v>
      </c>
      <c r="BR54" s="370">
        <v>154960</v>
      </c>
      <c r="BS54" s="362">
        <f>SUM(Table14[[#This Row],[Jan-24]:[Dec-24]])</f>
        <v>1161088</v>
      </c>
      <c r="BT54" s="414">
        <v>49960</v>
      </c>
      <c r="BU54" s="376">
        <v>0</v>
      </c>
      <c r="BV54" s="414">
        <v>155411</v>
      </c>
      <c r="BW54" s="376">
        <v>0</v>
      </c>
      <c r="BX54" s="376">
        <v>0</v>
      </c>
      <c r="BY54" s="376">
        <v>0</v>
      </c>
      <c r="BZ54" s="376">
        <v>0</v>
      </c>
      <c r="CA54" s="376">
        <v>0</v>
      </c>
      <c r="CB54" s="376">
        <v>0</v>
      </c>
      <c r="CC54" s="376">
        <v>0</v>
      </c>
      <c r="CD54" s="376">
        <v>0</v>
      </c>
      <c r="CE54" s="376"/>
      <c r="CF54" s="362">
        <f>SUM(Table14[[#This Row],[Jan-25]:[Dec-25]])</f>
        <v>205371</v>
      </c>
      <c r="CG54" s="376">
        <v>0</v>
      </c>
      <c r="CH54" s="376">
        <v>0</v>
      </c>
      <c r="CI54" s="376">
        <v>0</v>
      </c>
      <c r="CJ54" s="414">
        <f>SUM(Table14[[#This Row],[Jan-26]:[Mar-26]])</f>
        <v>0</v>
      </c>
      <c r="CK54" s="531">
        <f>IFERROR(SUM(Table14[[#This Row],[Oct-25]:[Dec-25]],Table14[[#This Row],[Jan-26]:[Mar-26]])/COUNT(Table14[[#This Row],[Oct-25]:[Dec-25]],Table14[[#This Row],[Jan-26]:[Mar-26]]),0)</f>
        <v>0</v>
      </c>
      <c r="CL54" s="367"/>
      <c r="CM54" s="414">
        <f>Table14[[#This Row],[YTD 2024]]+Table14[[#This Row],[YTD 2025]]+Table14[[#This Row],[YTD 2026]]</f>
        <v>1366459</v>
      </c>
      <c r="CN54" s="418">
        <v>25</v>
      </c>
      <c r="CO54" s="353">
        <f t="shared" si="14"/>
        <v>54658.36</v>
      </c>
      <c r="CP54" s="353">
        <f>Table14[[#This Row],[Unit Cost]]-Table14[[#This Row],[Margin on Reagent sale]]</f>
        <v>3103887.4</v>
      </c>
      <c r="CQ54" s="489">
        <v>-66585.846153846156</v>
      </c>
      <c r="CR54" s="373" t="s">
        <v>343</v>
      </c>
      <c r="CS54" s="367">
        <f>Table14[[#This Row],[On Track / (behind) (avg per month)]]/Table14[[#This Row],[Months]]</f>
        <v>-2663.4338461538464</v>
      </c>
      <c r="CT54" s="368">
        <v>0.4</v>
      </c>
      <c r="CU54" s="367">
        <f>Table14[[#This Row],[Total Reagent Sales till date Actual]]*Table14[[#This Row],[Margin %]]</f>
        <v>546583.6</v>
      </c>
      <c r="CV54" s="371">
        <f t="shared" si="15"/>
        <v>0.4</v>
      </c>
      <c r="CW54" s="212"/>
      <c r="CX54" s="212"/>
      <c r="CY54" s="223"/>
      <c r="CZ54" s="226"/>
      <c r="DA54" s="212"/>
      <c r="DM54" s="244"/>
    </row>
    <row r="55" spans="1:117" ht="15" customHeight="1" x14ac:dyDescent="0.3">
      <c r="A55" s="399" t="s">
        <v>511</v>
      </c>
      <c r="B55" s="629" t="s">
        <v>297</v>
      </c>
      <c r="C55" s="399" t="s">
        <v>22</v>
      </c>
      <c r="D55" s="415" t="s">
        <v>33</v>
      </c>
      <c r="E55" s="403">
        <v>15001967</v>
      </c>
      <c r="F55" s="403" t="s">
        <v>397</v>
      </c>
      <c r="G55" s="449">
        <v>3002000004</v>
      </c>
      <c r="H55" s="409" t="s">
        <v>299</v>
      </c>
      <c r="I55" s="683">
        <v>104282</v>
      </c>
      <c r="J55" s="417" t="s">
        <v>573</v>
      </c>
      <c r="K55" s="417" t="s">
        <v>574</v>
      </c>
      <c r="L55" s="417" t="s">
        <v>574</v>
      </c>
      <c r="M55" s="417" t="s">
        <v>303</v>
      </c>
      <c r="N55" s="417"/>
      <c r="O55" s="418" t="s">
        <v>304</v>
      </c>
      <c r="P55" s="418" t="s">
        <v>16</v>
      </c>
      <c r="Q55" s="399" t="s">
        <v>565</v>
      </c>
      <c r="R55" s="399">
        <v>3020000515</v>
      </c>
      <c r="S55" s="568" t="s">
        <v>1520</v>
      </c>
      <c r="T55" s="403" t="s">
        <v>575</v>
      </c>
      <c r="U55" s="403" t="s">
        <v>576</v>
      </c>
      <c r="V55" s="403" t="s">
        <v>577</v>
      </c>
      <c r="W55" s="350" t="s">
        <v>578</v>
      </c>
      <c r="X55" s="399" t="s">
        <v>431</v>
      </c>
      <c r="Y55" s="399"/>
      <c r="Z55" s="353">
        <f>631145*2</f>
        <v>1262290</v>
      </c>
      <c r="AA55" s="366">
        <v>13</v>
      </c>
      <c r="AB55" s="353">
        <v>450000</v>
      </c>
      <c r="AC55" s="423" t="s">
        <v>579</v>
      </c>
      <c r="AD55" s="424" t="s">
        <v>580</v>
      </c>
      <c r="AE55" s="424" t="s">
        <v>316</v>
      </c>
      <c r="AF55" s="424" t="s">
        <v>316</v>
      </c>
      <c r="AG55" s="424" t="s">
        <v>581</v>
      </c>
      <c r="AH55" s="424" t="s">
        <v>582</v>
      </c>
      <c r="AI55" s="409"/>
      <c r="AJ55" s="409" t="s">
        <v>583</v>
      </c>
      <c r="AK55" s="409" t="s">
        <v>584</v>
      </c>
      <c r="AL55" s="409" t="s">
        <v>585</v>
      </c>
      <c r="AM55" s="425"/>
      <c r="AN55" s="425"/>
      <c r="AO55" s="409"/>
      <c r="AP55" s="409"/>
      <c r="AQ55" s="409"/>
      <c r="AR55" s="409"/>
      <c r="AS55" s="409"/>
      <c r="AT55" s="409"/>
      <c r="AU55" s="409" t="s">
        <v>586</v>
      </c>
      <c r="AV55" s="409"/>
      <c r="AW55" s="409"/>
      <c r="AX55" s="409"/>
      <c r="AY55" s="409"/>
      <c r="AZ55" s="409" t="s">
        <v>587</v>
      </c>
      <c r="BA55" s="409"/>
      <c r="BB55" s="409"/>
      <c r="BC55" s="598" t="s">
        <v>1511</v>
      </c>
      <c r="BD55" s="598" t="s">
        <v>1640</v>
      </c>
      <c r="BE55" s="424">
        <v>1</v>
      </c>
      <c r="BF55" s="419" t="s">
        <v>315</v>
      </c>
      <c r="BG55" s="363"/>
      <c r="BH55" s="363"/>
      <c r="BI55" s="363"/>
      <c r="BJ55" s="363"/>
      <c r="BK55" s="363"/>
      <c r="BL55" s="363"/>
      <c r="BM55" s="363"/>
      <c r="BN55" s="363"/>
      <c r="BO55" s="363"/>
      <c r="BP55" s="363"/>
      <c r="BQ55" s="363"/>
      <c r="BR55" s="363"/>
      <c r="BS55" s="362">
        <f>SUM(Table14[[#This Row],[Jan-24]:[Dec-24]])</f>
        <v>0</v>
      </c>
      <c r="BT55" s="362">
        <v>0</v>
      </c>
      <c r="BU55" s="362">
        <v>0</v>
      </c>
      <c r="BV55" s="362">
        <v>0</v>
      </c>
      <c r="BW55" s="362">
        <v>0</v>
      </c>
      <c r="BX55" s="362">
        <v>1362711.9</v>
      </c>
      <c r="BY55" s="414">
        <v>613000</v>
      </c>
      <c r="BZ55" s="414">
        <v>2271186</v>
      </c>
      <c r="CA55" s="414">
        <v>0</v>
      </c>
      <c r="CB55" s="414">
        <v>0</v>
      </c>
      <c r="CC55" s="414"/>
      <c r="CD55" s="414">
        <v>3202372.3333333335</v>
      </c>
      <c r="CE55" s="370">
        <v>-204333.33333333334</v>
      </c>
      <c r="CF55" s="362">
        <f>SUM(Table14[[#This Row],[Jan-25]:[Dec-25]])</f>
        <v>7244936.9000000013</v>
      </c>
      <c r="CG55" s="370">
        <v>0</v>
      </c>
      <c r="CH55" s="370">
        <v>0</v>
      </c>
      <c r="CI55" s="370">
        <v>0</v>
      </c>
      <c r="CJ55" s="414">
        <f>SUM(Table14[[#This Row],[Jan-26]:[Mar-26]])</f>
        <v>0</v>
      </c>
      <c r="CK55" s="531">
        <f>IFERROR(SUM(Table14[[#This Row],[Oct-25]:[Dec-25]],Table14[[#This Row],[Jan-26]:[Mar-26]])/COUNT(Table14[[#This Row],[Oct-25]:[Dec-25]],Table14[[#This Row],[Jan-26]:[Mar-26]]),0)</f>
        <v>599607.80000000005</v>
      </c>
      <c r="CL55" s="363" t="s">
        <v>588</v>
      </c>
      <c r="CM55" s="414">
        <f>Table14[[#This Row],[YTD 2024]]+Table14[[#This Row],[YTD 2025]]+Table14[[#This Row],[YTD 2026]]</f>
        <v>7244936.9000000013</v>
      </c>
      <c r="CN55" s="366">
        <v>34</v>
      </c>
      <c r="CO55" s="353">
        <f t="shared" si="14"/>
        <v>213086.37941176473</v>
      </c>
      <c r="CP55" s="353">
        <f>Table14[[#This Row],[Unit Cost]]-Table14[[#This Row],[Margin on Reagent sale]]</f>
        <v>-1635684.7600000007</v>
      </c>
      <c r="CQ55" s="372">
        <f>Table14[[#This Row],[Avg reagent Sales per month Actual]]-Table14[[#This Row],[Per Month Reagent Commitment]]</f>
        <v>-236913.62058823527</v>
      </c>
      <c r="CR55" s="403" t="s">
        <v>589</v>
      </c>
      <c r="CS55" s="367">
        <f>Table14[[#This Row],[On Track / (behind) (avg per month)]]/Table14[[#This Row],[Months]]</f>
        <v>-6968.0476643598604</v>
      </c>
      <c r="CT55" s="368">
        <v>0.4</v>
      </c>
      <c r="CU55" s="367">
        <f>Table14[[#This Row],[Total Reagent Sales till date Actual]]*Table14[[#This Row],[Margin %]]</f>
        <v>2897974.7600000007</v>
      </c>
      <c r="CV55" s="400">
        <f t="shared" si="15"/>
        <v>0.4</v>
      </c>
      <c r="CW55" s="212"/>
      <c r="CX55" s="212"/>
      <c r="CY55" s="223"/>
      <c r="CZ55" s="226"/>
      <c r="DA55" s="212"/>
      <c r="DM55" s="244"/>
    </row>
    <row r="56" spans="1:117" ht="15" customHeight="1" x14ac:dyDescent="0.3">
      <c r="A56" s="399" t="s">
        <v>590</v>
      </c>
      <c r="B56" s="630" t="s">
        <v>297</v>
      </c>
      <c r="C56" s="399" t="s">
        <v>22</v>
      </c>
      <c r="D56" s="415" t="s">
        <v>33</v>
      </c>
      <c r="E56" s="403">
        <v>15001967</v>
      </c>
      <c r="F56" s="403" t="s">
        <v>397</v>
      </c>
      <c r="G56" s="449">
        <v>3002000004</v>
      </c>
      <c r="H56" s="666"/>
      <c r="I56" s="683">
        <v>116957</v>
      </c>
      <c r="J56" s="417"/>
      <c r="K56" s="417"/>
      <c r="L56" s="417" t="s">
        <v>591</v>
      </c>
      <c r="M56" s="417"/>
      <c r="N56" s="417"/>
      <c r="O56" s="418" t="s">
        <v>858</v>
      </c>
      <c r="P56" s="418" t="s">
        <v>16</v>
      </c>
      <c r="Q56" s="403" t="s">
        <v>565</v>
      </c>
      <c r="R56" s="399">
        <v>3020000515</v>
      </c>
      <c r="S56" s="419" t="s">
        <v>143</v>
      </c>
      <c r="T56" s="403"/>
      <c r="U56" s="403" t="s">
        <v>576</v>
      </c>
      <c r="V56" s="403" t="s">
        <v>577</v>
      </c>
      <c r="W56" s="350" t="s">
        <v>578</v>
      </c>
      <c r="X56" s="399" t="s">
        <v>431</v>
      </c>
      <c r="Y56" s="399"/>
      <c r="Z56" s="486">
        <v>1186483.5</v>
      </c>
      <c r="AA56" s="418">
        <v>26</v>
      </c>
      <c r="AB56" s="486">
        <v>112945</v>
      </c>
      <c r="AC56" s="409"/>
      <c r="AD56" s="410"/>
      <c r="AE56" s="399"/>
      <c r="AF56" s="399"/>
      <c r="AG56" s="399"/>
      <c r="AH56" s="399"/>
      <c r="AI56" s="403"/>
      <c r="AJ56" s="403"/>
      <c r="AK56" s="403"/>
      <c r="AL56" s="403"/>
      <c r="AM56" s="420"/>
      <c r="AN56" s="420"/>
      <c r="AO56" s="403"/>
      <c r="AP56" s="403"/>
      <c r="AQ56" s="403"/>
      <c r="AR56" s="403"/>
      <c r="AS56" s="403"/>
      <c r="AT56" s="403"/>
      <c r="AU56" s="399"/>
      <c r="AV56" s="420"/>
      <c r="AW56" s="420"/>
      <c r="AX56" s="420"/>
      <c r="AY56" s="420"/>
      <c r="AZ56" s="420"/>
      <c r="BA56" s="370"/>
      <c r="BB56" s="358"/>
      <c r="BC56" s="595" t="s">
        <v>1493</v>
      </c>
      <c r="BD56" s="595" t="s">
        <v>1493</v>
      </c>
      <c r="BE56" s="358"/>
      <c r="BF56" s="419" t="s">
        <v>315</v>
      </c>
      <c r="BG56" s="370"/>
      <c r="BH56" s="370"/>
      <c r="BI56" s="370"/>
      <c r="BJ56" s="370"/>
      <c r="BK56" s="487">
        <f>8550000/5</f>
        <v>1710000</v>
      </c>
      <c r="BL56" s="488"/>
      <c r="BM56" s="358"/>
      <c r="BN56" s="358"/>
      <c r="BO56" s="370"/>
      <c r="BP56" s="487"/>
      <c r="BQ56" s="487"/>
      <c r="BR56" s="487"/>
      <c r="BS56" s="362">
        <f>SUM(Table14[[#This Row],[Jan-24]:[Dec-24]])</f>
        <v>1710000</v>
      </c>
      <c r="BT56" s="360"/>
      <c r="BU56" s="360"/>
      <c r="BV56" s="376"/>
      <c r="BW56" s="376"/>
      <c r="BX56" s="376"/>
      <c r="BY56" s="376"/>
      <c r="BZ56" s="376"/>
      <c r="CA56" s="376"/>
      <c r="CB56" s="376"/>
      <c r="CC56" s="376"/>
      <c r="CD56" s="370">
        <v>3202372.3333333335</v>
      </c>
      <c r="CE56" s="370">
        <v>-204333.33333333334</v>
      </c>
      <c r="CF56" s="362">
        <f>SUM(Table14[[#This Row],[Jan-25]:[Dec-25]])</f>
        <v>2998039</v>
      </c>
      <c r="CG56" s="370">
        <v>0</v>
      </c>
      <c r="CH56" s="370">
        <v>0</v>
      </c>
      <c r="CI56" s="370">
        <v>0</v>
      </c>
      <c r="CJ56" s="414">
        <f>SUM(Table14[[#This Row],[Jan-26]:[Mar-26]])</f>
        <v>0</v>
      </c>
      <c r="CK56" s="531">
        <f>IFERROR(SUM(Table14[[#This Row],[Oct-25]:[Dec-25]],Table14[[#This Row],[Jan-26]:[Mar-26]])/COUNT(Table14[[#This Row],[Oct-25]:[Dec-25]],Table14[[#This Row],[Jan-26]:[Mar-26]]),0)</f>
        <v>599607.80000000005</v>
      </c>
      <c r="CL56" s="367"/>
      <c r="CM56" s="414">
        <f>Table14[[#This Row],[YTD 2024]]+Table14[[#This Row],[YTD 2025]]+Table14[[#This Row],[YTD 2026]]</f>
        <v>4708039</v>
      </c>
      <c r="CN56" s="418">
        <v>4</v>
      </c>
      <c r="CO56" s="486">
        <f t="shared" si="14"/>
        <v>1177009.75</v>
      </c>
      <c r="CP56" s="490"/>
      <c r="CQ56" s="489">
        <f>Table14[[#This Row],[Avg reagent Sales per month Actual]]-Table14[[#This Row],[Per Month Reagent Commitment]]</f>
        <v>1064064.75</v>
      </c>
      <c r="CR56" s="373"/>
      <c r="CS56" s="367">
        <f>Table14[[#This Row],[On Track / (behind) (avg per month)]]/Table14[[#This Row],[Months]]</f>
        <v>266016.1875</v>
      </c>
      <c r="CT56" s="491"/>
      <c r="CU56" s="367">
        <f>Table14[[#This Row],[Total Reagent Sales till date Actual]]*Table14[[#This Row],[Margin %]]</f>
        <v>0</v>
      </c>
      <c r="CV56" s="371">
        <f t="shared" si="15"/>
        <v>0</v>
      </c>
      <c r="CW56" s="212">
        <f t="shared" ref="CW56:CW65" si="16">CK56*36</f>
        <v>21585880.800000001</v>
      </c>
      <c r="CX56" s="212">
        <f t="shared" ref="CX56:CX65" si="17">+CW56*CV56</f>
        <v>0</v>
      </c>
      <c r="CY56" s="223">
        <f>+Z56</f>
        <v>1186483.5</v>
      </c>
      <c r="CZ56" s="226">
        <f t="shared" si="5"/>
        <v>-1186483.5</v>
      </c>
      <c r="DA56" s="212" t="e">
        <f t="shared" si="6"/>
        <v>#DIV/0!</v>
      </c>
      <c r="DM56" s="244"/>
    </row>
    <row r="57" spans="1:117" ht="15" customHeight="1" x14ac:dyDescent="0.3">
      <c r="A57" s="399" t="s">
        <v>590</v>
      </c>
      <c r="B57" s="630" t="s">
        <v>297</v>
      </c>
      <c r="C57" s="399" t="s">
        <v>22</v>
      </c>
      <c r="D57" s="415" t="s">
        <v>33</v>
      </c>
      <c r="E57" s="403">
        <v>15001967</v>
      </c>
      <c r="F57" s="403" t="s">
        <v>397</v>
      </c>
      <c r="G57" s="682" t="s">
        <v>1623</v>
      </c>
      <c r="H57" s="666"/>
      <c r="I57" s="683">
        <v>117576</v>
      </c>
      <c r="J57" s="417" t="s">
        <v>591</v>
      </c>
      <c r="K57" s="417"/>
      <c r="L57" s="417"/>
      <c r="M57" s="418"/>
      <c r="N57" s="418"/>
      <c r="O57" s="418" t="s">
        <v>858</v>
      </c>
      <c r="P57" s="418" t="s">
        <v>16</v>
      </c>
      <c r="Q57" s="419" t="s">
        <v>565</v>
      </c>
      <c r="R57" s="399">
        <v>3020000515</v>
      </c>
      <c r="S57" s="419" t="s">
        <v>143</v>
      </c>
      <c r="T57" s="403"/>
      <c r="U57" s="403"/>
      <c r="V57" s="403"/>
      <c r="W57" s="350"/>
      <c r="X57" s="399"/>
      <c r="Y57" s="399"/>
      <c r="Z57" s="486">
        <v>1186483.5</v>
      </c>
      <c r="AA57" s="418">
        <v>26</v>
      </c>
      <c r="AB57" s="486">
        <v>112945</v>
      </c>
      <c r="AC57" s="409"/>
      <c r="AD57" s="410"/>
      <c r="AE57" s="399"/>
      <c r="AF57" s="399"/>
      <c r="AG57" s="399"/>
      <c r="AH57" s="399"/>
      <c r="AI57" s="403"/>
      <c r="AJ57" s="403"/>
      <c r="AK57" s="403"/>
      <c r="AL57" s="403"/>
      <c r="AM57" s="420"/>
      <c r="AN57" s="420"/>
      <c r="AO57" s="403"/>
      <c r="AP57" s="403"/>
      <c r="AQ57" s="403"/>
      <c r="AR57" s="403"/>
      <c r="AS57" s="403"/>
      <c r="AT57" s="403"/>
      <c r="AU57" s="399"/>
      <c r="AV57" s="420"/>
      <c r="AW57" s="420"/>
      <c r="AX57" s="420"/>
      <c r="AY57" s="420"/>
      <c r="AZ57" s="420"/>
      <c r="BA57" s="370"/>
      <c r="BB57" s="358"/>
      <c r="BC57" s="595" t="s">
        <v>1493</v>
      </c>
      <c r="BD57" s="595" t="s">
        <v>1493</v>
      </c>
      <c r="BE57" s="358"/>
      <c r="BF57" s="419" t="s">
        <v>315</v>
      </c>
      <c r="BG57" s="370"/>
      <c r="BH57" s="370"/>
      <c r="BI57" s="370"/>
      <c r="BJ57" s="370"/>
      <c r="BK57" s="487"/>
      <c r="BL57" s="488"/>
      <c r="BM57" s="358"/>
      <c r="BN57" s="358"/>
      <c r="BO57" s="370"/>
      <c r="BP57" s="487"/>
      <c r="BQ57" s="487"/>
      <c r="BR57" s="487"/>
      <c r="BS57" s="362">
        <f>SUM(Table14[[#This Row],[Jan-24]:[Dec-24]])</f>
        <v>0</v>
      </c>
      <c r="BT57" s="360"/>
      <c r="BU57" s="360"/>
      <c r="BV57" s="376"/>
      <c r="BW57" s="376"/>
      <c r="BX57" s="376"/>
      <c r="BY57" s="376"/>
      <c r="BZ57" s="376"/>
      <c r="CA57" s="376"/>
      <c r="CB57" s="376"/>
      <c r="CC57" s="376"/>
      <c r="CD57" s="370">
        <v>3202372.3333333335</v>
      </c>
      <c r="CE57" s="370">
        <v>-204333.33333333334</v>
      </c>
      <c r="CF57" s="362">
        <f>SUM(Table14[[#This Row],[Jan-25]:[Dec-25]])</f>
        <v>2998039</v>
      </c>
      <c r="CG57" s="370">
        <v>0</v>
      </c>
      <c r="CH57" s="370">
        <v>0</v>
      </c>
      <c r="CI57" s="370">
        <v>0</v>
      </c>
      <c r="CJ57" s="414">
        <f>SUM(Table14[[#This Row],[Jan-26]:[Mar-26]])</f>
        <v>0</v>
      </c>
      <c r="CK57" s="531">
        <f>IFERROR(SUM(Table14[[#This Row],[Oct-25]:[Dec-25]],Table14[[#This Row],[Jan-26]:[Mar-26]])/COUNT(Table14[[#This Row],[Oct-25]:[Dec-25]],Table14[[#This Row],[Jan-26]:[Mar-26]]),0)</f>
        <v>599607.80000000005</v>
      </c>
      <c r="CL57" s="367"/>
      <c r="CM57" s="414">
        <f>Table14[[#This Row],[YTD 2024]]+Table14[[#This Row],[YTD 2025]]+Table14[[#This Row],[YTD 2026]]</f>
        <v>2998039</v>
      </c>
      <c r="CN57" s="418"/>
      <c r="CO57" s="486" t="e">
        <f t="shared" si="14"/>
        <v>#DIV/0!</v>
      </c>
      <c r="CP57" s="490"/>
      <c r="CQ57" s="489" t="e">
        <f>Table14[[#This Row],[Avg reagent Sales per month Actual]]-Table14[[#This Row],[Per Month Reagent Commitment]]</f>
        <v>#DIV/0!</v>
      </c>
      <c r="CR57" s="373"/>
      <c r="CS57" s="367" t="e">
        <f>Table14[[#This Row],[On Track / (behind) (avg per month)]]/Table14[[#This Row],[Months]]</f>
        <v>#DIV/0!</v>
      </c>
      <c r="CT57" s="491"/>
      <c r="CU57" s="367">
        <f>Table14[[#This Row],[Total Reagent Sales till date Actual]]*Table14[[#This Row],[Margin %]]</f>
        <v>0</v>
      </c>
      <c r="CV57" s="371">
        <f t="shared" si="15"/>
        <v>0</v>
      </c>
      <c r="CW57" s="212"/>
      <c r="CX57" s="212"/>
      <c r="CY57" s="223"/>
      <c r="CZ57" s="226"/>
      <c r="DA57" s="212"/>
      <c r="DM57" s="244"/>
    </row>
    <row r="58" spans="1:117" ht="15" customHeight="1" x14ac:dyDescent="0.3">
      <c r="A58" s="399" t="s">
        <v>418</v>
      </c>
      <c r="B58" s="630" t="s">
        <v>297</v>
      </c>
      <c r="C58" s="399" t="s">
        <v>49</v>
      </c>
      <c r="D58" s="415" t="s">
        <v>36</v>
      </c>
      <c r="E58" s="403">
        <v>15002128</v>
      </c>
      <c r="F58" s="403" t="s">
        <v>317</v>
      </c>
      <c r="G58" s="449"/>
      <c r="H58" s="666"/>
      <c r="I58" s="416"/>
      <c r="J58" s="417"/>
      <c r="K58" s="417"/>
      <c r="L58" s="417" t="s">
        <v>591</v>
      </c>
      <c r="M58" s="417"/>
      <c r="N58" s="417"/>
      <c r="O58" s="418" t="s">
        <v>858</v>
      </c>
      <c r="P58" s="418" t="s">
        <v>16</v>
      </c>
      <c r="Q58" s="403" t="s">
        <v>565</v>
      </c>
      <c r="R58" s="399">
        <v>3020000515</v>
      </c>
      <c r="S58" s="419" t="s">
        <v>143</v>
      </c>
      <c r="T58" s="403"/>
      <c r="U58" s="403" t="s">
        <v>576</v>
      </c>
      <c r="V58" s="403" t="s">
        <v>577</v>
      </c>
      <c r="W58" s="350" t="s">
        <v>578</v>
      </c>
      <c r="X58" s="399" t="s">
        <v>431</v>
      </c>
      <c r="Y58" s="399"/>
      <c r="Z58" s="486">
        <v>4620000</v>
      </c>
      <c r="AA58" s="418">
        <v>36</v>
      </c>
      <c r="AB58" s="486">
        <v>1411927</v>
      </c>
      <c r="AC58" s="409"/>
      <c r="AD58" s="410"/>
      <c r="AE58" s="399"/>
      <c r="AF58" s="399"/>
      <c r="AG58" s="399"/>
      <c r="AH58" s="399"/>
      <c r="AI58" s="403"/>
      <c r="AJ58" s="403"/>
      <c r="AK58" s="403"/>
      <c r="AL58" s="403"/>
      <c r="AM58" s="420"/>
      <c r="AN58" s="420"/>
      <c r="AO58" s="403"/>
      <c r="AP58" s="403"/>
      <c r="AQ58" s="403"/>
      <c r="AR58" s="403"/>
      <c r="AS58" s="403"/>
      <c r="AT58" s="403"/>
      <c r="AU58" s="399"/>
      <c r="AV58" s="420"/>
      <c r="AW58" s="420"/>
      <c r="AX58" s="420"/>
      <c r="AY58" s="420"/>
      <c r="AZ58" s="420"/>
      <c r="BA58" s="370"/>
      <c r="BB58" s="358"/>
      <c r="BC58" s="595" t="s">
        <v>1493</v>
      </c>
      <c r="BD58" s="595" t="s">
        <v>1493</v>
      </c>
      <c r="BE58" s="358"/>
      <c r="BF58" s="358" t="s">
        <v>315</v>
      </c>
      <c r="BG58" s="370"/>
      <c r="BH58" s="370"/>
      <c r="BI58" s="370"/>
      <c r="BJ58" s="370"/>
      <c r="BK58" s="487">
        <f>8550000/5</f>
        <v>1710000</v>
      </c>
      <c r="BL58" s="488"/>
      <c r="BM58" s="358"/>
      <c r="BN58" s="358"/>
      <c r="BO58" s="370"/>
      <c r="BP58" s="487"/>
      <c r="BQ58" s="487"/>
      <c r="BR58" s="487"/>
      <c r="BS58" s="362">
        <f>SUM(Table14[[#This Row],[Jan-24]:[Dec-24]])</f>
        <v>1710000</v>
      </c>
      <c r="BT58" s="360"/>
      <c r="BU58" s="360"/>
      <c r="BV58" s="376"/>
      <c r="BW58" s="376"/>
      <c r="BX58" s="376"/>
      <c r="BY58" s="376"/>
      <c r="BZ58" s="376"/>
      <c r="CA58" s="376"/>
      <c r="CB58" s="376"/>
      <c r="CC58" s="376"/>
      <c r="CD58" s="414">
        <v>3484134.2</v>
      </c>
      <c r="CE58" s="414">
        <v>5106783.6700000027</v>
      </c>
      <c r="CF58" s="362">
        <f>SUM(Table14[[#This Row],[Jan-25]:[Dec-25]])</f>
        <v>8590917.8700000029</v>
      </c>
      <c r="CG58" s="414">
        <v>1516016</v>
      </c>
      <c r="CH58" s="414"/>
      <c r="CI58" s="414"/>
      <c r="CJ58" s="414">
        <f>SUM(Table14[[#This Row],[Jan-26]:[Mar-26]])</f>
        <v>1516016</v>
      </c>
      <c r="CK58" s="531">
        <f>IFERROR(SUM(Table14[[#This Row],[Oct-25]:[Dec-25]],Table14[[#This Row],[Jan-26]:[Mar-26]])/COUNT(Table14[[#This Row],[Oct-25]:[Dec-25]],Table14[[#This Row],[Jan-26]:[Mar-26]]),0)</f>
        <v>3368977.9566666675</v>
      </c>
      <c r="CL58" s="367"/>
      <c r="CM58" s="414">
        <f>Table14[[#This Row],[YTD 2024]]+Table14[[#This Row],[YTD 2025]]+Table14[[#This Row],[YTD 2026]]</f>
        <v>11816933.870000003</v>
      </c>
      <c r="CN58" s="418">
        <v>3</v>
      </c>
      <c r="CO58" s="486">
        <f t="shared" si="14"/>
        <v>3938977.9566666675</v>
      </c>
      <c r="CP58" s="490"/>
      <c r="CQ58" s="489">
        <f>Table14[[#This Row],[Avg reagent Sales per month Actual]]-Table14[[#This Row],[Per Month Reagent Commitment]]</f>
        <v>2527050.9566666675</v>
      </c>
      <c r="CR58" s="373"/>
      <c r="CS58" s="367">
        <f>Table14[[#This Row],[On Track / (behind) (avg per month)]]/Table14[[#This Row],[Months]]</f>
        <v>842350.31888888916</v>
      </c>
      <c r="CT58" s="491"/>
      <c r="CU58" s="367">
        <f>Table14[[#This Row],[Total Reagent Sales till date Actual]]*Table14[[#This Row],[Margin %]]</f>
        <v>0</v>
      </c>
      <c r="CV58" s="371">
        <f t="shared" si="15"/>
        <v>0</v>
      </c>
      <c r="CW58" s="212">
        <f t="shared" si="16"/>
        <v>121283206.44000003</v>
      </c>
      <c r="CX58" s="212">
        <f t="shared" si="17"/>
        <v>0</v>
      </c>
      <c r="CY58" s="223">
        <f t="shared" ref="CY58:CY65" si="18">+Z58</f>
        <v>4620000</v>
      </c>
      <c r="CZ58" s="226">
        <f t="shared" si="5"/>
        <v>-4620000</v>
      </c>
      <c r="DA58" s="212" t="e">
        <f t="shared" si="6"/>
        <v>#DIV/0!</v>
      </c>
      <c r="DM58" s="244"/>
    </row>
    <row r="59" spans="1:117" ht="15" customHeight="1" x14ac:dyDescent="0.3">
      <c r="A59" s="399" t="s">
        <v>590</v>
      </c>
      <c r="B59" s="630" t="s">
        <v>297</v>
      </c>
      <c r="C59" s="561" t="s">
        <v>22</v>
      </c>
      <c r="D59" s="555" t="s">
        <v>33</v>
      </c>
      <c r="E59" s="403">
        <v>15001967</v>
      </c>
      <c r="F59" s="403" t="s">
        <v>397</v>
      </c>
      <c r="G59" s="449"/>
      <c r="H59" s="666"/>
      <c r="I59" s="416"/>
      <c r="J59" s="562"/>
      <c r="K59" s="417"/>
      <c r="L59" s="417" t="s">
        <v>591</v>
      </c>
      <c r="M59" s="417"/>
      <c r="N59" s="417"/>
      <c r="O59" s="551" t="s">
        <v>858</v>
      </c>
      <c r="P59" s="551" t="s">
        <v>16</v>
      </c>
      <c r="Q59" s="548" t="s">
        <v>565</v>
      </c>
      <c r="R59" s="561">
        <v>3020000393</v>
      </c>
      <c r="S59" s="568" t="s">
        <v>187</v>
      </c>
      <c r="T59" s="403"/>
      <c r="U59" s="403" t="s">
        <v>576</v>
      </c>
      <c r="V59" s="403" t="s">
        <v>577</v>
      </c>
      <c r="W59" s="350" t="s">
        <v>578</v>
      </c>
      <c r="X59" s="399" t="s">
        <v>431</v>
      </c>
      <c r="Y59" s="399"/>
      <c r="Z59" s="556">
        <v>1186483.33333333</v>
      </c>
      <c r="AA59" s="551">
        <v>26</v>
      </c>
      <c r="AB59" s="556">
        <v>108475</v>
      </c>
      <c r="AC59" s="409"/>
      <c r="AD59" s="410"/>
      <c r="AE59" s="399"/>
      <c r="AF59" s="399"/>
      <c r="AG59" s="399"/>
      <c r="AH59" s="399"/>
      <c r="AI59" s="403"/>
      <c r="AJ59" s="403"/>
      <c r="AK59" s="403"/>
      <c r="AL59" s="403"/>
      <c r="AM59" s="420"/>
      <c r="AN59" s="420"/>
      <c r="AO59" s="403"/>
      <c r="AP59" s="403"/>
      <c r="AQ59" s="403"/>
      <c r="AR59" s="403"/>
      <c r="AS59" s="403"/>
      <c r="AT59" s="403"/>
      <c r="AU59" s="399"/>
      <c r="AV59" s="420"/>
      <c r="AW59" s="420"/>
      <c r="AX59" s="420"/>
      <c r="AY59" s="420"/>
      <c r="AZ59" s="420"/>
      <c r="BA59" s="370"/>
      <c r="BB59" s="358"/>
      <c r="BC59" s="599" t="s">
        <v>1493</v>
      </c>
      <c r="BD59" s="599" t="s">
        <v>1493</v>
      </c>
      <c r="BE59" s="358"/>
      <c r="BF59" s="419" t="s">
        <v>315</v>
      </c>
      <c r="BG59" s="370"/>
      <c r="BH59" s="370"/>
      <c r="BI59" s="370"/>
      <c r="BJ59" s="370"/>
      <c r="BK59" s="487"/>
      <c r="BL59" s="488"/>
      <c r="BM59" s="358"/>
      <c r="BN59" s="358"/>
      <c r="BO59" s="370"/>
      <c r="BP59" s="487"/>
      <c r="BQ59" s="487"/>
      <c r="BR59" s="487"/>
      <c r="BS59" s="362">
        <f>SUM(Table14[[#This Row],[Jan-24]:[Dec-24]])</f>
        <v>0</v>
      </c>
      <c r="BT59" s="360"/>
      <c r="BU59" s="360"/>
      <c r="BV59" s="376"/>
      <c r="BW59" s="376"/>
      <c r="BX59" s="376"/>
      <c r="BY59" s="376"/>
      <c r="BZ59" s="376"/>
      <c r="CA59" s="376"/>
      <c r="CB59" s="376"/>
      <c r="CC59" s="376"/>
      <c r="CD59" s="370"/>
      <c r="CE59" s="572"/>
      <c r="CF59" s="362">
        <f>SUM(Table14[[#This Row],[Jan-25]:[Dec-25]])</f>
        <v>0</v>
      </c>
      <c r="CG59" s="572">
        <v>0</v>
      </c>
      <c r="CH59" s="572">
        <f>2100066.06/3</f>
        <v>700022.02</v>
      </c>
      <c r="CI59" s="414">
        <f>625357/3</f>
        <v>208452.33333333334</v>
      </c>
      <c r="CJ59" s="414">
        <f>SUM(Table14[[#This Row],[Jan-26]:[Mar-26]])</f>
        <v>908474.35333333339</v>
      </c>
      <c r="CK59" s="531">
        <f>IFERROR(SUM(Table14[[#This Row],[Oct-25]:[Dec-25]],Table14[[#This Row],[Jan-26]:[Mar-26]])/COUNT(Table14[[#This Row],[Oct-25]:[Dec-25]],Table14[[#This Row],[Jan-26]:[Mar-26]]),0)</f>
        <v>302824.78444444446</v>
      </c>
      <c r="CL59" s="547"/>
      <c r="CM59" s="414">
        <f>2725423/3</f>
        <v>908474.33333333337</v>
      </c>
      <c r="CN59" s="551">
        <v>2</v>
      </c>
      <c r="CO59" s="556">
        <f t="shared" si="14"/>
        <v>454237.16666666669</v>
      </c>
      <c r="CP59" s="569"/>
      <c r="CQ59" s="559">
        <f>Table14[[#This Row],[Avg reagent Sales per month Actual]]-Table14[[#This Row],[Per Month Reagent Commitment]]</f>
        <v>345762.16666666669</v>
      </c>
      <c r="CR59" s="570"/>
      <c r="CS59" s="547">
        <f>Table14[[#This Row],[On Track / (behind) (avg per month)]]/Table14[[#This Row],[Months]]</f>
        <v>172881.08333333334</v>
      </c>
      <c r="CT59" s="560"/>
      <c r="CU59" s="547">
        <f>Table14[[#This Row],[Total Reagent Sales till date Actual]]*Table14[[#This Row],[Margin %]]</f>
        <v>0</v>
      </c>
      <c r="CV59" s="571">
        <f t="shared" si="15"/>
        <v>0</v>
      </c>
      <c r="CW59" s="212">
        <f t="shared" si="16"/>
        <v>10901692.24</v>
      </c>
      <c r="CX59" s="212">
        <f t="shared" si="17"/>
        <v>0</v>
      </c>
      <c r="CY59" s="223">
        <f t="shared" si="18"/>
        <v>1186483.33333333</v>
      </c>
      <c r="CZ59" s="226">
        <f t="shared" si="5"/>
        <v>-1186483.33333333</v>
      </c>
      <c r="DA59" s="212" t="e">
        <f t="shared" si="6"/>
        <v>#DIV/0!</v>
      </c>
      <c r="DC59" s="101"/>
      <c r="DM59" s="244"/>
    </row>
    <row r="60" spans="1:117" ht="16.5" customHeight="1" x14ac:dyDescent="0.3">
      <c r="A60" s="399" t="s">
        <v>296</v>
      </c>
      <c r="B60" s="629" t="s">
        <v>297</v>
      </c>
      <c r="C60" s="399" t="s">
        <v>24</v>
      </c>
      <c r="D60" s="415" t="s">
        <v>31</v>
      </c>
      <c r="E60" s="403">
        <v>15002462</v>
      </c>
      <c r="F60" s="403" t="s">
        <v>298</v>
      </c>
      <c r="G60" s="449">
        <v>3002000014</v>
      </c>
      <c r="H60" s="409" t="s">
        <v>299</v>
      </c>
      <c r="I60" s="416" t="s">
        <v>592</v>
      </c>
      <c r="J60" s="417" t="s">
        <v>593</v>
      </c>
      <c r="K60" s="417" t="s">
        <v>594</v>
      </c>
      <c r="L60" s="417" t="s">
        <v>595</v>
      </c>
      <c r="M60" s="417" t="s">
        <v>303</v>
      </c>
      <c r="N60" s="417"/>
      <c r="O60" s="416" t="s">
        <v>348</v>
      </c>
      <c r="P60" s="418" t="s">
        <v>15</v>
      </c>
      <c r="Q60" s="399" t="s">
        <v>305</v>
      </c>
      <c r="R60" s="399">
        <v>3020000539</v>
      </c>
      <c r="S60" s="415" t="s">
        <v>136</v>
      </c>
      <c r="T60" s="403" t="s">
        <v>597</v>
      </c>
      <c r="U60" s="403" t="s">
        <v>598</v>
      </c>
      <c r="V60" s="403" t="s">
        <v>599</v>
      </c>
      <c r="W60" s="350" t="s">
        <v>600</v>
      </c>
      <c r="X60" s="399" t="s">
        <v>601</v>
      </c>
      <c r="Y60" s="399"/>
      <c r="Z60" s="353">
        <v>2675000</v>
      </c>
      <c r="AA60" s="366">
        <v>16</v>
      </c>
      <c r="AB60" s="353">
        <v>493226.5</v>
      </c>
      <c r="AC60" s="423" t="s">
        <v>602</v>
      </c>
      <c r="AD60" s="424" t="s">
        <v>603</v>
      </c>
      <c r="AE60" s="424" t="s">
        <v>604</v>
      </c>
      <c r="AF60" s="424" t="s">
        <v>605</v>
      </c>
      <c r="AG60" s="424" t="s">
        <v>606</v>
      </c>
      <c r="AH60" s="424" t="s">
        <v>607</v>
      </c>
      <c r="AI60" s="409" t="s">
        <v>332</v>
      </c>
      <c r="AJ60" s="409" t="s">
        <v>608</v>
      </c>
      <c r="AK60" s="409" t="s">
        <v>609</v>
      </c>
      <c r="AL60" s="409" t="s">
        <v>610</v>
      </c>
      <c r="AM60" s="425" t="s">
        <v>611</v>
      </c>
      <c r="AN60" s="425" t="s">
        <v>612</v>
      </c>
      <c r="AO60" s="409"/>
      <c r="AP60" s="409"/>
      <c r="AQ60" s="409"/>
      <c r="AR60" s="409"/>
      <c r="AS60" s="409" t="s">
        <v>613</v>
      </c>
      <c r="AT60" s="409" t="s">
        <v>614</v>
      </c>
      <c r="AU60" s="409" t="s">
        <v>615</v>
      </c>
      <c r="AV60" s="409"/>
      <c r="AW60" s="409" t="s">
        <v>616</v>
      </c>
      <c r="AX60" s="430" t="s">
        <v>617</v>
      </c>
      <c r="AY60" s="430"/>
      <c r="AZ60" s="430"/>
      <c r="BA60" s="430"/>
      <c r="BB60" s="430"/>
      <c r="BC60" s="415" t="s">
        <v>1502</v>
      </c>
      <c r="BD60" s="415"/>
      <c r="BE60" s="430">
        <v>1</v>
      </c>
      <c r="BF60" s="415"/>
      <c r="BG60" s="359">
        <v>222763.96</v>
      </c>
      <c r="BH60" s="359">
        <v>270400</v>
      </c>
      <c r="BI60" s="359">
        <v>0</v>
      </c>
      <c r="BJ60" s="359">
        <v>0</v>
      </c>
      <c r="BK60" s="359">
        <v>629406.82000000007</v>
      </c>
      <c r="BL60" s="359">
        <v>0</v>
      </c>
      <c r="BM60" s="359">
        <v>0</v>
      </c>
      <c r="BN60" s="359">
        <v>0</v>
      </c>
      <c r="BO60" s="359">
        <v>0</v>
      </c>
      <c r="BP60" s="359">
        <v>268415</v>
      </c>
      <c r="BQ60" s="359">
        <v>19210</v>
      </c>
      <c r="BR60" s="359">
        <v>90851.82</v>
      </c>
      <c r="BS60" s="362">
        <f>SUM(Table14[[#This Row],[Jan-24]:[Dec-24]])</f>
        <v>1501047.6</v>
      </c>
      <c r="BT60" s="362">
        <v>0</v>
      </c>
      <c r="BU60" s="362">
        <v>0</v>
      </c>
      <c r="BV60" s="362">
        <v>0</v>
      </c>
      <c r="BW60" s="362">
        <v>0</v>
      </c>
      <c r="BX60" s="362">
        <v>0</v>
      </c>
      <c r="BY60" s="367">
        <v>0</v>
      </c>
      <c r="BZ60" s="367">
        <v>0</v>
      </c>
      <c r="CA60" s="367">
        <v>0</v>
      </c>
      <c r="CB60" s="367">
        <v>0</v>
      </c>
      <c r="CC60" s="367">
        <v>0</v>
      </c>
      <c r="CD60" s="367">
        <v>0</v>
      </c>
      <c r="CE60" s="367"/>
      <c r="CF60" s="362">
        <f>SUM(Table14[[#This Row],[Jan-25]:[Dec-25]])</f>
        <v>0</v>
      </c>
      <c r="CG60" s="367"/>
      <c r="CH60" s="367"/>
      <c r="CI60" s="367"/>
      <c r="CJ60" s="414">
        <f>SUM(Table14[[#This Row],[Jan-26]:[Mar-26]])</f>
        <v>0</v>
      </c>
      <c r="CK60" s="531">
        <f>IFERROR(SUM(Table14[[#This Row],[Oct-25]:[Dec-25]],Table14[[#This Row],[Jan-26]:[Mar-26]])/COUNT(Table14[[#This Row],[Oct-25]:[Dec-25]],Table14[[#This Row],[Jan-26]:[Mar-26]]),0)</f>
        <v>0</v>
      </c>
      <c r="CL60" s="359"/>
      <c r="CM60" s="414">
        <f>Table14[[#This Row],[YTD 2024]]+Table14[[#This Row],[YTD 2025]]+Table14[[#This Row],[YTD 2026]]</f>
        <v>1501047.6</v>
      </c>
      <c r="CN60" s="366">
        <v>35</v>
      </c>
      <c r="CO60" s="353">
        <f t="shared" si="14"/>
        <v>42887.07428571429</v>
      </c>
      <c r="CP60" s="353">
        <f>Table14[[#This Row],[Unit Cost]]-Table14[[#This Row],[Margin on Reagent sale]]</f>
        <v>2074580.96</v>
      </c>
      <c r="CQ60" s="372">
        <f>Table14[[#This Row],[Avg reagent Sales per month Actual]]-Table14[[#This Row],[Per Month Reagent Commitment]]</f>
        <v>-450339.42571428569</v>
      </c>
      <c r="CR60" s="403" t="s">
        <v>618</v>
      </c>
      <c r="CS60" s="367">
        <f>Table14[[#This Row],[On Track / (behind) (avg per month)]]/Table14[[#This Row],[Months]]</f>
        <v>-12866.840734693877</v>
      </c>
      <c r="CT60" s="368">
        <v>0.4</v>
      </c>
      <c r="CU60" s="367">
        <f>Table14[[#This Row],[Total Reagent Sales till date Actual]]*Table14[[#This Row],[Margin %]]</f>
        <v>600419.04</v>
      </c>
      <c r="CV60" s="400">
        <f t="shared" si="15"/>
        <v>0.4</v>
      </c>
      <c r="CW60" s="212">
        <f t="shared" si="16"/>
        <v>0</v>
      </c>
      <c r="CX60" s="212">
        <f t="shared" si="17"/>
        <v>0</v>
      </c>
      <c r="CY60" s="223">
        <f t="shared" si="18"/>
        <v>2675000</v>
      </c>
      <c r="CZ60" s="226">
        <f t="shared" si="5"/>
        <v>-2675000</v>
      </c>
      <c r="DA60" s="212" t="e">
        <f t="shared" si="6"/>
        <v>#DIV/0!</v>
      </c>
      <c r="DB60" s="101" t="s">
        <v>434</v>
      </c>
      <c r="DC60" s="226"/>
      <c r="DM60" s="244"/>
    </row>
    <row r="61" spans="1:117" ht="15" customHeight="1" x14ac:dyDescent="0.3">
      <c r="A61" s="399" t="s">
        <v>511</v>
      </c>
      <c r="B61" s="629" t="s">
        <v>345</v>
      </c>
      <c r="C61" s="399" t="s">
        <v>21</v>
      </c>
      <c r="D61" s="415" t="s">
        <v>28</v>
      </c>
      <c r="E61" s="403">
        <v>15002760</v>
      </c>
      <c r="F61" s="403" t="s">
        <v>298</v>
      </c>
      <c r="G61" s="449">
        <v>3002000036</v>
      </c>
      <c r="H61" s="409" t="s">
        <v>299</v>
      </c>
      <c r="I61" s="682">
        <v>30006300</v>
      </c>
      <c r="J61" s="417" t="s">
        <v>619</v>
      </c>
      <c r="K61" s="417" t="s">
        <v>620</v>
      </c>
      <c r="L61" s="417" t="s">
        <v>620</v>
      </c>
      <c r="M61" s="417" t="s">
        <v>303</v>
      </c>
      <c r="N61" s="417"/>
      <c r="O61" s="416" t="s">
        <v>304</v>
      </c>
      <c r="P61" s="418" t="s">
        <v>15</v>
      </c>
      <c r="Q61" s="399" t="s">
        <v>305</v>
      </c>
      <c r="R61" s="399">
        <v>3020000547</v>
      </c>
      <c r="S61" s="419" t="s">
        <v>110</v>
      </c>
      <c r="T61" s="452" t="s">
        <v>621</v>
      </c>
      <c r="U61" s="403" t="s">
        <v>622</v>
      </c>
      <c r="V61" s="453" t="s">
        <v>623</v>
      </c>
      <c r="W61" s="386" t="s">
        <v>624</v>
      </c>
      <c r="X61" s="399"/>
      <c r="Y61" s="453" t="s">
        <v>625</v>
      </c>
      <c r="Z61" s="353">
        <v>9297200</v>
      </c>
      <c r="AA61" s="366">
        <v>35</v>
      </c>
      <c r="AB61" s="353">
        <v>829374</v>
      </c>
      <c r="AC61" s="423"/>
      <c r="AD61" s="424"/>
      <c r="AE61" s="424" t="s">
        <v>626</v>
      </c>
      <c r="AF61" s="424" t="s">
        <v>626</v>
      </c>
      <c r="AG61" s="424" t="s">
        <v>627</v>
      </c>
      <c r="AH61" s="424"/>
      <c r="AI61" s="409" t="s">
        <v>627</v>
      </c>
      <c r="AJ61" s="409" t="s">
        <v>628</v>
      </c>
      <c r="AK61" s="409" t="s">
        <v>629</v>
      </c>
      <c r="AL61" s="409" t="s">
        <v>630</v>
      </c>
      <c r="AM61" s="425" t="s">
        <v>631</v>
      </c>
      <c r="AN61" s="425" t="s">
        <v>632</v>
      </c>
      <c r="AO61" s="409"/>
      <c r="AP61" s="409"/>
      <c r="AQ61" s="409"/>
      <c r="AR61" s="409"/>
      <c r="AS61" s="409" t="s">
        <v>633</v>
      </c>
      <c r="AT61" s="409"/>
      <c r="AU61" s="409" t="s">
        <v>634</v>
      </c>
      <c r="AV61" s="409"/>
      <c r="AW61" s="409" t="e">
        <v>#REF!</v>
      </c>
      <c r="AX61" s="409"/>
      <c r="AY61" s="409"/>
      <c r="AZ61" s="409" t="s">
        <v>560</v>
      </c>
      <c r="BA61" s="409"/>
      <c r="BB61" s="409"/>
      <c r="BC61" s="598" t="s">
        <v>1504</v>
      </c>
      <c r="BD61" s="598" t="s">
        <v>1641</v>
      </c>
      <c r="BE61" s="424">
        <v>1</v>
      </c>
      <c r="BF61" s="419" t="s">
        <v>315</v>
      </c>
      <c r="BG61" s="363">
        <v>867000</v>
      </c>
      <c r="BH61" s="363">
        <v>1552000</v>
      </c>
      <c r="BI61" s="363">
        <v>1838173.12</v>
      </c>
      <c r="BJ61" s="363">
        <v>0</v>
      </c>
      <c r="BK61" s="363">
        <v>3924900</v>
      </c>
      <c r="BL61" s="363">
        <v>850200</v>
      </c>
      <c r="BM61" s="363">
        <v>0</v>
      </c>
      <c r="BN61" s="363">
        <v>0</v>
      </c>
      <c r="BO61" s="363">
        <v>4129498</v>
      </c>
      <c r="BP61" s="363">
        <v>1860000</v>
      </c>
      <c r="BQ61" s="363">
        <v>0</v>
      </c>
      <c r="BR61" s="363">
        <v>3382500</v>
      </c>
      <c r="BS61" s="362">
        <f>SUM(Table14[[#This Row],[Jan-24]:[Dec-24]])</f>
        <v>18404271.120000001</v>
      </c>
      <c r="BT61" s="362">
        <v>0</v>
      </c>
      <c r="BU61" s="414">
        <f>1220175/2</f>
        <v>610087.5</v>
      </c>
      <c r="BV61" s="414">
        <v>0</v>
      </c>
      <c r="BW61" s="421">
        <f>1094999/2</f>
        <v>547499.5</v>
      </c>
      <c r="BX61" s="421">
        <v>0</v>
      </c>
      <c r="BY61" s="367">
        <v>22500</v>
      </c>
      <c r="BZ61" s="367">
        <v>0</v>
      </c>
      <c r="CA61" s="367">
        <v>0</v>
      </c>
      <c r="CB61" s="367">
        <v>0</v>
      </c>
      <c r="CC61" s="367"/>
      <c r="CD61" s="367"/>
      <c r="CE61" s="367"/>
      <c r="CF61" s="362">
        <f>SUM(Table14[[#This Row],[Jan-25]:[Dec-25]])</f>
        <v>1180087</v>
      </c>
      <c r="CG61" s="367">
        <v>0</v>
      </c>
      <c r="CH61" s="367">
        <v>0</v>
      </c>
      <c r="CI61" s="367">
        <v>0</v>
      </c>
      <c r="CJ61" s="414">
        <f>SUM(Table14[[#This Row],[Jan-26]:[Mar-26]])</f>
        <v>0</v>
      </c>
      <c r="CK61" s="531">
        <f>IFERROR(SUM(Table14[[#This Row],[Oct-25]:[Dec-25]],Table14[[#This Row],[Jan-26]:[Mar-26]])/COUNT(Table14[[#This Row],[Oct-25]:[Dec-25]],Table14[[#This Row],[Jan-26]:[Mar-26]]),0)</f>
        <v>0</v>
      </c>
      <c r="CL61" s="363"/>
      <c r="CM61" s="414">
        <f>Table14[[#This Row],[YTD 2024]]+Table14[[#This Row],[YTD 2025]]+Table14[[#This Row],[YTD 2026]]</f>
        <v>19584358.120000001</v>
      </c>
      <c r="CN61" s="366">
        <v>19</v>
      </c>
      <c r="CO61" s="353">
        <f t="shared" si="14"/>
        <v>1030755.6905263158</v>
      </c>
      <c r="CP61" s="353">
        <f>Table14[[#This Row],[Unit Cost]]-Table14[[#This Row],[Margin on Reagent sale]]</f>
        <v>1463456.7519999994</v>
      </c>
      <c r="CQ61" s="372">
        <f>Table14[[#This Row],[Avg reagent Sales per month Actual]]-Table14[[#This Row],[Per Month Reagent Commitment]]</f>
        <v>201381.69052631583</v>
      </c>
      <c r="CR61" s="403" t="s">
        <v>316</v>
      </c>
      <c r="CS61" s="367">
        <f>Table14[[#This Row],[On Track / (behind) (avg per month)]]/Table14[[#This Row],[Months]]</f>
        <v>10599.036343490307</v>
      </c>
      <c r="CT61" s="368">
        <v>0.4</v>
      </c>
      <c r="CU61" s="367">
        <f>Table14[[#This Row],[Total Reagent Sales till date Actual]]*Table14[[#This Row],[Margin %]]</f>
        <v>7833743.2480000006</v>
      </c>
      <c r="CV61" s="442">
        <v>0.35</v>
      </c>
      <c r="CW61" s="212">
        <f t="shared" si="16"/>
        <v>0</v>
      </c>
      <c r="CX61" s="212">
        <f t="shared" si="17"/>
        <v>0</v>
      </c>
      <c r="CY61" s="223">
        <f t="shared" si="18"/>
        <v>9297200</v>
      </c>
      <c r="CZ61" s="226">
        <f t="shared" si="5"/>
        <v>-9297200</v>
      </c>
      <c r="DA61" s="212" t="e">
        <f t="shared" si="6"/>
        <v>#DIV/0!</v>
      </c>
      <c r="DM61" s="244"/>
    </row>
    <row r="62" spans="1:117" ht="15" customHeight="1" x14ac:dyDescent="0.3">
      <c r="A62" s="399" t="s">
        <v>511</v>
      </c>
      <c r="B62" s="629" t="s">
        <v>345</v>
      </c>
      <c r="C62" s="399" t="s">
        <v>21</v>
      </c>
      <c r="D62" s="415" t="s">
        <v>28</v>
      </c>
      <c r="E62" s="403">
        <v>15002760</v>
      </c>
      <c r="F62" s="403" t="s">
        <v>298</v>
      </c>
      <c r="G62" s="449">
        <v>3002000024</v>
      </c>
      <c r="H62" s="409" t="s">
        <v>299</v>
      </c>
      <c r="I62" s="416">
        <v>30006173</v>
      </c>
      <c r="J62" s="417"/>
      <c r="K62" s="417"/>
      <c r="L62" s="417" t="s">
        <v>636</v>
      </c>
      <c r="M62" s="417"/>
      <c r="N62" s="417"/>
      <c r="O62" s="418" t="s">
        <v>348</v>
      </c>
      <c r="P62" s="418" t="s">
        <v>15</v>
      </c>
      <c r="Q62" s="399" t="s">
        <v>305</v>
      </c>
      <c r="R62" s="528">
        <v>3020000547</v>
      </c>
      <c r="S62" s="472" t="s">
        <v>169</v>
      </c>
      <c r="T62" s="403"/>
      <c r="U62" s="403" t="s">
        <v>637</v>
      </c>
      <c r="V62" s="403" t="s">
        <v>638</v>
      </c>
      <c r="W62" s="399" t="s">
        <v>624</v>
      </c>
      <c r="X62" s="399" t="s">
        <v>639</v>
      </c>
      <c r="Y62" s="399" t="s">
        <v>625</v>
      </c>
      <c r="Z62" s="353">
        <v>10513266</v>
      </c>
      <c r="AA62" s="418">
        <v>36</v>
      </c>
      <c r="AB62" s="353">
        <v>868556</v>
      </c>
      <c r="AC62" s="409"/>
      <c r="AD62" s="410"/>
      <c r="AE62" s="399"/>
      <c r="AF62" s="399"/>
      <c r="AG62" s="399"/>
      <c r="AH62" s="399"/>
      <c r="AI62" s="403"/>
      <c r="AJ62" s="403"/>
      <c r="AK62" s="403"/>
      <c r="AL62" s="403"/>
      <c r="AM62" s="420"/>
      <c r="AN62" s="420"/>
      <c r="AO62" s="403"/>
      <c r="AP62" s="403"/>
      <c r="AQ62" s="403"/>
      <c r="AR62" s="403"/>
      <c r="AS62" s="403"/>
      <c r="AT62" s="403"/>
      <c r="AU62" s="399" t="e">
        <v>#REF!</v>
      </c>
      <c r="AV62" s="420"/>
      <c r="AW62" s="420"/>
      <c r="AX62" s="420"/>
      <c r="AY62" s="420"/>
      <c r="AZ62" s="420"/>
      <c r="BA62" s="420"/>
      <c r="BB62" s="420"/>
      <c r="BC62" s="602"/>
      <c r="BD62" s="602"/>
      <c r="BE62" s="410"/>
      <c r="BF62" s="472"/>
      <c r="BG62" s="377"/>
      <c r="BH62" s="377"/>
      <c r="BI62" s="377"/>
      <c r="BJ62" s="394"/>
      <c r="BK62" s="377"/>
      <c r="BL62" s="394"/>
      <c r="BM62" s="363"/>
      <c r="BN62" s="363"/>
      <c r="BO62" s="363"/>
      <c r="BP62" s="363"/>
      <c r="BQ62" s="363"/>
      <c r="BR62" s="363">
        <v>1501170</v>
      </c>
      <c r="BS62" s="362">
        <f>SUM(Table14[[#This Row],[Jan-24]:[Dec-24]])</f>
        <v>1501170</v>
      </c>
      <c r="BT62" s="362">
        <v>0</v>
      </c>
      <c r="BU62" s="414">
        <f>1220175/2</f>
        <v>610087.5</v>
      </c>
      <c r="BV62" s="414">
        <v>0</v>
      </c>
      <c r="BW62" s="421">
        <f>1094999/2</f>
        <v>547499.5</v>
      </c>
      <c r="BX62" s="414">
        <v>0</v>
      </c>
      <c r="BY62" s="367">
        <v>22500</v>
      </c>
      <c r="BZ62" s="367">
        <v>0</v>
      </c>
      <c r="CA62" s="367"/>
      <c r="CB62" s="367"/>
      <c r="CC62" s="367"/>
      <c r="CD62" s="367"/>
      <c r="CE62" s="367"/>
      <c r="CF62" s="362">
        <f>SUM(Table14[[#This Row],[Jan-25]:[Dec-25]])</f>
        <v>1180087</v>
      </c>
      <c r="CG62" s="367"/>
      <c r="CH62" s="367"/>
      <c r="CI62" s="367"/>
      <c r="CJ62" s="414">
        <f>SUM(Table14[[#This Row],[Jan-26]:[Mar-26]])</f>
        <v>0</v>
      </c>
      <c r="CK62" s="531">
        <f>IFERROR(SUM(Table14[[#This Row],[Oct-25]:[Dec-25]],Table14[[#This Row],[Jan-26]:[Mar-26]])/COUNT(Table14[[#This Row],[Oct-25]:[Dec-25]],Table14[[#This Row],[Jan-26]:[Mar-26]]),0)</f>
        <v>0</v>
      </c>
      <c r="CL62" s="367"/>
      <c r="CM62" s="414">
        <f>Table14[[#This Row],[YTD 2024]]+Table14[[#This Row],[YTD 2025]]+Table14[[#This Row],[YTD 2026]]</f>
        <v>2681257</v>
      </c>
      <c r="CN62" s="366">
        <v>8</v>
      </c>
      <c r="CO62" s="353">
        <f t="shared" si="14"/>
        <v>335157.125</v>
      </c>
      <c r="CP62" s="353">
        <f>Table14[[#This Row],[Unit Cost]]-Table14[[#This Row],[Margin on Reagent sale]]</f>
        <v>9440763.1999999993</v>
      </c>
      <c r="CQ62" s="367">
        <f>Table14[[#This Row],[Avg reagent Sales per month Actual]]-Table14[[#This Row],[Per Month Reagent Commitment]]</f>
        <v>-533398.875</v>
      </c>
      <c r="CR62" s="403" t="s">
        <v>640</v>
      </c>
      <c r="CS62" s="367">
        <f>Table14[[#This Row],[On Track / (behind) (avg per month)]]/Table14[[#This Row],[Months]]</f>
        <v>-66674.859375</v>
      </c>
      <c r="CT62" s="368">
        <v>0.4</v>
      </c>
      <c r="CU62" s="367">
        <f>Table14[[#This Row],[Total Reagent Sales till date Actual]]*Table14[[#This Row],[Margin %]]</f>
        <v>1072502.8</v>
      </c>
      <c r="CV62" s="400">
        <f t="shared" ref="CV62:CV83" si="19">CT62</f>
        <v>0.4</v>
      </c>
      <c r="CW62" s="212">
        <f t="shared" si="16"/>
        <v>0</v>
      </c>
      <c r="CX62" s="212">
        <f t="shared" si="17"/>
        <v>0</v>
      </c>
      <c r="CY62" s="223">
        <f t="shared" si="18"/>
        <v>10513266</v>
      </c>
      <c r="CZ62" s="226">
        <f t="shared" si="5"/>
        <v>-10513266</v>
      </c>
      <c r="DA62" s="212" t="e">
        <f t="shared" si="6"/>
        <v>#DIV/0!</v>
      </c>
      <c r="DD62" s="101" t="s">
        <v>417</v>
      </c>
      <c r="DM62" s="244"/>
    </row>
    <row r="63" spans="1:117" ht="15" customHeight="1" x14ac:dyDescent="0.3">
      <c r="A63" s="399" t="s">
        <v>438</v>
      </c>
      <c r="B63" s="629" t="s">
        <v>345</v>
      </c>
      <c r="C63" s="399" t="s">
        <v>51</v>
      </c>
      <c r="D63" s="415" t="s">
        <v>439</v>
      </c>
      <c r="E63" s="403">
        <v>15003000</v>
      </c>
      <c r="F63" s="403" t="s">
        <v>403</v>
      </c>
      <c r="G63" s="449">
        <v>3002000102</v>
      </c>
      <c r="H63" s="666"/>
      <c r="I63" s="416">
        <v>1614</v>
      </c>
      <c r="J63" s="417"/>
      <c r="K63" s="417"/>
      <c r="L63" s="417" t="s">
        <v>437</v>
      </c>
      <c r="M63" s="417"/>
      <c r="N63" s="417"/>
      <c r="O63" s="418" t="s">
        <v>304</v>
      </c>
      <c r="P63" s="418" t="s">
        <v>17</v>
      </c>
      <c r="Q63" s="399" t="s">
        <v>440</v>
      </c>
      <c r="R63" s="399">
        <v>3020000580</v>
      </c>
      <c r="S63" s="419" t="s">
        <v>65</v>
      </c>
      <c r="T63" s="403"/>
      <c r="U63" s="426"/>
      <c r="V63" s="403"/>
      <c r="W63" s="399"/>
      <c r="X63" s="399"/>
      <c r="Y63" s="399"/>
      <c r="Z63" s="486">
        <v>3432757</v>
      </c>
      <c r="AA63" s="418">
        <v>36</v>
      </c>
      <c r="AB63" s="486">
        <v>251530</v>
      </c>
      <c r="AC63" s="409"/>
      <c r="AD63" s="410"/>
      <c r="AE63" s="399"/>
      <c r="AF63" s="399"/>
      <c r="AG63" s="399"/>
      <c r="AH63" s="399"/>
      <c r="AI63" s="403"/>
      <c r="AJ63" s="403"/>
      <c r="AK63" s="403"/>
      <c r="AL63" s="403"/>
      <c r="AM63" s="420"/>
      <c r="AN63" s="420"/>
      <c r="AO63" s="403"/>
      <c r="AP63" s="403"/>
      <c r="AQ63" s="403"/>
      <c r="AR63" s="403"/>
      <c r="AS63" s="403"/>
      <c r="AT63" s="403"/>
      <c r="AU63" s="399"/>
      <c r="AV63" s="420"/>
      <c r="AW63" s="420"/>
      <c r="AX63" s="420"/>
      <c r="AY63" s="420"/>
      <c r="AZ63" s="420"/>
      <c r="BA63" s="370"/>
      <c r="BB63" s="358"/>
      <c r="BC63" s="597" t="s">
        <v>1505</v>
      </c>
      <c r="BD63" s="597" t="s">
        <v>1696</v>
      </c>
      <c r="BE63" s="375">
        <v>1</v>
      </c>
      <c r="BF63" s="419" t="s">
        <v>315</v>
      </c>
      <c r="BG63" s="370"/>
      <c r="BH63" s="370"/>
      <c r="BI63" s="370"/>
      <c r="BJ63" s="370"/>
      <c r="BK63" s="487"/>
      <c r="BL63" s="488"/>
      <c r="BM63" s="358"/>
      <c r="BN63" s="358"/>
      <c r="BO63" s="370"/>
      <c r="BP63" s="487"/>
      <c r="BQ63" s="487"/>
      <c r="BR63" s="487"/>
      <c r="BS63" s="362">
        <f>SUM(Table14[[#This Row],[Jan-24]:[Dec-24]])</f>
        <v>0</v>
      </c>
      <c r="BT63" s="367">
        <v>0</v>
      </c>
      <c r="BU63" s="360">
        <v>450910</v>
      </c>
      <c r="BV63" s="376">
        <v>417700</v>
      </c>
      <c r="BW63" s="367">
        <v>0</v>
      </c>
      <c r="BX63" s="376">
        <v>76000</v>
      </c>
      <c r="BY63" s="414">
        <v>289400</v>
      </c>
      <c r="BZ63" s="414">
        <v>282000</v>
      </c>
      <c r="CA63" s="414">
        <v>332000</v>
      </c>
      <c r="CB63" s="414">
        <v>0</v>
      </c>
      <c r="CC63" s="414">
        <v>478700</v>
      </c>
      <c r="CD63" s="414">
        <v>105000</v>
      </c>
      <c r="CE63" s="414">
        <v>118700</v>
      </c>
      <c r="CF63" s="362">
        <f>SUM(Table14[[#This Row],[Jan-25]:[Dec-25]])</f>
        <v>2550410</v>
      </c>
      <c r="CG63" s="414">
        <v>274000</v>
      </c>
      <c r="CH63" s="414">
        <v>160000</v>
      </c>
      <c r="CI63" s="414">
        <v>105000</v>
      </c>
      <c r="CJ63" s="414">
        <f>SUM(Table14[[#This Row],[Jan-26]:[Mar-26]])</f>
        <v>539000</v>
      </c>
      <c r="CK63" s="531">
        <f>IFERROR(SUM(Table14[[#This Row],[Oct-25]:[Dec-25]],Table14[[#This Row],[Jan-26]:[Mar-26]])/COUNT(Table14[[#This Row],[Oct-25]:[Dec-25]],Table14[[#This Row],[Jan-26]:[Mar-26]]),0)</f>
        <v>206900</v>
      </c>
      <c r="CL63" s="367"/>
      <c r="CM63" s="414">
        <f>Table14[[#This Row],[YTD 2024]]+Table14[[#This Row],[YTD 2025]]+Table14[[#This Row],[YTD 2026]]</f>
        <v>3089410</v>
      </c>
      <c r="CN63" s="418">
        <v>12</v>
      </c>
      <c r="CO63" s="353">
        <f t="shared" si="14"/>
        <v>257450.83333333334</v>
      </c>
      <c r="CP63" s="353">
        <f>Table14[[#This Row],[Unit Cost]]-Table14[[#This Row],[Margin on Reagent sale]]</f>
        <v>2196993</v>
      </c>
      <c r="CQ63" s="489">
        <f>Table14[[#This Row],[Avg reagent Sales per month Actual]]-Table14[[#This Row],[Per Month Reagent Commitment]]</f>
        <v>5920.833333333343</v>
      </c>
      <c r="CR63" s="373" t="s">
        <v>343</v>
      </c>
      <c r="CS63" s="367">
        <f>Table14[[#This Row],[On Track / (behind) (avg per month)]]/Table14[[#This Row],[Months]]</f>
        <v>493.40277777777857</v>
      </c>
      <c r="CT63" s="368">
        <v>0.4</v>
      </c>
      <c r="CU63" s="367">
        <f>Table14[[#This Row],[Total Reagent Sales till date Actual]]*Table14[[#This Row],[Margin %]]</f>
        <v>1235764</v>
      </c>
      <c r="CV63" s="371">
        <f t="shared" si="19"/>
        <v>0.4</v>
      </c>
      <c r="CW63" s="212">
        <f t="shared" si="16"/>
        <v>7448400</v>
      </c>
      <c r="CX63" s="212">
        <f t="shared" si="17"/>
        <v>2979360</v>
      </c>
      <c r="CY63" s="223">
        <f t="shared" si="18"/>
        <v>3432757</v>
      </c>
      <c r="CZ63" s="226">
        <f t="shared" si="5"/>
        <v>-453397</v>
      </c>
      <c r="DA63" s="212">
        <f t="shared" si="6"/>
        <v>41.478455775737068</v>
      </c>
      <c r="DC63" s="246" t="s">
        <v>641</v>
      </c>
      <c r="DD63" s="101"/>
      <c r="DM63" s="244"/>
    </row>
    <row r="64" spans="1:117" ht="15" customHeight="1" x14ac:dyDescent="0.3">
      <c r="A64" s="399" t="s">
        <v>423</v>
      </c>
      <c r="B64" s="630" t="s">
        <v>297</v>
      </c>
      <c r="C64" s="399" t="s">
        <v>24</v>
      </c>
      <c r="D64" s="415" t="s">
        <v>35</v>
      </c>
      <c r="E64" s="403">
        <v>15002553</v>
      </c>
      <c r="F64" s="403" t="s">
        <v>298</v>
      </c>
      <c r="G64" s="449"/>
      <c r="H64" s="666"/>
      <c r="I64" s="416" t="s">
        <v>642</v>
      </c>
      <c r="J64" s="417"/>
      <c r="K64" s="417"/>
      <c r="L64" s="417" t="s">
        <v>491</v>
      </c>
      <c r="M64" s="417" t="s">
        <v>303</v>
      </c>
      <c r="N64" s="417"/>
      <c r="O64" s="418" t="s">
        <v>304</v>
      </c>
      <c r="P64" s="418" t="s">
        <v>16</v>
      </c>
      <c r="Q64" s="399" t="s">
        <v>643</v>
      </c>
      <c r="R64" s="399">
        <v>3020000605</v>
      </c>
      <c r="S64" s="419" t="s">
        <v>90</v>
      </c>
      <c r="T64" s="403" t="s">
        <v>299</v>
      </c>
      <c r="U64" s="403" t="s">
        <v>644</v>
      </c>
      <c r="V64" s="403" t="s">
        <v>645</v>
      </c>
      <c r="W64" s="350" t="s">
        <v>646</v>
      </c>
      <c r="X64" s="399"/>
      <c r="Y64" s="399" t="s">
        <v>647</v>
      </c>
      <c r="Z64" s="486">
        <v>2565000</v>
      </c>
      <c r="AA64" s="418">
        <v>29</v>
      </c>
      <c r="AB64" s="486">
        <v>154595</v>
      </c>
      <c r="AC64" s="409"/>
      <c r="AD64" s="410"/>
      <c r="AE64" s="399"/>
      <c r="AF64" s="399"/>
      <c r="AG64" s="399"/>
      <c r="AH64" s="399"/>
      <c r="AI64" s="403"/>
      <c r="AJ64" s="403"/>
      <c r="AK64" s="403"/>
      <c r="AL64" s="403"/>
      <c r="AM64" s="420"/>
      <c r="AN64" s="420"/>
      <c r="AO64" s="403"/>
      <c r="AP64" s="403"/>
      <c r="AQ64" s="403"/>
      <c r="AR64" s="403"/>
      <c r="AS64" s="403"/>
      <c r="AT64" s="403"/>
      <c r="AU64" s="399"/>
      <c r="AV64" s="420"/>
      <c r="AW64" s="420"/>
      <c r="AX64" s="420"/>
      <c r="AY64" s="420"/>
      <c r="AZ64" s="420"/>
      <c r="BA64" s="370"/>
      <c r="BB64" s="358"/>
      <c r="BC64" s="435" t="s">
        <v>1526</v>
      </c>
      <c r="BD64" s="435" t="s">
        <v>1640</v>
      </c>
      <c r="BE64" s="375">
        <v>1</v>
      </c>
      <c r="BF64" s="419" t="s">
        <v>315</v>
      </c>
      <c r="BG64" s="370"/>
      <c r="BH64" s="370"/>
      <c r="BI64" s="370"/>
      <c r="BJ64" s="370"/>
      <c r="BK64" s="487"/>
      <c r="BL64" s="488"/>
      <c r="BM64" s="358"/>
      <c r="BN64" s="358"/>
      <c r="BO64" s="370"/>
      <c r="BP64" s="487"/>
      <c r="BQ64" s="487"/>
      <c r="BR64" s="487"/>
      <c r="BS64" s="362">
        <f>SUM(Table14[[#This Row],[Jan-24]:[Dec-24]])</f>
        <v>0</v>
      </c>
      <c r="BT64" s="360"/>
      <c r="BU64" s="360"/>
      <c r="BV64" s="376"/>
      <c r="BW64" s="421">
        <v>505400</v>
      </c>
      <c r="BX64" s="421">
        <v>0</v>
      </c>
      <c r="BY64" s="414">
        <v>98900</v>
      </c>
      <c r="BZ64" s="414">
        <v>48800</v>
      </c>
      <c r="CA64" s="414">
        <v>0</v>
      </c>
      <c r="CB64" s="414">
        <v>-91200</v>
      </c>
      <c r="CC64" s="414"/>
      <c r="CD64" s="414"/>
      <c r="CE64" s="414">
        <v>97600</v>
      </c>
      <c r="CF64" s="362">
        <f>SUM(Table14[[#This Row],[Jan-25]:[Dec-25]])</f>
        <v>659500</v>
      </c>
      <c r="CG64" s="414">
        <v>0</v>
      </c>
      <c r="CH64" s="414">
        <v>0</v>
      </c>
      <c r="CI64" s="414">
        <v>212900</v>
      </c>
      <c r="CJ64" s="414">
        <f>SUM(Table14[[#This Row],[Jan-26]:[Mar-26]])</f>
        <v>212900</v>
      </c>
      <c r="CK64" s="531">
        <f>IFERROR(SUM(Table14[[#This Row],[Oct-25]:[Dec-25]],Table14[[#This Row],[Jan-26]:[Mar-26]])/COUNT(Table14[[#This Row],[Oct-25]:[Dec-25]],Table14[[#This Row],[Jan-26]:[Mar-26]]),0)</f>
        <v>77625</v>
      </c>
      <c r="CL64" s="367"/>
      <c r="CM64" s="414">
        <f>Table14[[#This Row],[YTD 2024]]+Table14[[#This Row],[YTD 2025]]+Table14[[#This Row],[YTD 2026]]</f>
        <v>872400</v>
      </c>
      <c r="CN64" s="418">
        <v>8</v>
      </c>
      <c r="CO64" s="353">
        <f t="shared" si="14"/>
        <v>109050</v>
      </c>
      <c r="CP64" s="353">
        <f>Table14[[#This Row],[Unit Cost]]-Table14[[#This Row],[Margin on Reagent sale]]</f>
        <v>2216040</v>
      </c>
      <c r="CQ64" s="489">
        <f>Table14[[#This Row],[Avg reagent Sales per month Actual]]-Table14[[#This Row],[Per Month Reagent Commitment]]</f>
        <v>-45545</v>
      </c>
      <c r="CR64" s="403" t="s">
        <v>648</v>
      </c>
      <c r="CS64" s="367">
        <f>Table14[[#This Row],[On Track / (behind) (avg per month)]]/Table14[[#This Row],[Months]]</f>
        <v>-5693.125</v>
      </c>
      <c r="CT64" s="368">
        <v>0.4</v>
      </c>
      <c r="CU64" s="367">
        <f>Table14[[#This Row],[Total Reagent Sales till date Actual]]*Table14[[#This Row],[Margin %]]</f>
        <v>348960</v>
      </c>
      <c r="CV64" s="371">
        <f t="shared" si="19"/>
        <v>0.4</v>
      </c>
      <c r="CW64" s="212">
        <f t="shared" si="16"/>
        <v>2794500</v>
      </c>
      <c r="CX64" s="212">
        <f t="shared" si="17"/>
        <v>1117800</v>
      </c>
      <c r="CY64" s="223">
        <f t="shared" si="18"/>
        <v>2565000</v>
      </c>
      <c r="CZ64" s="226">
        <f t="shared" si="5"/>
        <v>-1447200</v>
      </c>
      <c r="DA64" s="212">
        <f t="shared" si="6"/>
        <v>82.608695652173907</v>
      </c>
      <c r="DM64" s="244"/>
    </row>
    <row r="65" spans="1:117" ht="15" customHeight="1" x14ac:dyDescent="0.3">
      <c r="A65" s="401" t="s">
        <v>344</v>
      </c>
      <c r="B65" s="629" t="s">
        <v>345</v>
      </c>
      <c r="C65" s="399" t="s">
        <v>25</v>
      </c>
      <c r="D65" s="415" t="s">
        <v>38</v>
      </c>
      <c r="E65" s="403">
        <v>15002674</v>
      </c>
      <c r="F65" s="403" t="s">
        <v>649</v>
      </c>
      <c r="G65" s="449">
        <v>3002000103</v>
      </c>
      <c r="H65" s="666"/>
      <c r="I65" s="427" t="s">
        <v>650</v>
      </c>
      <c r="J65" s="417"/>
      <c r="K65" s="417"/>
      <c r="L65" s="417" t="s">
        <v>437</v>
      </c>
      <c r="M65" s="417"/>
      <c r="N65" s="417"/>
      <c r="O65" s="418" t="s">
        <v>304</v>
      </c>
      <c r="P65" s="418" t="s">
        <v>16</v>
      </c>
      <c r="Q65" s="399" t="s">
        <v>651</v>
      </c>
      <c r="R65" s="399">
        <v>3020000633</v>
      </c>
      <c r="S65" s="419" t="s">
        <v>131</v>
      </c>
      <c r="T65" s="403" t="s">
        <v>575</v>
      </c>
      <c r="U65" s="403" t="s">
        <v>652</v>
      </c>
      <c r="V65" s="403" t="s">
        <v>653</v>
      </c>
      <c r="W65" s="399" t="s">
        <v>299</v>
      </c>
      <c r="X65" s="399" t="s">
        <v>431</v>
      </c>
      <c r="Y65" s="399"/>
      <c r="Z65" s="486">
        <v>1170000</v>
      </c>
      <c r="AA65" s="418">
        <v>7</v>
      </c>
      <c r="AB65" s="486">
        <v>358020</v>
      </c>
      <c r="AC65" s="409"/>
      <c r="AD65" s="410"/>
      <c r="AE65" s="399"/>
      <c r="AF65" s="399"/>
      <c r="AG65" s="399"/>
      <c r="AH65" s="399"/>
      <c r="AI65" s="403"/>
      <c r="AJ65" s="403"/>
      <c r="AK65" s="403"/>
      <c r="AL65" s="403"/>
      <c r="AM65" s="420"/>
      <c r="AN65" s="420"/>
      <c r="AO65" s="403"/>
      <c r="AP65" s="403"/>
      <c r="AQ65" s="403"/>
      <c r="AR65" s="403"/>
      <c r="AS65" s="403"/>
      <c r="AT65" s="403"/>
      <c r="AU65" s="399"/>
      <c r="AV65" s="420"/>
      <c r="AW65" s="420"/>
      <c r="AX65" s="420"/>
      <c r="AY65" s="420"/>
      <c r="AZ65" s="420"/>
      <c r="BA65" s="370"/>
      <c r="BB65" s="358"/>
      <c r="BC65" s="597" t="s">
        <v>1536</v>
      </c>
      <c r="BD65" s="597" t="s">
        <v>1675</v>
      </c>
      <c r="BE65" s="375">
        <v>1</v>
      </c>
      <c r="BF65" s="419" t="s">
        <v>315</v>
      </c>
      <c r="BG65" s="370"/>
      <c r="BH65" s="370">
        <v>2164333.5</v>
      </c>
      <c r="BI65" s="370"/>
      <c r="BJ65" s="370"/>
      <c r="BK65" s="487"/>
      <c r="BL65" s="488"/>
      <c r="BM65" s="358">
        <v>88378.040000000008</v>
      </c>
      <c r="BN65" s="358"/>
      <c r="BO65" s="370"/>
      <c r="BP65" s="487">
        <v>1874000</v>
      </c>
      <c r="BQ65" s="487"/>
      <c r="BR65" s="487"/>
      <c r="BS65" s="362">
        <f>SUM(Table14[[#This Row],[Jan-24]:[Dec-24]])</f>
        <v>4126711.54</v>
      </c>
      <c r="BT65" s="360"/>
      <c r="BU65" s="360"/>
      <c r="BV65" s="376">
        <v>1382075</v>
      </c>
      <c r="BW65" s="376"/>
      <c r="BX65" s="376">
        <v>0</v>
      </c>
      <c r="BY65" s="376">
        <v>0</v>
      </c>
      <c r="BZ65" s="376">
        <v>1382075</v>
      </c>
      <c r="CA65" s="376">
        <v>0</v>
      </c>
      <c r="CB65" s="376">
        <v>1966982.8</v>
      </c>
      <c r="CC65" s="376"/>
      <c r="CD65" s="376"/>
      <c r="CE65" s="376"/>
      <c r="CF65" s="362">
        <f>SUM(Table14[[#This Row],[Jan-25]:[Dec-25]])</f>
        <v>4731132.8</v>
      </c>
      <c r="CG65" s="376">
        <v>0</v>
      </c>
      <c r="CH65" s="376">
        <v>1229364.25</v>
      </c>
      <c r="CI65" s="376">
        <v>0</v>
      </c>
      <c r="CJ65" s="414">
        <f>SUM(Table14[[#This Row],[Jan-26]:[Mar-26]])</f>
        <v>1229364.25</v>
      </c>
      <c r="CK65" s="531">
        <f>IFERROR(SUM(Table14[[#This Row],[Oct-25]:[Dec-25]],Table14[[#This Row],[Jan-26]:[Mar-26]])/COUNT(Table14[[#This Row],[Oct-25]:[Dec-25]],Table14[[#This Row],[Jan-26]:[Mar-26]]),0)</f>
        <v>409788.08333333331</v>
      </c>
      <c r="CL65" s="367" t="s">
        <v>654</v>
      </c>
      <c r="CM65" s="414">
        <f>Table14[[#This Row],[YTD 2024]]+Table14[[#This Row],[YTD 2025]]+Table14[[#This Row],[YTD 2026]]</f>
        <v>10087208.59</v>
      </c>
      <c r="CN65" s="418">
        <v>37</v>
      </c>
      <c r="CO65" s="353">
        <f t="shared" si="14"/>
        <v>272627.25918918918</v>
      </c>
      <c r="CP65" s="353">
        <f>Table14[[#This Row],[Unit Cost]]-Table14[[#This Row],[Margin on Reagent sale]]</f>
        <v>-2864883.4360000002</v>
      </c>
      <c r="CQ65" s="489">
        <f>Table14[[#This Row],[Avg reagent Sales per month Actual]]-Table14[[#This Row],[Per Month Reagent Commitment]]</f>
        <v>-85392.740810810821</v>
      </c>
      <c r="CR65" s="373"/>
      <c r="CS65" s="367">
        <f>Table14[[#This Row],[On Track / (behind) (avg per month)]]/Table14[[#This Row],[Months]]</f>
        <v>-2307.9119138056981</v>
      </c>
      <c r="CT65" s="368">
        <v>0.4</v>
      </c>
      <c r="CU65" s="367">
        <f>Table14[[#This Row],[Total Reagent Sales till date Actual]]*Table14[[#This Row],[Margin %]]</f>
        <v>4034883.4360000002</v>
      </c>
      <c r="CV65" s="371">
        <f t="shared" si="19"/>
        <v>0.4</v>
      </c>
      <c r="CW65" s="212">
        <f t="shared" si="16"/>
        <v>14752371</v>
      </c>
      <c r="CX65" s="212">
        <f t="shared" si="17"/>
        <v>5900948.4000000004</v>
      </c>
      <c r="CY65" s="223">
        <f t="shared" si="18"/>
        <v>1170000</v>
      </c>
      <c r="CZ65" s="226">
        <f t="shared" si="5"/>
        <v>4730948.4000000004</v>
      </c>
      <c r="DA65" s="212">
        <f t="shared" si="6"/>
        <v>7.1378356740079267</v>
      </c>
      <c r="DM65" s="244"/>
    </row>
    <row r="66" spans="1:117" ht="15" customHeight="1" x14ac:dyDescent="0.3">
      <c r="A66" s="399" t="s">
        <v>423</v>
      </c>
      <c r="B66" s="629" t="s">
        <v>297</v>
      </c>
      <c r="C66" s="399" t="s">
        <v>49</v>
      </c>
      <c r="D66" s="415" t="s">
        <v>30</v>
      </c>
      <c r="E66" s="403">
        <v>15002463</v>
      </c>
      <c r="F66" s="403" t="s">
        <v>317</v>
      </c>
      <c r="G66" s="449">
        <v>3002000018</v>
      </c>
      <c r="H66" s="409" t="s">
        <v>299</v>
      </c>
      <c r="I66" s="416" t="s">
        <v>655</v>
      </c>
      <c r="J66" s="417" t="s">
        <v>656</v>
      </c>
      <c r="K66" s="417" t="s">
        <v>657</v>
      </c>
      <c r="L66" s="417" t="s">
        <v>658</v>
      </c>
      <c r="M66" s="417" t="s">
        <v>303</v>
      </c>
      <c r="N66" s="417"/>
      <c r="O66" s="416" t="s">
        <v>304</v>
      </c>
      <c r="P66" s="418" t="s">
        <v>16</v>
      </c>
      <c r="Q66" s="399" t="s">
        <v>651</v>
      </c>
      <c r="R66" s="399">
        <v>3020000633</v>
      </c>
      <c r="S66" s="419" t="s">
        <v>131</v>
      </c>
      <c r="T66" s="403" t="s">
        <v>575</v>
      </c>
      <c r="U66" s="403" t="s">
        <v>652</v>
      </c>
      <c r="V66" s="403" t="s">
        <v>653</v>
      </c>
      <c r="W66" s="350" t="s">
        <v>299</v>
      </c>
      <c r="X66" s="399" t="s">
        <v>431</v>
      </c>
      <c r="Y66" s="399"/>
      <c r="Z66" s="353">
        <v>4500000</v>
      </c>
      <c r="AA66" s="366">
        <v>11</v>
      </c>
      <c r="AB66" s="353">
        <v>1237668</v>
      </c>
      <c r="AC66" s="423" t="s">
        <v>659</v>
      </c>
      <c r="AD66" s="424" t="s">
        <v>660</v>
      </c>
      <c r="AE66" s="424" t="s">
        <v>661</v>
      </c>
      <c r="AF66" s="424" t="s">
        <v>661</v>
      </c>
      <c r="AG66" s="424" t="s">
        <v>662</v>
      </c>
      <c r="AH66" s="424" t="s">
        <v>663</v>
      </c>
      <c r="AI66" s="409" t="s">
        <v>664</v>
      </c>
      <c r="AJ66" s="409" t="s">
        <v>665</v>
      </c>
      <c r="AK66" s="409" t="s">
        <v>666</v>
      </c>
      <c r="AL66" s="409" t="s">
        <v>667</v>
      </c>
      <c r="AM66" s="425"/>
      <c r="AN66" s="425"/>
      <c r="AO66" s="409"/>
      <c r="AP66" s="409"/>
      <c r="AQ66" s="409"/>
      <c r="AR66" s="409"/>
      <c r="AS66" s="409" t="s">
        <v>668</v>
      </c>
      <c r="AT66" s="409"/>
      <c r="AU66" s="409" t="s">
        <v>669</v>
      </c>
      <c r="AV66" s="409"/>
      <c r="AW66" s="409" t="s">
        <v>670</v>
      </c>
      <c r="AX66" s="409"/>
      <c r="AY66" s="409"/>
      <c r="AZ66" s="409"/>
      <c r="BA66" s="409"/>
      <c r="BB66" s="409"/>
      <c r="BC66" s="598" t="s">
        <v>1505</v>
      </c>
      <c r="BD66" s="598" t="s">
        <v>1683</v>
      </c>
      <c r="BE66" s="424">
        <v>1</v>
      </c>
      <c r="BF66" s="419" t="s">
        <v>315</v>
      </c>
      <c r="BG66" s="363">
        <v>0</v>
      </c>
      <c r="BH66" s="363">
        <v>5613694.8999999994</v>
      </c>
      <c r="BI66" s="363">
        <v>0</v>
      </c>
      <c r="BJ66" s="363">
        <v>0</v>
      </c>
      <c r="BK66" s="363">
        <v>0</v>
      </c>
      <c r="BL66" s="363">
        <v>0</v>
      </c>
      <c r="BM66" s="363">
        <v>25423.73</v>
      </c>
      <c r="BN66" s="363">
        <v>0</v>
      </c>
      <c r="BO66" s="363">
        <v>0</v>
      </c>
      <c r="BP66" s="363">
        <v>269359.42</v>
      </c>
      <c r="BQ66" s="363">
        <v>1626042.64</v>
      </c>
      <c r="BR66" s="363">
        <v>865180.92999999993</v>
      </c>
      <c r="BS66" s="362">
        <f>SUM(Table14[[#This Row],[Jan-24]:[Dec-24]])</f>
        <v>8399701.6199999992</v>
      </c>
      <c r="BT66" s="362">
        <v>0</v>
      </c>
      <c r="BU66" s="362">
        <v>0</v>
      </c>
      <c r="BV66" s="362">
        <v>-135593</v>
      </c>
      <c r="BW66" s="421">
        <v>2032892</v>
      </c>
      <c r="BX66" s="421">
        <v>0</v>
      </c>
      <c r="BY66" s="421"/>
      <c r="BZ66" s="421">
        <v>42553</v>
      </c>
      <c r="CA66" s="421">
        <v>0</v>
      </c>
      <c r="CB66" s="421">
        <v>343605.15</v>
      </c>
      <c r="CC66" s="421"/>
      <c r="CD66" s="421">
        <v>3825383</v>
      </c>
      <c r="CE66" s="421"/>
      <c r="CF66" s="362">
        <f>SUM(Table14[[#This Row],[Jan-25]:[Dec-25]])</f>
        <v>6108840.1500000004</v>
      </c>
      <c r="CG66" s="421">
        <v>2118492.66</v>
      </c>
      <c r="CH66" s="421">
        <v>0</v>
      </c>
      <c r="CI66" s="421">
        <v>0</v>
      </c>
      <c r="CJ66" s="414">
        <f>SUM(Table14[[#This Row],[Jan-26]:[Mar-26]])</f>
        <v>2118492.66</v>
      </c>
      <c r="CK66" s="531">
        <f>IFERROR(SUM(Table14[[#This Row],[Oct-25]:[Dec-25]],Table14[[#This Row],[Jan-26]:[Mar-26]])/COUNT(Table14[[#This Row],[Oct-25]:[Dec-25]],Table14[[#This Row],[Jan-26]:[Mar-26]]),0)</f>
        <v>1485968.915</v>
      </c>
      <c r="CL66" s="363"/>
      <c r="CM66" s="414">
        <f>Table14[[#This Row],[YTD 2024]]+Table14[[#This Row],[YTD 2025]]+Table14[[#This Row],[YTD 2026]]</f>
        <v>16627034.43</v>
      </c>
      <c r="CN66" s="366">
        <v>36</v>
      </c>
      <c r="CO66" s="353">
        <f t="shared" si="14"/>
        <v>461862.0675</v>
      </c>
      <c r="CP66" s="353">
        <f>Table14[[#This Row],[Unit Cost]]-Table14[[#This Row],[Margin on Reagent sale]]</f>
        <v>-2982165.4934999999</v>
      </c>
      <c r="CQ66" s="372">
        <f>Table14[[#This Row],[Avg reagent Sales per month Actual]]-Table14[[#This Row],[Per Month Reagent Commitment]]</f>
        <v>-775805.9325</v>
      </c>
      <c r="CR66" s="403" t="s">
        <v>640</v>
      </c>
      <c r="CS66" s="367">
        <f>Table14[[#This Row],[On Track / (behind) (avg per month)]]/Table14[[#This Row],[Months]]</f>
        <v>-21550.164791666666</v>
      </c>
      <c r="CT66" s="368">
        <v>0.45</v>
      </c>
      <c r="CU66" s="367">
        <f>Table14[[#This Row],[Total Reagent Sales till date Actual]]*Table14[[#This Row],[Margin %]]</f>
        <v>7482165.4934999999</v>
      </c>
      <c r="CV66" s="400">
        <f t="shared" si="19"/>
        <v>0.45</v>
      </c>
      <c r="CW66" s="227">
        <f>SUM(CW8:CW65)</f>
        <v>726862999.9000001</v>
      </c>
      <c r="CX66" s="227">
        <f>SUM(CX8:CX65)</f>
        <v>183637407.912</v>
      </c>
      <c r="CY66" s="227">
        <f>SUM(CY8:CY65)</f>
        <v>202137083.83333334</v>
      </c>
      <c r="CZ66" s="227">
        <f>SUM(CZ8:CZ65)</f>
        <v>-18499675.921333335</v>
      </c>
      <c r="DA66" s="212">
        <f t="shared" si="6"/>
        <v>39.626648517534868</v>
      </c>
      <c r="DM66" s="244"/>
    </row>
    <row r="67" spans="1:117" ht="15" customHeight="1" x14ac:dyDescent="0.3">
      <c r="A67" s="399" t="s">
        <v>671</v>
      </c>
      <c r="B67" s="630" t="s">
        <v>297</v>
      </c>
      <c r="C67" s="399" t="s">
        <v>49</v>
      </c>
      <c r="D67" s="415" t="s">
        <v>30</v>
      </c>
      <c r="E67" s="403">
        <v>15002463</v>
      </c>
      <c r="F67" s="403" t="s">
        <v>317</v>
      </c>
      <c r="G67" s="449"/>
      <c r="H67" s="666"/>
      <c r="I67" s="416"/>
      <c r="J67" s="417"/>
      <c r="K67" s="417"/>
      <c r="L67" s="417" t="s">
        <v>672</v>
      </c>
      <c r="M67" s="417"/>
      <c r="N67" s="417"/>
      <c r="O67" s="418" t="s">
        <v>400</v>
      </c>
      <c r="P67" s="418" t="s">
        <v>16</v>
      </c>
      <c r="Q67" s="403" t="s">
        <v>651</v>
      </c>
      <c r="R67" s="399">
        <v>3020000633</v>
      </c>
      <c r="S67" s="419" t="s">
        <v>138</v>
      </c>
      <c r="T67" s="403" t="s">
        <v>575</v>
      </c>
      <c r="U67" s="403" t="s">
        <v>652</v>
      </c>
      <c r="V67" s="403" t="s">
        <v>653</v>
      </c>
      <c r="W67" s="350" t="s">
        <v>299</v>
      </c>
      <c r="X67" s="399" t="s">
        <v>431</v>
      </c>
      <c r="Y67" s="399"/>
      <c r="Z67" s="486">
        <v>7633423</v>
      </c>
      <c r="AA67" s="418">
        <v>38</v>
      </c>
      <c r="AB67" s="486">
        <v>2084692</v>
      </c>
      <c r="AC67" s="409"/>
      <c r="AD67" s="410"/>
      <c r="AE67" s="399"/>
      <c r="AF67" s="399"/>
      <c r="AG67" s="399"/>
      <c r="AH67" s="399"/>
      <c r="AI67" s="403"/>
      <c r="AJ67" s="403"/>
      <c r="AK67" s="403"/>
      <c r="AL67" s="403"/>
      <c r="AM67" s="420"/>
      <c r="AN67" s="420"/>
      <c r="AO67" s="403"/>
      <c r="AP67" s="403"/>
      <c r="AQ67" s="403"/>
      <c r="AR67" s="403"/>
      <c r="AS67" s="403"/>
      <c r="AT67" s="403"/>
      <c r="AU67" s="399"/>
      <c r="AV67" s="420"/>
      <c r="AW67" s="420"/>
      <c r="AX67" s="420"/>
      <c r="AY67" s="420"/>
      <c r="AZ67" s="420"/>
      <c r="BA67" s="370"/>
      <c r="BB67" s="358"/>
      <c r="BC67" s="598" t="s">
        <v>1496</v>
      </c>
      <c r="BD67" s="598" t="s">
        <v>1683</v>
      </c>
      <c r="BE67" s="358"/>
      <c r="BF67" s="358" t="s">
        <v>315</v>
      </c>
      <c r="BG67" s="370"/>
      <c r="BH67" s="370"/>
      <c r="BI67" s="370"/>
      <c r="BJ67" s="370"/>
      <c r="BK67" s="487"/>
      <c r="BL67" s="488"/>
      <c r="BM67" s="358"/>
      <c r="BN67" s="358"/>
      <c r="BO67" s="370"/>
      <c r="BP67" s="487"/>
      <c r="BQ67" s="487"/>
      <c r="BR67" s="487"/>
      <c r="BS67" s="362">
        <f>SUM(Table14[[#This Row],[Jan-24]:[Dec-24]])</f>
        <v>0</v>
      </c>
      <c r="BT67" s="360"/>
      <c r="BU67" s="360"/>
      <c r="BV67" s="376"/>
      <c r="BW67" s="376"/>
      <c r="BX67" s="376"/>
      <c r="BY67" s="376"/>
      <c r="BZ67" s="376"/>
      <c r="CA67" s="376"/>
      <c r="CB67" s="376"/>
      <c r="CC67" s="376"/>
      <c r="CD67" s="370"/>
      <c r="CE67" s="370"/>
      <c r="CF67" s="362">
        <f>SUM(Table14[[#This Row],[Jan-25]:[Dec-25]])</f>
        <v>0</v>
      </c>
      <c r="CG67" s="370">
        <v>0</v>
      </c>
      <c r="CH67" s="370">
        <v>0</v>
      </c>
      <c r="CI67" s="370">
        <v>0</v>
      </c>
      <c r="CJ67" s="414">
        <f>SUM(Table14[[#This Row],[Jan-26]:[Mar-26]])</f>
        <v>0</v>
      </c>
      <c r="CK67" s="531">
        <f>IFERROR(SUM(Table14[[#This Row],[Oct-25]:[Dec-25]],Table14[[#This Row],[Jan-26]:[Mar-26]])/COUNT(Table14[[#This Row],[Oct-25]:[Dec-25]],Table14[[#This Row],[Jan-26]:[Mar-26]]),0)</f>
        <v>0</v>
      </c>
      <c r="CL67" s="367"/>
      <c r="CM67" s="414">
        <f>Table14[[#This Row],[YTD 2024]]+Table14[[#This Row],[YTD 2025]]+Table14[[#This Row],[YTD 2026]]</f>
        <v>0</v>
      </c>
      <c r="CN67" s="418"/>
      <c r="CO67" s="486" t="e">
        <f t="shared" si="14"/>
        <v>#DIV/0!</v>
      </c>
      <c r="CP67" s="490"/>
      <c r="CQ67" s="489" t="e">
        <f>Table14[[#This Row],[Avg reagent Sales per month Actual]]-Table14[[#This Row],[Per Month Reagent Commitment]]</f>
        <v>#DIV/0!</v>
      </c>
      <c r="CR67" s="373"/>
      <c r="CS67" s="367" t="e">
        <f>Table14[[#This Row],[On Track / (behind) (avg per month)]]/Table14[[#This Row],[Months]]</f>
        <v>#DIV/0!</v>
      </c>
      <c r="CT67" s="491"/>
      <c r="CU67" s="367">
        <f>Table14[[#This Row],[Total Reagent Sales till date Actual]]*Table14[[#This Row],[Margin %]]</f>
        <v>0</v>
      </c>
      <c r="CV67" s="371">
        <f t="shared" si="19"/>
        <v>0</v>
      </c>
      <c r="DM67" s="244"/>
    </row>
    <row r="68" spans="1:117" ht="15" customHeight="1" x14ac:dyDescent="0.3">
      <c r="A68" s="401" t="s">
        <v>344</v>
      </c>
      <c r="B68" s="631" t="s">
        <v>345</v>
      </c>
      <c r="C68" s="401" t="s">
        <v>21</v>
      </c>
      <c r="D68" s="415" t="s">
        <v>475</v>
      </c>
      <c r="E68" s="403">
        <v>15002760</v>
      </c>
      <c r="F68" s="401" t="s">
        <v>298</v>
      </c>
      <c r="G68" s="682" t="s">
        <v>1630</v>
      </c>
      <c r="H68" s="666"/>
      <c r="I68" s="454">
        <v>30006408</v>
      </c>
      <c r="J68" s="417"/>
      <c r="K68" s="417"/>
      <c r="L68" s="417" t="s">
        <v>509</v>
      </c>
      <c r="M68" s="417"/>
      <c r="N68" s="444" t="s">
        <v>673</v>
      </c>
      <c r="O68" s="418" t="s">
        <v>304</v>
      </c>
      <c r="P68" s="418" t="s">
        <v>16</v>
      </c>
      <c r="Q68" s="399" t="s">
        <v>674</v>
      </c>
      <c r="R68" s="399">
        <v>3020000645</v>
      </c>
      <c r="S68" s="419" t="s">
        <v>98</v>
      </c>
      <c r="T68" s="403"/>
      <c r="U68" s="426" t="s">
        <v>675</v>
      </c>
      <c r="V68" s="403" t="s">
        <v>676</v>
      </c>
      <c r="W68" s="350" t="s">
        <v>677</v>
      </c>
      <c r="X68" s="399" t="s">
        <v>678</v>
      </c>
      <c r="Y68" s="399"/>
      <c r="Z68" s="486">
        <v>14396400</v>
      </c>
      <c r="AA68" s="418">
        <v>36</v>
      </c>
      <c r="AB68" s="486">
        <v>984486</v>
      </c>
      <c r="AC68" s="409"/>
      <c r="AD68" s="410"/>
      <c r="AE68" s="399"/>
      <c r="AF68" s="399"/>
      <c r="AG68" s="399"/>
      <c r="AH68" s="399"/>
      <c r="AI68" s="403"/>
      <c r="AJ68" s="403"/>
      <c r="AK68" s="403"/>
      <c r="AL68" s="403"/>
      <c r="AM68" s="420"/>
      <c r="AN68" s="420"/>
      <c r="AO68" s="403"/>
      <c r="AP68" s="403"/>
      <c r="AQ68" s="403"/>
      <c r="AR68" s="403"/>
      <c r="AS68" s="403"/>
      <c r="AT68" s="403"/>
      <c r="AU68" s="399"/>
      <c r="AV68" s="420"/>
      <c r="AW68" s="420"/>
      <c r="AX68" s="420"/>
      <c r="AY68" s="420"/>
      <c r="AZ68" s="420"/>
      <c r="BA68" s="370"/>
      <c r="BB68" s="358"/>
      <c r="BC68" s="597" t="s">
        <v>1531</v>
      </c>
      <c r="BD68" s="555" t="s">
        <v>1679</v>
      </c>
      <c r="BE68" s="375">
        <v>1</v>
      </c>
      <c r="BF68" s="419" t="s">
        <v>635</v>
      </c>
      <c r="BG68" s="370"/>
      <c r="BH68" s="370"/>
      <c r="BI68" s="370"/>
      <c r="BJ68" s="370"/>
      <c r="BK68" s="487"/>
      <c r="BL68" s="488"/>
      <c r="BM68" s="358"/>
      <c r="BN68" s="358"/>
      <c r="BO68" s="370"/>
      <c r="BP68" s="487"/>
      <c r="BQ68" s="487"/>
      <c r="BR68" s="487"/>
      <c r="BS68" s="362">
        <f>SUM(Table14[[#This Row],[Jan-24]:[Dec-24]])</f>
        <v>0</v>
      </c>
      <c r="BT68" s="360"/>
      <c r="BU68" s="360"/>
      <c r="BV68" s="376"/>
      <c r="BW68" s="376"/>
      <c r="BX68" s="414"/>
      <c r="BY68" s="414">
        <v>868405</v>
      </c>
      <c r="BZ68" s="414">
        <v>817823</v>
      </c>
      <c r="CA68" s="414">
        <v>0</v>
      </c>
      <c r="CB68" s="414">
        <v>0</v>
      </c>
      <c r="CC68" s="414">
        <v>0</v>
      </c>
      <c r="CD68" s="414"/>
      <c r="CE68" s="414"/>
      <c r="CF68" s="362">
        <f>SUM(Table14[[#This Row],[Jan-25]:[Dec-25]])</f>
        <v>1686228</v>
      </c>
      <c r="CG68" s="414">
        <v>0</v>
      </c>
      <c r="CH68" s="414">
        <v>0</v>
      </c>
      <c r="CI68" s="414">
        <v>0</v>
      </c>
      <c r="CJ68" s="414">
        <f>SUM(Table14[[#This Row],[Jan-26]:[Mar-26]])</f>
        <v>0</v>
      </c>
      <c r="CK68" s="531">
        <f>IFERROR(SUM(Table14[[#This Row],[Oct-25]:[Dec-25]],Table14[[#This Row],[Jan-26]:[Mar-26]])/COUNT(Table14[[#This Row],[Oct-25]:[Dec-25]],Table14[[#This Row],[Jan-26]:[Mar-26]]),0)</f>
        <v>0</v>
      </c>
      <c r="CL68" s="367"/>
      <c r="CM68" s="414">
        <f>Table14[[#This Row],[YTD 2024]]+Table14[[#This Row],[YTD 2025]]+Table14[[#This Row],[YTD 2026]]</f>
        <v>1686228</v>
      </c>
      <c r="CN68" s="418">
        <v>5</v>
      </c>
      <c r="CO68" s="353">
        <f t="shared" si="14"/>
        <v>337245.6</v>
      </c>
      <c r="CP68" s="353">
        <f>Table14[[#This Row],[Unit Cost]]-Table14[[#This Row],[Margin on Reagent sale]]</f>
        <v>13721908.800000001</v>
      </c>
      <c r="CQ68" s="489">
        <v>-302952</v>
      </c>
      <c r="CR68" s="403" t="s">
        <v>343</v>
      </c>
      <c r="CS68" s="367">
        <f>Table14[[#This Row],[On Track / (behind) (avg per month)]]/Table14[[#This Row],[Months]]</f>
        <v>-60590.400000000001</v>
      </c>
      <c r="CT68" s="368">
        <v>0.4</v>
      </c>
      <c r="CU68" s="367">
        <f>Table14[[#This Row],[Total Reagent Sales till date Actual]]*Table14[[#This Row],[Margin %]]</f>
        <v>674491.20000000007</v>
      </c>
      <c r="CV68" s="371">
        <f t="shared" si="19"/>
        <v>0.4</v>
      </c>
      <c r="DM68" s="244"/>
    </row>
    <row r="69" spans="1:117" ht="15" customHeight="1" x14ac:dyDescent="0.3">
      <c r="A69" s="399" t="s">
        <v>511</v>
      </c>
      <c r="B69" s="629" t="s">
        <v>345</v>
      </c>
      <c r="C69" s="399" t="s">
        <v>53</v>
      </c>
      <c r="D69" s="415" t="s">
        <v>679</v>
      </c>
      <c r="E69" s="403">
        <v>15003367</v>
      </c>
      <c r="F69" s="403" t="s">
        <v>508</v>
      </c>
      <c r="G69" s="449"/>
      <c r="H69" s="666"/>
      <c r="I69" s="457">
        <v>324100000639</v>
      </c>
      <c r="J69" s="417"/>
      <c r="K69" s="417"/>
      <c r="L69" s="417" t="s">
        <v>680</v>
      </c>
      <c r="M69" s="417"/>
      <c r="N69" s="444" t="s">
        <v>673</v>
      </c>
      <c r="O69" s="418" t="s">
        <v>304</v>
      </c>
      <c r="P69" s="418" t="s">
        <v>15</v>
      </c>
      <c r="Q69" s="399" t="s">
        <v>305</v>
      </c>
      <c r="R69" s="530">
        <v>3020000647</v>
      </c>
      <c r="S69" s="403" t="s">
        <v>64</v>
      </c>
      <c r="T69" s="403"/>
      <c r="U69" s="426" t="s">
        <v>681</v>
      </c>
      <c r="V69" s="403" t="s">
        <v>682</v>
      </c>
      <c r="W69" s="350" t="s">
        <v>683</v>
      </c>
      <c r="X69" s="399" t="s">
        <v>684</v>
      </c>
      <c r="Y69" s="399"/>
      <c r="Z69" s="486">
        <v>3727984</v>
      </c>
      <c r="AA69" s="418">
        <v>36</v>
      </c>
      <c r="AB69" s="486">
        <v>275624</v>
      </c>
      <c r="AC69" s="409"/>
      <c r="AD69" s="410"/>
      <c r="AE69" s="399"/>
      <c r="AF69" s="399"/>
      <c r="AG69" s="399"/>
      <c r="AH69" s="399"/>
      <c r="AI69" s="403"/>
      <c r="AJ69" s="403"/>
      <c r="AK69" s="403"/>
      <c r="AL69" s="403"/>
      <c r="AM69" s="420"/>
      <c r="AN69" s="420"/>
      <c r="AO69" s="403"/>
      <c r="AP69" s="403"/>
      <c r="AQ69" s="403"/>
      <c r="AR69" s="403"/>
      <c r="AS69" s="403"/>
      <c r="AT69" s="403"/>
      <c r="AU69" s="399"/>
      <c r="AV69" s="420"/>
      <c r="AW69" s="420"/>
      <c r="AX69" s="420"/>
      <c r="AY69" s="420"/>
      <c r="AZ69" s="420"/>
      <c r="BA69" s="370"/>
      <c r="BB69" s="358"/>
      <c r="BC69" s="597" t="s">
        <v>1505</v>
      </c>
      <c r="BD69" s="597" t="s">
        <v>1656</v>
      </c>
      <c r="BE69" s="375">
        <v>1</v>
      </c>
      <c r="BF69" s="403" t="s">
        <v>315</v>
      </c>
      <c r="BG69" s="370"/>
      <c r="BH69" s="370"/>
      <c r="BI69" s="370"/>
      <c r="BJ69" s="370"/>
      <c r="BK69" s="487"/>
      <c r="BL69" s="488"/>
      <c r="BM69" s="358"/>
      <c r="BN69" s="358"/>
      <c r="BO69" s="370"/>
      <c r="BP69" s="487"/>
      <c r="BQ69" s="487"/>
      <c r="BR69" s="487"/>
      <c r="BS69" s="362">
        <f>SUM(Table14[[#This Row],[Jan-24]:[Dec-24]])</f>
        <v>0</v>
      </c>
      <c r="BT69" s="360"/>
      <c r="BU69" s="360"/>
      <c r="BV69" s="376"/>
      <c r="BW69" s="376"/>
      <c r="BX69" s="376"/>
      <c r="BY69" s="414">
        <v>211900</v>
      </c>
      <c r="BZ69" s="414">
        <v>166500</v>
      </c>
      <c r="CA69" s="414">
        <v>216000</v>
      </c>
      <c r="CB69" s="414">
        <v>16200</v>
      </c>
      <c r="CC69" s="414">
        <v>77500</v>
      </c>
      <c r="CD69" s="414">
        <v>16400</v>
      </c>
      <c r="CE69" s="414">
        <v>140000</v>
      </c>
      <c r="CF69" s="362">
        <f>SUM(Table14[[#This Row],[Jan-25]:[Dec-25]])</f>
        <v>844500</v>
      </c>
      <c r="CG69" s="414">
        <v>0</v>
      </c>
      <c r="CH69" s="414">
        <v>0</v>
      </c>
      <c r="CI69" s="414">
        <v>0</v>
      </c>
      <c r="CJ69" s="414">
        <f>SUM(Table14[[#This Row],[Jan-26]:[Mar-26]])</f>
        <v>0</v>
      </c>
      <c r="CK69" s="531">
        <f>IFERROR(SUM(Table14[[#This Row],[Oct-25]:[Dec-25]],Table14[[#This Row],[Jan-26]:[Mar-26]])/COUNT(Table14[[#This Row],[Oct-25]:[Dec-25]],Table14[[#This Row],[Jan-26]:[Mar-26]]),0)</f>
        <v>38983.333333333336</v>
      </c>
      <c r="CL69" s="367"/>
      <c r="CM69" s="414">
        <f>Table14[[#This Row],[YTD 2024]]+Table14[[#This Row],[YTD 2025]]+Table14[[#This Row],[YTD 2026]]</f>
        <v>844500</v>
      </c>
      <c r="CN69" s="418">
        <v>8</v>
      </c>
      <c r="CO69" s="486">
        <f t="shared" si="14"/>
        <v>105562.5</v>
      </c>
      <c r="CP69" s="353">
        <f>Table14[[#This Row],[Unit Cost]]-Table14[[#This Row],[Margin on Reagent sale]]</f>
        <v>3390184</v>
      </c>
      <c r="CQ69" s="489">
        <f>Table14[[#This Row],[Avg reagent Sales per month Actual]]-Table14[[#This Row],[Per Month Reagent Commitment]]</f>
        <v>-170061.5</v>
      </c>
      <c r="CR69" s="373" t="s">
        <v>343</v>
      </c>
      <c r="CS69" s="367">
        <f>Table14[[#This Row],[On Track / (behind) (avg per month)]]/Table14[[#This Row],[Months]]</f>
        <v>-21257.6875</v>
      </c>
      <c r="CT69" s="495">
        <v>0.4</v>
      </c>
      <c r="CU69" s="367">
        <f>Table14[[#This Row],[Total Reagent Sales till date Actual]]*Table14[[#This Row],[Margin %]]</f>
        <v>337800</v>
      </c>
      <c r="CV69" s="371">
        <f t="shared" si="19"/>
        <v>0.4</v>
      </c>
      <c r="DB69" s="1" t="s">
        <v>685</v>
      </c>
      <c r="DC69" s="1">
        <v>10001255</v>
      </c>
      <c r="DD69" s="1">
        <v>300223</v>
      </c>
      <c r="DM69" s="244"/>
    </row>
    <row r="70" spans="1:117" ht="52.5" customHeight="1" x14ac:dyDescent="0.3">
      <c r="A70" s="399" t="s">
        <v>296</v>
      </c>
      <c r="B70" s="629" t="s">
        <v>297</v>
      </c>
      <c r="C70" s="399" t="s">
        <v>49</v>
      </c>
      <c r="D70" s="402" t="s">
        <v>30</v>
      </c>
      <c r="E70" s="403">
        <v>15002463</v>
      </c>
      <c r="F70" s="403" t="s">
        <v>317</v>
      </c>
      <c r="G70" s="449" t="s">
        <v>1636</v>
      </c>
      <c r="H70" s="409"/>
      <c r="I70" s="416" t="s">
        <v>1637</v>
      </c>
      <c r="J70" s="417"/>
      <c r="K70" s="417"/>
      <c r="L70" s="417" t="s">
        <v>686</v>
      </c>
      <c r="M70" s="417"/>
      <c r="N70" s="417"/>
      <c r="O70" s="418" t="s">
        <v>304</v>
      </c>
      <c r="P70" s="418" t="s">
        <v>15</v>
      </c>
      <c r="Q70" s="399" t="s">
        <v>305</v>
      </c>
      <c r="R70" s="399">
        <v>3020000664</v>
      </c>
      <c r="S70" s="419" t="s">
        <v>106</v>
      </c>
      <c r="T70" s="403"/>
      <c r="U70" s="426" t="s">
        <v>687</v>
      </c>
      <c r="V70" s="403" t="s">
        <v>688</v>
      </c>
      <c r="W70" s="382" t="s">
        <v>689</v>
      </c>
      <c r="X70" s="399" t="s">
        <v>690</v>
      </c>
      <c r="Y70" s="399"/>
      <c r="Z70" s="353">
        <v>8800000</v>
      </c>
      <c r="AA70" s="418">
        <v>35</v>
      </c>
      <c r="AB70" s="353">
        <v>513512</v>
      </c>
      <c r="AC70" s="409"/>
      <c r="AD70" s="410"/>
      <c r="AE70" s="399"/>
      <c r="AF70" s="399"/>
      <c r="AG70" s="399"/>
      <c r="AH70" s="399"/>
      <c r="AI70" s="403"/>
      <c r="AJ70" s="403"/>
      <c r="AK70" s="403"/>
      <c r="AL70" s="403"/>
      <c r="AM70" s="420"/>
      <c r="AN70" s="420"/>
      <c r="AO70" s="403"/>
      <c r="AP70" s="403"/>
      <c r="AQ70" s="403"/>
      <c r="AR70" s="403"/>
      <c r="AS70" s="403"/>
      <c r="AT70" s="403"/>
      <c r="AU70" s="399"/>
      <c r="AV70" s="420"/>
      <c r="AW70" s="420"/>
      <c r="AX70" s="420"/>
      <c r="AY70" s="420"/>
      <c r="AZ70" s="420"/>
      <c r="BA70" s="370"/>
      <c r="BB70" s="358"/>
      <c r="BC70" s="595" t="s">
        <v>1501</v>
      </c>
      <c r="BD70" s="595" t="s">
        <v>1648</v>
      </c>
      <c r="BE70" s="375">
        <v>1</v>
      </c>
      <c r="BF70" s="419" t="s">
        <v>315</v>
      </c>
      <c r="BG70" s="370"/>
      <c r="BH70" s="370"/>
      <c r="BI70" s="370"/>
      <c r="BJ70" s="370"/>
      <c r="BK70" s="370">
        <f>8550000/5</f>
        <v>1710000</v>
      </c>
      <c r="BL70" s="374"/>
      <c r="BM70" s="358"/>
      <c r="BN70" s="358"/>
      <c r="BO70" s="370"/>
      <c r="BP70" s="370"/>
      <c r="BQ70" s="370"/>
      <c r="BR70" s="370"/>
      <c r="BS70" s="362">
        <f>SUM(Table14[[#This Row],[Jan-24]:[Dec-24]])</f>
        <v>1710000</v>
      </c>
      <c r="BT70" s="360"/>
      <c r="BU70" s="360"/>
      <c r="BV70" s="376"/>
      <c r="BW70" s="376"/>
      <c r="BX70" s="376"/>
      <c r="BY70" s="414">
        <v>1174394</v>
      </c>
      <c r="BZ70" s="414">
        <v>263980</v>
      </c>
      <c r="CA70" s="414">
        <v>0</v>
      </c>
      <c r="CB70" s="414">
        <v>492790</v>
      </c>
      <c r="CC70" s="414"/>
      <c r="CD70" s="414"/>
      <c r="CE70" s="414">
        <v>191590</v>
      </c>
      <c r="CF70" s="362">
        <f>SUM(Table14[[#This Row],[Jan-25]:[Dec-25]])</f>
        <v>2122754</v>
      </c>
      <c r="CG70" s="414">
        <v>0</v>
      </c>
      <c r="CH70" s="414">
        <v>180500</v>
      </c>
      <c r="CI70" s="414">
        <v>363600</v>
      </c>
      <c r="CJ70" s="414">
        <f>SUM(Table14[[#This Row],[Jan-26]:[Mar-26]])</f>
        <v>544100</v>
      </c>
      <c r="CK70" s="531">
        <f>IFERROR(SUM(Table14[[#This Row],[Oct-25]:[Dec-25]],Table14[[#This Row],[Jan-26]:[Mar-26]])/COUNT(Table14[[#This Row],[Oct-25]:[Dec-25]],Table14[[#This Row],[Jan-26]:[Mar-26]]),0)</f>
        <v>183922.5</v>
      </c>
      <c r="CL70" s="367"/>
      <c r="CM70" s="414">
        <f>Table14[[#This Row],[YTD 2024]]+Table14[[#This Row],[YTD 2025]]+Table14[[#This Row],[YTD 2026]]</f>
        <v>4376854</v>
      </c>
      <c r="CN70" s="418">
        <v>5</v>
      </c>
      <c r="CO70" s="353">
        <f t="shared" si="14"/>
        <v>875370.8</v>
      </c>
      <c r="CP70" s="353">
        <f>Table14[[#This Row],[Unit Cost]]-Table14[[#This Row],[Margin on Reagent sale]]</f>
        <v>6830415.7000000002</v>
      </c>
      <c r="CQ70" s="367">
        <v>-1550725</v>
      </c>
      <c r="CR70" s="403" t="s">
        <v>343</v>
      </c>
      <c r="CS70" s="367">
        <f>Table14[[#This Row],[On Track / (behind) (avg per month)]]/Table14[[#This Row],[Months]]</f>
        <v>-310145</v>
      </c>
      <c r="CT70" s="368">
        <v>0.45</v>
      </c>
      <c r="CU70" s="367">
        <f>Table14[[#This Row],[Total Reagent Sales till date Actual]]*Table14[[#This Row],[Margin %]]</f>
        <v>1969584.3</v>
      </c>
      <c r="CV70" s="371">
        <f t="shared" si="19"/>
        <v>0.45</v>
      </c>
      <c r="DM70" s="244"/>
    </row>
    <row r="71" spans="1:117" ht="15" customHeight="1" x14ac:dyDescent="0.3">
      <c r="A71" s="399" t="s">
        <v>511</v>
      </c>
      <c r="B71" s="630" t="s">
        <v>345</v>
      </c>
      <c r="C71" s="399" t="s">
        <v>21</v>
      </c>
      <c r="D71" s="415" t="s">
        <v>691</v>
      </c>
      <c r="E71" s="403">
        <v>15002760</v>
      </c>
      <c r="F71" s="403" t="s">
        <v>298</v>
      </c>
      <c r="G71" s="682" t="s">
        <v>1632</v>
      </c>
      <c r="H71" s="666"/>
      <c r="I71" s="684">
        <v>30005087</v>
      </c>
      <c r="J71" s="417"/>
      <c r="K71" s="417"/>
      <c r="L71" s="417" t="s">
        <v>692</v>
      </c>
      <c r="M71" s="417"/>
      <c r="N71" s="417"/>
      <c r="O71" s="418" t="s">
        <v>304</v>
      </c>
      <c r="P71" s="418" t="s">
        <v>15</v>
      </c>
      <c r="Q71" s="403" t="s">
        <v>305</v>
      </c>
      <c r="R71" s="399">
        <v>3020000664</v>
      </c>
      <c r="S71" s="419" t="s">
        <v>106</v>
      </c>
      <c r="T71" s="403"/>
      <c r="U71" s="426"/>
      <c r="V71" s="403"/>
      <c r="W71" s="399"/>
      <c r="X71" s="399"/>
      <c r="Y71" s="399"/>
      <c r="Z71" s="486">
        <v>6938187</v>
      </c>
      <c r="AA71" s="418">
        <v>24</v>
      </c>
      <c r="AB71" s="486">
        <v>618263</v>
      </c>
      <c r="AC71" s="409"/>
      <c r="AD71" s="410"/>
      <c r="AE71" s="399"/>
      <c r="AF71" s="399"/>
      <c r="AG71" s="399"/>
      <c r="AH71" s="399"/>
      <c r="AI71" s="403"/>
      <c r="AJ71" s="403"/>
      <c r="AK71" s="403"/>
      <c r="AL71" s="403"/>
      <c r="AM71" s="420"/>
      <c r="AN71" s="420"/>
      <c r="AO71" s="403"/>
      <c r="AP71" s="403"/>
      <c r="AQ71" s="403"/>
      <c r="AR71" s="403"/>
      <c r="AS71" s="403"/>
      <c r="AT71" s="403"/>
      <c r="AU71" s="399"/>
      <c r="AV71" s="420"/>
      <c r="AW71" s="420"/>
      <c r="AX71" s="420"/>
      <c r="AY71" s="420"/>
      <c r="AZ71" s="420"/>
      <c r="BA71" s="370"/>
      <c r="BB71" s="358"/>
      <c r="BC71" s="597" t="s">
        <v>940</v>
      </c>
      <c r="BD71" s="597" t="s">
        <v>1642</v>
      </c>
      <c r="BE71" s="375">
        <v>1</v>
      </c>
      <c r="BF71" s="419" t="s">
        <v>315</v>
      </c>
      <c r="BG71" s="370"/>
      <c r="BH71" s="370"/>
      <c r="BI71" s="370"/>
      <c r="BJ71" s="370"/>
      <c r="BK71" s="487"/>
      <c r="BL71" s="488"/>
      <c r="BM71" s="358"/>
      <c r="BN71" s="358"/>
      <c r="BO71" s="370"/>
      <c r="BP71" s="487"/>
      <c r="BQ71" s="487"/>
      <c r="BR71" s="487"/>
      <c r="BS71" s="362">
        <f>SUM(Table14[[#This Row],[Jan-24]:[Dec-24]])</f>
        <v>0</v>
      </c>
      <c r="BT71" s="360"/>
      <c r="BU71" s="360"/>
      <c r="BV71" s="376"/>
      <c r="BW71" s="376"/>
      <c r="BX71" s="376"/>
      <c r="BY71" s="376"/>
      <c r="BZ71" s="376">
        <v>951500</v>
      </c>
      <c r="CA71" s="376">
        <v>72600</v>
      </c>
      <c r="CB71" s="376">
        <v>417200</v>
      </c>
      <c r="CC71" s="376">
        <v>109500</v>
      </c>
      <c r="CD71" s="376">
        <v>149200</v>
      </c>
      <c r="CE71" s="376"/>
      <c r="CF71" s="362">
        <f>SUM(Table14[[#This Row],[Jan-25]:[Dec-25]])</f>
        <v>1700000</v>
      </c>
      <c r="CG71" s="376">
        <v>0</v>
      </c>
      <c r="CH71" s="376">
        <v>0</v>
      </c>
      <c r="CI71" s="376">
        <v>0</v>
      </c>
      <c r="CJ71" s="414">
        <f>SUM(Table14[[#This Row],[Jan-26]:[Mar-26]])</f>
        <v>0</v>
      </c>
      <c r="CK71" s="531">
        <f>IFERROR(SUM(Table14[[#This Row],[Oct-25]:[Dec-25]],Table14[[#This Row],[Jan-26]:[Mar-26]])/COUNT(Table14[[#This Row],[Oct-25]:[Dec-25]],Table14[[#This Row],[Jan-26]:[Mar-26]]),0)</f>
        <v>51740</v>
      </c>
      <c r="CL71" s="367"/>
      <c r="CM71" s="414">
        <f>Table14[[#This Row],[YTD 2024]]+Table14[[#This Row],[YTD 2025]]+Table14[[#This Row],[YTD 2026]]</f>
        <v>1700000</v>
      </c>
      <c r="CN71" s="418">
        <v>5</v>
      </c>
      <c r="CO71" s="486">
        <f t="shared" si="14"/>
        <v>340000</v>
      </c>
      <c r="CP71" s="353">
        <f>Table14[[#This Row],[Unit Cost]]-Table14[[#This Row],[Margin on Reagent sale]]</f>
        <v>6938187</v>
      </c>
      <c r="CQ71" s="489">
        <f>Table14[[#This Row],[Avg reagent Sales per month Actual]]-Table14[[#This Row],[Per Month Reagent Commitment]]</f>
        <v>-278263</v>
      </c>
      <c r="CR71" s="373"/>
      <c r="CS71" s="367">
        <f>Table14[[#This Row],[On Track / (behind) (avg per month)]]/Table14[[#This Row],[Months]]</f>
        <v>-55652.6</v>
      </c>
      <c r="CT71" s="491"/>
      <c r="CU71" s="367">
        <f>Table14[[#This Row],[Total Reagent Sales till date Actual]]*Table14[[#This Row],[Margin %]]</f>
        <v>0</v>
      </c>
      <c r="CV71" s="371">
        <f t="shared" si="19"/>
        <v>0</v>
      </c>
      <c r="DM71" s="244"/>
    </row>
    <row r="72" spans="1:117" ht="15" customHeight="1" x14ac:dyDescent="0.3">
      <c r="A72" s="399" t="s">
        <v>693</v>
      </c>
      <c r="B72" s="630" t="s">
        <v>345</v>
      </c>
      <c r="C72" s="399" t="s">
        <v>53</v>
      </c>
      <c r="D72" s="415" t="s">
        <v>679</v>
      </c>
      <c r="E72" s="403">
        <v>15003367</v>
      </c>
      <c r="F72" s="403" t="s">
        <v>508</v>
      </c>
      <c r="G72" s="449"/>
      <c r="H72" s="666"/>
      <c r="I72" s="416"/>
      <c r="J72" s="417"/>
      <c r="K72" s="417"/>
      <c r="L72" s="417" t="s">
        <v>694</v>
      </c>
      <c r="M72" s="417"/>
      <c r="N72" s="417"/>
      <c r="O72" s="418" t="s">
        <v>858</v>
      </c>
      <c r="P72" s="418" t="s">
        <v>15</v>
      </c>
      <c r="Q72" s="403" t="s">
        <v>305</v>
      </c>
      <c r="R72" s="530">
        <v>3020000678</v>
      </c>
      <c r="S72" s="419" t="s">
        <v>175</v>
      </c>
      <c r="T72" s="403"/>
      <c r="U72" s="426"/>
      <c r="V72" s="403"/>
      <c r="W72" s="399"/>
      <c r="X72" s="399"/>
      <c r="Y72" s="399"/>
      <c r="Z72" s="486">
        <v>4528470</v>
      </c>
      <c r="AA72" s="418">
        <v>36</v>
      </c>
      <c r="AB72" s="486">
        <v>306830</v>
      </c>
      <c r="AC72" s="409"/>
      <c r="AD72" s="410"/>
      <c r="AE72" s="399"/>
      <c r="AF72" s="399"/>
      <c r="AG72" s="399"/>
      <c r="AH72" s="399"/>
      <c r="AI72" s="403"/>
      <c r="AJ72" s="403"/>
      <c r="AK72" s="403"/>
      <c r="AL72" s="403"/>
      <c r="AM72" s="420"/>
      <c r="AN72" s="420"/>
      <c r="AO72" s="403"/>
      <c r="AP72" s="403"/>
      <c r="AQ72" s="403"/>
      <c r="AR72" s="403"/>
      <c r="AS72" s="403"/>
      <c r="AT72" s="403"/>
      <c r="AU72" s="399"/>
      <c r="AV72" s="420"/>
      <c r="AW72" s="420"/>
      <c r="AX72" s="420"/>
      <c r="AY72" s="420"/>
      <c r="AZ72" s="420"/>
      <c r="BA72" s="370"/>
      <c r="BB72" s="358"/>
      <c r="BC72" s="597" t="s">
        <v>1505</v>
      </c>
      <c r="BD72" s="597" t="s">
        <v>1656</v>
      </c>
      <c r="BE72" s="358"/>
      <c r="BF72" s="358" t="s">
        <v>315</v>
      </c>
      <c r="BG72" s="370"/>
      <c r="BH72" s="370"/>
      <c r="BI72" s="370"/>
      <c r="BJ72" s="370"/>
      <c r="BK72" s="487"/>
      <c r="BL72" s="488"/>
      <c r="BM72" s="358"/>
      <c r="BN72" s="358"/>
      <c r="BO72" s="370"/>
      <c r="BP72" s="487"/>
      <c r="BQ72" s="487"/>
      <c r="BR72" s="487"/>
      <c r="BS72" s="362">
        <f>SUM(Table14[[#This Row],[Jan-24]:[Dec-24]])</f>
        <v>0</v>
      </c>
      <c r="BT72" s="360"/>
      <c r="BU72" s="360"/>
      <c r="BV72" s="376"/>
      <c r="BW72" s="376"/>
      <c r="BX72" s="376"/>
      <c r="BY72" s="376"/>
      <c r="BZ72" s="376"/>
      <c r="CA72" s="376"/>
      <c r="CB72" s="414">
        <v>299000</v>
      </c>
      <c r="CC72" s="376"/>
      <c r="CD72" s="414">
        <v>64500</v>
      </c>
      <c r="CE72" s="414">
        <v>180000</v>
      </c>
      <c r="CF72" s="362">
        <f>SUM(Table14[[#This Row],[Jan-25]:[Dec-25]])</f>
        <v>543500</v>
      </c>
      <c r="CG72" s="370"/>
      <c r="CH72" s="370"/>
      <c r="CI72" s="370"/>
      <c r="CJ72" s="414">
        <f>SUM(Table14[[#This Row],[Jan-26]:[Mar-26]])</f>
        <v>0</v>
      </c>
      <c r="CK72" s="531">
        <f>IFERROR(SUM(Table14[[#This Row],[Oct-25]:[Dec-25]],Table14[[#This Row],[Jan-26]:[Mar-26]])/COUNT(Table14[[#This Row],[Oct-25]:[Dec-25]],Table14[[#This Row],[Jan-26]:[Mar-26]]),0)</f>
        <v>122250</v>
      </c>
      <c r="CL72" s="367"/>
      <c r="CM72" s="414">
        <f>Table14[[#This Row],[YTD 2024]]+Table14[[#This Row],[YTD 2025]]+Table14[[#This Row],[YTD 2026]]</f>
        <v>543500</v>
      </c>
      <c r="CN72" s="418"/>
      <c r="CO72" s="486" t="e">
        <f t="shared" ref="CO72:CO103" si="20">CM72/CN72</f>
        <v>#DIV/0!</v>
      </c>
      <c r="CP72" s="490"/>
      <c r="CQ72" s="489" t="e">
        <f>Table14[[#This Row],[Avg reagent Sales per month Actual]]-Table14[[#This Row],[Per Month Reagent Commitment]]</f>
        <v>#DIV/0!</v>
      </c>
      <c r="CR72" s="373"/>
      <c r="CS72" s="367" t="e">
        <f>Table14[[#This Row],[On Track / (behind) (avg per month)]]/Table14[[#This Row],[Months]]</f>
        <v>#DIV/0!</v>
      </c>
      <c r="CT72" s="491"/>
      <c r="CU72" s="367">
        <f>Table14[[#This Row],[Total Reagent Sales till date Actual]]*Table14[[#This Row],[Margin %]]</f>
        <v>0</v>
      </c>
      <c r="CV72" s="371">
        <f t="shared" si="19"/>
        <v>0</v>
      </c>
      <c r="CX72" s="1"/>
      <c r="CZ72" s="135"/>
      <c r="DA72" s="1"/>
      <c r="DM72" s="244"/>
    </row>
    <row r="73" spans="1:117" ht="15" customHeight="1" x14ac:dyDescent="0.3">
      <c r="A73" s="399" t="s">
        <v>511</v>
      </c>
      <c r="B73" s="629" t="s">
        <v>345</v>
      </c>
      <c r="C73" s="399" t="s">
        <v>25</v>
      </c>
      <c r="D73" s="415" t="s">
        <v>37</v>
      </c>
      <c r="E73" s="403">
        <v>15002667</v>
      </c>
      <c r="F73" s="403" t="s">
        <v>403</v>
      </c>
      <c r="G73" s="449">
        <v>3002000040</v>
      </c>
      <c r="H73" s="409" t="s">
        <v>299</v>
      </c>
      <c r="I73" s="416" t="s">
        <v>695</v>
      </c>
      <c r="J73" s="417" t="s">
        <v>696</v>
      </c>
      <c r="K73" s="417" t="s">
        <v>697</v>
      </c>
      <c r="L73" s="417" t="s">
        <v>697</v>
      </c>
      <c r="M73" s="417" t="s">
        <v>303</v>
      </c>
      <c r="N73" s="417"/>
      <c r="O73" s="416" t="s">
        <v>348</v>
      </c>
      <c r="P73" s="418" t="s">
        <v>15</v>
      </c>
      <c r="Q73" s="399" t="s">
        <v>305</v>
      </c>
      <c r="R73" s="399">
        <v>3020000692</v>
      </c>
      <c r="S73" s="419" t="s">
        <v>74</v>
      </c>
      <c r="T73" s="403" t="s">
        <v>299</v>
      </c>
      <c r="U73" s="403" t="s">
        <v>698</v>
      </c>
      <c r="V73" s="403" t="s">
        <v>699</v>
      </c>
      <c r="W73" s="350" t="s">
        <v>700</v>
      </c>
      <c r="X73" s="399" t="s">
        <v>701</v>
      </c>
      <c r="Y73" s="399"/>
      <c r="Z73" s="353">
        <v>1375572</v>
      </c>
      <c r="AA73" s="366">
        <v>38</v>
      </c>
      <c r="AB73" s="353">
        <v>134307</v>
      </c>
      <c r="AC73" s="423"/>
      <c r="AD73" s="424"/>
      <c r="AE73" s="424"/>
      <c r="AF73" s="424"/>
      <c r="AG73" s="424"/>
      <c r="AH73" s="424"/>
      <c r="AI73" s="409"/>
      <c r="AJ73" s="409"/>
      <c r="AK73" s="409"/>
      <c r="AL73" s="409"/>
      <c r="AM73" s="425"/>
      <c r="AN73" s="425"/>
      <c r="AO73" s="409"/>
      <c r="AP73" s="409"/>
      <c r="AQ73" s="409"/>
      <c r="AR73" s="409"/>
      <c r="AS73" s="409"/>
      <c r="AT73" s="409"/>
      <c r="AU73" s="409" t="s">
        <v>526</v>
      </c>
      <c r="AV73" s="409"/>
      <c r="AW73" s="409" t="s">
        <v>702</v>
      </c>
      <c r="AX73" s="430" t="s">
        <v>703</v>
      </c>
      <c r="AY73" s="430"/>
      <c r="AZ73" s="430"/>
      <c r="BA73" s="430"/>
      <c r="BB73" s="430"/>
      <c r="BC73" s="415"/>
      <c r="BD73" s="415"/>
      <c r="BE73" s="430"/>
      <c r="BF73" s="419"/>
      <c r="BG73" s="359">
        <v>0</v>
      </c>
      <c r="BH73" s="359">
        <v>118680</v>
      </c>
      <c r="BI73" s="359">
        <v>0</v>
      </c>
      <c r="BJ73" s="359">
        <v>0</v>
      </c>
      <c r="BK73" s="359">
        <v>118390</v>
      </c>
      <c r="BL73" s="359">
        <v>325150</v>
      </c>
      <c r="BM73" s="359">
        <v>0</v>
      </c>
      <c r="BN73" s="359">
        <v>0</v>
      </c>
      <c r="BO73" s="359">
        <v>0</v>
      </c>
      <c r="BP73" s="359">
        <v>0</v>
      </c>
      <c r="BQ73" s="359">
        <v>212120</v>
      </c>
      <c r="BR73" s="359">
        <v>0</v>
      </c>
      <c r="BS73" s="362">
        <f>SUM(Table14[[#This Row],[Jan-24]:[Dec-24]])</f>
        <v>774340</v>
      </c>
      <c r="BT73" s="362">
        <v>0</v>
      </c>
      <c r="BU73" s="362">
        <v>185720</v>
      </c>
      <c r="BV73" s="362">
        <v>0</v>
      </c>
      <c r="BW73" s="421">
        <v>73240</v>
      </c>
      <c r="BX73" s="421">
        <v>0</v>
      </c>
      <c r="BY73" s="421">
        <v>0</v>
      </c>
      <c r="BZ73" s="421">
        <v>0</v>
      </c>
      <c r="CA73" s="421">
        <v>0</v>
      </c>
      <c r="CB73" s="421">
        <v>0</v>
      </c>
      <c r="CC73" s="421"/>
      <c r="CD73" s="421"/>
      <c r="CE73" s="421"/>
      <c r="CF73" s="362">
        <f>SUM(Table14[[#This Row],[Jan-25]:[Dec-25]])</f>
        <v>258960</v>
      </c>
      <c r="CG73" s="421">
        <v>0</v>
      </c>
      <c r="CH73" s="421">
        <v>0</v>
      </c>
      <c r="CI73" s="421"/>
      <c r="CJ73" s="414">
        <f>SUM(Table14[[#This Row],[Jan-26]:[Mar-26]])</f>
        <v>0</v>
      </c>
      <c r="CK73" s="531">
        <f>IFERROR(SUM(Table14[[#This Row],[Oct-25]:[Dec-25]],Table14[[#This Row],[Jan-26]:[Mar-26]])/COUNT(Table14[[#This Row],[Oct-25]:[Dec-25]],Table14[[#This Row],[Jan-26]:[Mar-26]]),0)</f>
        <v>0</v>
      </c>
      <c r="CL73" s="359"/>
      <c r="CM73" s="414">
        <f>Table14[[#This Row],[YTD 2024]]+Table14[[#This Row],[YTD 2025]]+Table14[[#This Row],[YTD 2026]]</f>
        <v>1033300</v>
      </c>
      <c r="CN73" s="366">
        <v>32</v>
      </c>
      <c r="CO73" s="353">
        <f t="shared" si="20"/>
        <v>32290.625</v>
      </c>
      <c r="CP73" s="353">
        <f>Table14[[#This Row],[Unit Cost]]-Table14[[#This Row],[Margin on Reagent sale]]</f>
        <v>962252</v>
      </c>
      <c r="CQ73" s="372">
        <f>Table14[[#This Row],[Avg reagent Sales per month Actual]]-Table14[[#This Row],[Per Month Reagent Commitment]]</f>
        <v>-102016.375</v>
      </c>
      <c r="CR73" s="403" t="s">
        <v>343</v>
      </c>
      <c r="CS73" s="367">
        <f>Table14[[#This Row],[On Track / (behind) (avg per month)]]/Table14[[#This Row],[Months]]</f>
        <v>-3188.01171875</v>
      </c>
      <c r="CT73" s="368">
        <v>0.4</v>
      </c>
      <c r="CU73" s="367">
        <f>Table14[[#This Row],[Total Reagent Sales till date Actual]]*Table14[[#This Row],[Margin %]]</f>
        <v>413320</v>
      </c>
      <c r="CV73" s="400">
        <f t="shared" si="19"/>
        <v>0.4</v>
      </c>
      <c r="CX73" s="1"/>
      <c r="CZ73" s="135"/>
      <c r="DA73" s="1"/>
      <c r="DM73" s="244"/>
    </row>
    <row r="74" spans="1:117" ht="60.75" customHeight="1" x14ac:dyDescent="0.3">
      <c r="A74" s="399" t="s">
        <v>296</v>
      </c>
      <c r="B74" s="629" t="s">
        <v>297</v>
      </c>
      <c r="C74" s="399" t="s">
        <v>49</v>
      </c>
      <c r="D74" s="415" t="s">
        <v>30</v>
      </c>
      <c r="E74" s="403">
        <v>15002463</v>
      </c>
      <c r="F74" s="403" t="s">
        <v>317</v>
      </c>
      <c r="G74" s="449">
        <v>3002000012</v>
      </c>
      <c r="H74" s="409" t="s">
        <v>299</v>
      </c>
      <c r="I74" s="416" t="s">
        <v>704</v>
      </c>
      <c r="J74" s="417" t="s">
        <v>705</v>
      </c>
      <c r="K74" s="417" t="s">
        <v>594</v>
      </c>
      <c r="L74" s="417" t="s">
        <v>706</v>
      </c>
      <c r="M74" s="417" t="s">
        <v>303</v>
      </c>
      <c r="N74" s="417"/>
      <c r="O74" s="416" t="s">
        <v>348</v>
      </c>
      <c r="P74" s="418" t="s">
        <v>15</v>
      </c>
      <c r="Q74" s="399" t="s">
        <v>305</v>
      </c>
      <c r="R74" s="399">
        <v>3020000692</v>
      </c>
      <c r="S74" s="399" t="s">
        <v>74</v>
      </c>
      <c r="T74" s="403" t="s">
        <v>707</v>
      </c>
      <c r="U74" s="403" t="s">
        <v>708</v>
      </c>
      <c r="V74" s="403" t="s">
        <v>709</v>
      </c>
      <c r="W74" s="350" t="s">
        <v>710</v>
      </c>
      <c r="X74" s="399" t="s">
        <v>701</v>
      </c>
      <c r="Y74" s="399"/>
      <c r="Z74" s="353"/>
      <c r="AA74" s="366"/>
      <c r="AB74" s="353"/>
      <c r="AC74" s="423" t="s">
        <v>711</v>
      </c>
      <c r="AD74" s="424" t="s">
        <v>712</v>
      </c>
      <c r="AE74" s="424" t="s">
        <v>713</v>
      </c>
      <c r="AF74" s="424" t="s">
        <v>330</v>
      </c>
      <c r="AG74" s="424" t="s">
        <v>714</v>
      </c>
      <c r="AH74" s="424" t="s">
        <v>607</v>
      </c>
      <c r="AI74" s="409" t="s">
        <v>715</v>
      </c>
      <c r="AJ74" s="409" t="s">
        <v>716</v>
      </c>
      <c r="AK74" s="409" t="s">
        <v>717</v>
      </c>
      <c r="AL74" s="409" t="s">
        <v>718</v>
      </c>
      <c r="AM74" s="425" t="s">
        <v>719</v>
      </c>
      <c r="AN74" s="425" t="s">
        <v>337</v>
      </c>
      <c r="AO74" s="409"/>
      <c r="AP74" s="409"/>
      <c r="AQ74" s="409"/>
      <c r="AR74" s="409"/>
      <c r="AS74" s="409" t="s">
        <v>720</v>
      </c>
      <c r="AT74" s="409" t="s">
        <v>721</v>
      </c>
      <c r="AU74" s="409"/>
      <c r="AV74" s="409"/>
      <c r="AW74" s="409" t="s">
        <v>702</v>
      </c>
      <c r="AX74" s="430" t="s">
        <v>703</v>
      </c>
      <c r="AY74" s="430"/>
      <c r="AZ74" s="430"/>
      <c r="BA74" s="430"/>
      <c r="BB74" s="430"/>
      <c r="BC74" s="415"/>
      <c r="BD74" s="415"/>
      <c r="BE74" s="430"/>
      <c r="BF74" s="399"/>
      <c r="BG74" s="359">
        <v>351000</v>
      </c>
      <c r="BH74" s="359">
        <v>309320</v>
      </c>
      <c r="BI74" s="359">
        <v>0</v>
      </c>
      <c r="BJ74" s="359">
        <v>0</v>
      </c>
      <c r="BK74" s="359">
        <v>0</v>
      </c>
      <c r="BL74" s="359">
        <v>0</v>
      </c>
      <c r="BM74" s="359">
        <v>0</v>
      </c>
      <c r="BN74" s="359">
        <v>0</v>
      </c>
      <c r="BO74" s="359">
        <v>0</v>
      </c>
      <c r="BP74" s="359">
        <v>0</v>
      </c>
      <c r="BQ74" s="359">
        <v>0</v>
      </c>
      <c r="BR74" s="359">
        <v>0</v>
      </c>
      <c r="BS74" s="362">
        <f>SUM(Table14[[#This Row],[Jan-24]:[Dec-24]])</f>
        <v>660320</v>
      </c>
      <c r="BT74" s="362">
        <v>0</v>
      </c>
      <c r="BU74" s="414">
        <v>398580</v>
      </c>
      <c r="BV74" s="414"/>
      <c r="BW74" s="414">
        <v>254800</v>
      </c>
      <c r="BX74" s="414">
        <v>180000</v>
      </c>
      <c r="BY74" s="414">
        <v>555900</v>
      </c>
      <c r="BZ74" s="414"/>
      <c r="CA74" s="414"/>
      <c r="CB74" s="414"/>
      <c r="CC74" s="414"/>
      <c r="CD74" s="414"/>
      <c r="CE74" s="414"/>
      <c r="CF74" s="362">
        <f>SUM(Table14[[#This Row],[Jan-25]:[Dec-25]])</f>
        <v>1389280</v>
      </c>
      <c r="CG74" s="414"/>
      <c r="CH74" s="414"/>
      <c r="CI74" s="414"/>
      <c r="CJ74" s="414">
        <f>SUM(Table14[[#This Row],[Jan-26]:[Mar-26]])</f>
        <v>0</v>
      </c>
      <c r="CK74" s="531">
        <f>IFERROR(SUM(Table14[[#This Row],[Oct-25]:[Dec-25]],Table14[[#This Row],[Jan-26]:[Mar-26]])/COUNT(Table14[[#This Row],[Oct-25]:[Dec-25]],Table14[[#This Row],[Jan-26]:[Mar-26]]),0)</f>
        <v>0</v>
      </c>
      <c r="CL74" s="359"/>
      <c r="CM74" s="414">
        <f>Table14[[#This Row],[YTD 2024]]+Table14[[#This Row],[YTD 2025]]+Table14[[#This Row],[YTD 2026]]</f>
        <v>2049600</v>
      </c>
      <c r="CN74" s="366">
        <v>8</v>
      </c>
      <c r="CO74" s="393">
        <f t="shared" si="20"/>
        <v>256200</v>
      </c>
      <c r="CP74" s="353">
        <f>Table14[[#This Row],[Unit Cost]]-Table14[[#This Row],[Margin on Reagent sale]]</f>
        <v>-922320</v>
      </c>
      <c r="CQ74" s="372">
        <f>Table14[[#This Row],[Avg reagent Sales per month Actual]]-Table14[[#This Row],[Per Month Reagent Commitment]]</f>
        <v>256200</v>
      </c>
      <c r="CR74" s="403" t="s">
        <v>316</v>
      </c>
      <c r="CS74" s="367">
        <f>Table14[[#This Row],[On Track / (behind) (avg per month)]]/Table14[[#This Row],[Months]]</f>
        <v>32025</v>
      </c>
      <c r="CT74" s="368">
        <v>0.45</v>
      </c>
      <c r="CU74" s="367">
        <f>Table14[[#This Row],[Total Reagent Sales till date Actual]]*Table14[[#This Row],[Margin %]]</f>
        <v>922320</v>
      </c>
      <c r="CV74" s="400">
        <f t="shared" si="19"/>
        <v>0.45</v>
      </c>
      <c r="CX74" s="1"/>
      <c r="CZ74" s="135"/>
      <c r="DA74" s="1"/>
      <c r="DM74" s="244"/>
    </row>
    <row r="75" spans="1:117" ht="15" customHeight="1" x14ac:dyDescent="0.3">
      <c r="A75" s="399" t="s">
        <v>296</v>
      </c>
      <c r="B75" s="629" t="s">
        <v>297</v>
      </c>
      <c r="C75" s="399" t="s">
        <v>49</v>
      </c>
      <c r="D75" s="415" t="s">
        <v>30</v>
      </c>
      <c r="E75" s="403">
        <v>15002463</v>
      </c>
      <c r="F75" s="403" t="s">
        <v>317</v>
      </c>
      <c r="G75" s="449">
        <v>3002000012</v>
      </c>
      <c r="H75" s="409" t="s">
        <v>299</v>
      </c>
      <c r="I75" s="416" t="s">
        <v>704</v>
      </c>
      <c r="J75" s="417" t="s">
        <v>705</v>
      </c>
      <c r="K75" s="417" t="s">
        <v>594</v>
      </c>
      <c r="L75" s="417" t="s">
        <v>722</v>
      </c>
      <c r="M75" s="417" t="s">
        <v>425</v>
      </c>
      <c r="N75" s="417"/>
      <c r="O75" s="418" t="s">
        <v>529</v>
      </c>
      <c r="P75" s="418" t="s">
        <v>15</v>
      </c>
      <c r="Q75" s="399" t="s">
        <v>305</v>
      </c>
      <c r="R75" s="399">
        <v>3020000692</v>
      </c>
      <c r="S75" s="419" t="s">
        <v>74</v>
      </c>
      <c r="T75" s="403" t="s">
        <v>707</v>
      </c>
      <c r="U75" s="403" t="s">
        <v>708</v>
      </c>
      <c r="V75" s="403" t="s">
        <v>709</v>
      </c>
      <c r="W75" s="350" t="s">
        <v>710</v>
      </c>
      <c r="X75" s="399" t="s">
        <v>701</v>
      </c>
      <c r="Y75" s="399"/>
      <c r="Z75" s="353">
        <v>4500000</v>
      </c>
      <c r="AA75" s="418">
        <v>37</v>
      </c>
      <c r="AB75" s="353">
        <v>385623</v>
      </c>
      <c r="AC75" s="409"/>
      <c r="AD75" s="410"/>
      <c r="AE75" s="431"/>
      <c r="AF75" s="399"/>
      <c r="AG75" s="399"/>
      <c r="AH75" s="399"/>
      <c r="AI75" s="432"/>
      <c r="AJ75" s="403"/>
      <c r="AK75" s="432"/>
      <c r="AL75" s="432"/>
      <c r="AM75" s="422"/>
      <c r="AN75" s="422"/>
      <c r="AO75" s="403"/>
      <c r="AP75" s="403"/>
      <c r="AQ75" s="403"/>
      <c r="AR75" s="403"/>
      <c r="AS75" s="403"/>
      <c r="AT75" s="403"/>
      <c r="AU75" s="431"/>
      <c r="AV75" s="420"/>
      <c r="AW75" s="422"/>
      <c r="AX75" s="422" t="s">
        <v>703</v>
      </c>
      <c r="AY75" s="422"/>
      <c r="AZ75" s="422" t="s">
        <v>723</v>
      </c>
      <c r="BA75" s="422"/>
      <c r="BB75" s="422"/>
      <c r="BC75" s="595" t="s">
        <v>1501</v>
      </c>
      <c r="BD75" s="595" t="s">
        <v>1661</v>
      </c>
      <c r="BE75" s="422">
        <v>1</v>
      </c>
      <c r="BF75" s="419" t="s">
        <v>315</v>
      </c>
      <c r="BG75" s="377">
        <v>351000</v>
      </c>
      <c r="BH75" s="377">
        <v>309320</v>
      </c>
      <c r="BI75" s="377">
        <v>0</v>
      </c>
      <c r="BJ75" s="377">
        <v>0</v>
      </c>
      <c r="BK75" s="377">
        <v>561500</v>
      </c>
      <c r="BL75" s="377">
        <v>0</v>
      </c>
      <c r="BM75" s="377">
        <v>0</v>
      </c>
      <c r="BN75" s="377">
        <v>433030</v>
      </c>
      <c r="BO75" s="377">
        <v>0</v>
      </c>
      <c r="BP75" s="377">
        <v>47600</v>
      </c>
      <c r="BQ75" s="377">
        <v>0</v>
      </c>
      <c r="BR75" s="377">
        <v>291590</v>
      </c>
      <c r="BS75" s="362">
        <f>SUM(Table14[[#This Row],[Jan-24]:[Dec-24]])</f>
        <v>1994040</v>
      </c>
      <c r="BT75" s="362">
        <v>0</v>
      </c>
      <c r="BU75" s="414">
        <v>398580</v>
      </c>
      <c r="BV75" s="414">
        <v>0</v>
      </c>
      <c r="BW75" s="414">
        <v>254800</v>
      </c>
      <c r="BX75" s="414">
        <v>180000</v>
      </c>
      <c r="BY75" s="414">
        <v>555900</v>
      </c>
      <c r="BZ75" s="414">
        <v>0</v>
      </c>
      <c r="CA75" s="414">
        <v>444470</v>
      </c>
      <c r="CB75" s="414">
        <v>114800</v>
      </c>
      <c r="CC75" s="414">
        <v>440940</v>
      </c>
      <c r="CD75" s="414"/>
      <c r="CE75" s="414">
        <v>372653</v>
      </c>
      <c r="CF75" s="362">
        <f>SUM(Table14[[#This Row],[Jan-25]:[Dec-25]])</f>
        <v>2762143</v>
      </c>
      <c r="CG75" s="414">
        <v>165400</v>
      </c>
      <c r="CH75" s="414">
        <v>0</v>
      </c>
      <c r="CI75" s="414">
        <v>0</v>
      </c>
      <c r="CJ75" s="414">
        <f>SUM(Table14[[#This Row],[Jan-26]:[Mar-26]])</f>
        <v>165400</v>
      </c>
      <c r="CK75" s="531">
        <f>IFERROR(SUM(Table14[[#This Row],[Oct-25]:[Dec-25]],Table14[[#This Row],[Jan-26]:[Mar-26]])/COUNT(Table14[[#This Row],[Oct-25]:[Dec-25]],Table14[[#This Row],[Jan-26]:[Mar-26]]),0)</f>
        <v>195798.6</v>
      </c>
      <c r="CL75" s="378"/>
      <c r="CM75" s="414">
        <f>Table14[[#This Row],[YTD 2024]]+Table14[[#This Row],[YTD 2025]]+Table14[[#This Row],[YTD 2026]]</f>
        <v>4921583</v>
      </c>
      <c r="CN75" s="366">
        <v>21</v>
      </c>
      <c r="CO75" s="353">
        <f t="shared" si="20"/>
        <v>234361.09523809524</v>
      </c>
      <c r="CP75" s="353">
        <f>Table14[[#This Row],[Unit Cost]]-Table14[[#This Row],[Margin on Reagent sale]]</f>
        <v>2285287.65</v>
      </c>
      <c r="CQ75" s="372">
        <f>Table14[[#This Row],[Avg reagent Sales per month Actual]]-Table14[[#This Row],[Per Month Reagent Commitment]]</f>
        <v>-151261.90476190476</v>
      </c>
      <c r="CR75" s="403" t="s">
        <v>316</v>
      </c>
      <c r="CS75" s="367">
        <f>Table14[[#This Row],[On Track / (behind) (avg per month)]]/Table14[[#This Row],[Months]]</f>
        <v>-7202.9478458049889</v>
      </c>
      <c r="CT75" s="368">
        <v>0.45</v>
      </c>
      <c r="CU75" s="367">
        <f>Table14[[#This Row],[Total Reagent Sales till date Actual]]*Table14[[#This Row],[Margin %]]</f>
        <v>2214712.35</v>
      </c>
      <c r="CV75" s="400">
        <f t="shared" si="19"/>
        <v>0.45</v>
      </c>
      <c r="CX75" s="1"/>
      <c r="CZ75" s="135"/>
      <c r="DA75" s="1"/>
      <c r="DM75" s="244"/>
    </row>
    <row r="76" spans="1:117" ht="15" customHeight="1" x14ac:dyDescent="0.3">
      <c r="A76" s="399" t="s">
        <v>296</v>
      </c>
      <c r="B76" s="629" t="s">
        <v>297</v>
      </c>
      <c r="C76" s="399" t="s">
        <v>49</v>
      </c>
      <c r="D76" s="415" t="s">
        <v>30</v>
      </c>
      <c r="E76" s="403">
        <v>15002463</v>
      </c>
      <c r="F76" s="403" t="s">
        <v>317</v>
      </c>
      <c r="G76" s="449">
        <v>3002000011</v>
      </c>
      <c r="H76" s="409"/>
      <c r="I76" s="416" t="s">
        <v>724</v>
      </c>
      <c r="J76" s="417" t="s">
        <v>725</v>
      </c>
      <c r="K76" s="417" t="s">
        <v>726</v>
      </c>
      <c r="L76" s="417" t="s">
        <v>727</v>
      </c>
      <c r="M76" s="417" t="s">
        <v>303</v>
      </c>
      <c r="N76" s="417"/>
      <c r="O76" s="416" t="s">
        <v>348</v>
      </c>
      <c r="P76" s="418" t="s">
        <v>15</v>
      </c>
      <c r="Q76" s="399" t="s">
        <v>305</v>
      </c>
      <c r="R76" s="399">
        <v>3020000701</v>
      </c>
      <c r="S76" s="419" t="s">
        <v>168</v>
      </c>
      <c r="T76" s="403" t="s">
        <v>728</v>
      </c>
      <c r="U76" s="403" t="s">
        <v>729</v>
      </c>
      <c r="V76" s="403" t="s">
        <v>730</v>
      </c>
      <c r="W76" s="350" t="s">
        <v>731</v>
      </c>
      <c r="X76" s="399" t="s">
        <v>732</v>
      </c>
      <c r="Y76" s="399" t="s">
        <v>733</v>
      </c>
      <c r="Z76" s="353">
        <v>4500000</v>
      </c>
      <c r="AA76" s="366">
        <v>12</v>
      </c>
      <c r="AB76" s="353">
        <v>761989</v>
      </c>
      <c r="AC76" s="423" t="s">
        <v>734</v>
      </c>
      <c r="AD76" s="424" t="s">
        <v>735</v>
      </c>
      <c r="AE76" s="424" t="s">
        <v>736</v>
      </c>
      <c r="AF76" s="424" t="s">
        <v>737</v>
      </c>
      <c r="AG76" s="424" t="s">
        <v>714</v>
      </c>
      <c r="AH76" s="424" t="s">
        <v>738</v>
      </c>
      <c r="AI76" s="409" t="s">
        <v>739</v>
      </c>
      <c r="AJ76" s="409" t="s">
        <v>740</v>
      </c>
      <c r="AK76" s="409" t="s">
        <v>741</v>
      </c>
      <c r="AL76" s="409" t="s">
        <v>742</v>
      </c>
      <c r="AM76" s="425" t="s">
        <v>743</v>
      </c>
      <c r="AN76" s="425" t="s">
        <v>744</v>
      </c>
      <c r="AO76" s="409"/>
      <c r="AP76" s="409"/>
      <c r="AQ76" s="409"/>
      <c r="AR76" s="409"/>
      <c r="AS76" s="409" t="s">
        <v>720</v>
      </c>
      <c r="AT76" s="409" t="s">
        <v>721</v>
      </c>
      <c r="AU76" s="409" t="s">
        <v>745</v>
      </c>
      <c r="AV76" s="409"/>
      <c r="AW76" s="409" t="s">
        <v>746</v>
      </c>
      <c r="AX76" s="430" t="s">
        <v>747</v>
      </c>
      <c r="AY76" s="430"/>
      <c r="AZ76" s="430" t="s">
        <v>748</v>
      </c>
      <c r="BA76" s="430"/>
      <c r="BB76" s="430"/>
      <c r="BC76" s="415"/>
      <c r="BD76" s="415"/>
      <c r="BE76" s="430"/>
      <c r="BF76" s="419"/>
      <c r="BG76" s="359"/>
      <c r="BH76" s="359"/>
      <c r="BI76" s="359"/>
      <c r="BJ76" s="359"/>
      <c r="BK76" s="359"/>
      <c r="BL76" s="359"/>
      <c r="BM76" s="359"/>
      <c r="BN76" s="359"/>
      <c r="BO76" s="359"/>
      <c r="BP76" s="359"/>
      <c r="BQ76" s="359"/>
      <c r="BR76" s="359"/>
      <c r="BS76" s="362">
        <f>SUM(Table14[[#This Row],[Jan-24]:[Dec-24]])</f>
        <v>0</v>
      </c>
      <c r="BT76" s="362"/>
      <c r="BU76" s="362"/>
      <c r="BV76" s="362"/>
      <c r="BW76" s="362"/>
      <c r="BX76" s="362"/>
      <c r="BY76" s="362"/>
      <c r="BZ76" s="362"/>
      <c r="CA76" s="362"/>
      <c r="CB76" s="362"/>
      <c r="CC76" s="362"/>
      <c r="CD76" s="362"/>
      <c r="CE76" s="362"/>
      <c r="CF76" s="362">
        <f>SUM(Table14[[#This Row],[Jan-25]:[Dec-25]])</f>
        <v>0</v>
      </c>
      <c r="CG76" s="362"/>
      <c r="CH76" s="362"/>
      <c r="CI76" s="362"/>
      <c r="CJ76" s="414">
        <f>SUM(Table14[[#This Row],[Jan-26]:[Mar-26]])</f>
        <v>0</v>
      </c>
      <c r="CK76" s="531">
        <f>IFERROR(SUM(Table14[[#This Row],[Oct-25]:[Dec-25]],Table14[[#This Row],[Jan-26]:[Mar-26]])/COUNT(Table14[[#This Row],[Oct-25]:[Dec-25]],Table14[[#This Row],[Jan-26]:[Mar-26]]),0)</f>
        <v>0</v>
      </c>
      <c r="CL76" s="359" t="s">
        <v>749</v>
      </c>
      <c r="CM76" s="414">
        <f>Table14[[#This Row],[YTD 2024]]+Table14[[#This Row],[YTD 2025]]+Table14[[#This Row],[YTD 2026]]</f>
        <v>0</v>
      </c>
      <c r="CN76" s="366">
        <v>26</v>
      </c>
      <c r="CO76" s="353">
        <f t="shared" si="20"/>
        <v>0</v>
      </c>
      <c r="CP76" s="353">
        <f>Table14[[#This Row],[Unit Cost]]-Table14[[#This Row],[Margin on Reagent sale]]</f>
        <v>4500000</v>
      </c>
      <c r="CQ76" s="372">
        <f>Table14[[#This Row],[Avg reagent Sales per month Actual]]-Table14[[#This Row],[Per Month Reagent Commitment]]</f>
        <v>-761989</v>
      </c>
      <c r="CR76" s="403" t="s">
        <v>750</v>
      </c>
      <c r="CS76" s="367">
        <f>Table14[[#This Row],[On Track / (behind) (avg per month)]]/Table14[[#This Row],[Months]]</f>
        <v>-29307.26923076923</v>
      </c>
      <c r="CT76" s="368">
        <v>0.45</v>
      </c>
      <c r="CU76" s="367">
        <f>Table14[[#This Row],[Total Reagent Sales till date Actual]]*Table14[[#This Row],[Margin %]]</f>
        <v>0</v>
      </c>
      <c r="CV76" s="400">
        <f t="shared" si="19"/>
        <v>0.45</v>
      </c>
      <c r="CX76" s="1"/>
      <c r="CZ76" s="135"/>
      <c r="DA76" s="1"/>
      <c r="DM76" s="244"/>
    </row>
    <row r="77" spans="1:117" ht="15" customHeight="1" x14ac:dyDescent="0.3">
      <c r="A77" s="401" t="s">
        <v>344</v>
      </c>
      <c r="B77" s="629" t="s">
        <v>345</v>
      </c>
      <c r="C77" s="399" t="s">
        <v>25</v>
      </c>
      <c r="D77" s="415" t="s">
        <v>507</v>
      </c>
      <c r="E77" s="403">
        <v>15002673</v>
      </c>
      <c r="F77" s="403" t="s">
        <v>508</v>
      </c>
      <c r="G77" s="449">
        <v>3002000061</v>
      </c>
      <c r="H77" s="409" t="s">
        <v>299</v>
      </c>
      <c r="I77" s="416" t="s">
        <v>751</v>
      </c>
      <c r="J77" s="417"/>
      <c r="K77" s="417" t="s">
        <v>533</v>
      </c>
      <c r="L77" s="417" t="s">
        <v>752</v>
      </c>
      <c r="M77" s="417" t="s">
        <v>303</v>
      </c>
      <c r="N77" s="417"/>
      <c r="O77" s="418" t="s">
        <v>753</v>
      </c>
      <c r="P77" s="418" t="s">
        <v>16</v>
      </c>
      <c r="Q77" s="399" t="s">
        <v>565</v>
      </c>
      <c r="R77" s="399">
        <v>3020000719</v>
      </c>
      <c r="S77" s="419" t="s">
        <v>145</v>
      </c>
      <c r="T77" s="403" t="s">
        <v>427</v>
      </c>
      <c r="U77" s="403" t="s">
        <v>754</v>
      </c>
      <c r="V77" s="403" t="s">
        <v>755</v>
      </c>
      <c r="W77" s="399" t="s">
        <v>756</v>
      </c>
      <c r="X77" s="399" t="s">
        <v>757</v>
      </c>
      <c r="Y77" s="399"/>
      <c r="Z77" s="353">
        <v>3409283</v>
      </c>
      <c r="AA77" s="418">
        <v>13</v>
      </c>
      <c r="AB77" s="353">
        <v>393750</v>
      </c>
      <c r="AC77" s="409"/>
      <c r="AD77" s="410"/>
      <c r="AE77" s="431"/>
      <c r="AF77" s="399"/>
      <c r="AG77" s="399"/>
      <c r="AH77" s="399"/>
      <c r="AI77" s="432"/>
      <c r="AJ77" s="403"/>
      <c r="AK77" s="432"/>
      <c r="AL77" s="432"/>
      <c r="AM77" s="422"/>
      <c r="AN77" s="422"/>
      <c r="AO77" s="403"/>
      <c r="AP77" s="403"/>
      <c r="AQ77" s="403"/>
      <c r="AR77" s="403"/>
      <c r="AS77" s="403"/>
      <c r="AT77" s="403"/>
      <c r="AU77" s="431"/>
      <c r="AV77" s="420"/>
      <c r="AW77" s="422"/>
      <c r="AX77" s="422"/>
      <c r="AY77" s="422"/>
      <c r="AZ77" s="422"/>
      <c r="BA77" s="422"/>
      <c r="BB77" s="422"/>
      <c r="BC77" s="435" t="s">
        <v>1537</v>
      </c>
      <c r="BD77" s="435"/>
      <c r="BE77" s="422"/>
      <c r="BF77" s="419" t="s">
        <v>315</v>
      </c>
      <c r="BG77" s="377"/>
      <c r="BH77" s="377">
        <v>787500</v>
      </c>
      <c r="BI77" s="377">
        <v>787500</v>
      </c>
      <c r="BJ77" s="377">
        <v>0</v>
      </c>
      <c r="BK77" s="377">
        <v>0</v>
      </c>
      <c r="BL77" s="377">
        <v>0</v>
      </c>
      <c r="BM77" s="377">
        <v>0</v>
      </c>
      <c r="BN77" s="377">
        <v>0</v>
      </c>
      <c r="BO77" s="377">
        <v>0</v>
      </c>
      <c r="BP77" s="377">
        <v>0</v>
      </c>
      <c r="BQ77" s="377">
        <v>0</v>
      </c>
      <c r="BR77" s="377">
        <v>0</v>
      </c>
      <c r="BS77" s="362">
        <f>SUM(Table14[[#This Row],[Jan-24]:[Dec-24]])</f>
        <v>1575000</v>
      </c>
      <c r="BT77" s="362">
        <v>0</v>
      </c>
      <c r="BU77" s="362">
        <v>0</v>
      </c>
      <c r="BV77" s="362">
        <v>0</v>
      </c>
      <c r="BW77" s="367">
        <v>0</v>
      </c>
      <c r="BX77" s="362">
        <v>0</v>
      </c>
      <c r="BY77" s="367">
        <v>0</v>
      </c>
      <c r="BZ77" s="367">
        <v>0</v>
      </c>
      <c r="CA77" s="367">
        <v>0</v>
      </c>
      <c r="CB77" s="367"/>
      <c r="CC77" s="367"/>
      <c r="CD77" s="367"/>
      <c r="CE77" s="367"/>
      <c r="CF77" s="362">
        <f>SUM(Table14[[#This Row],[Jan-25]:[Dec-25]])</f>
        <v>0</v>
      </c>
      <c r="CG77" s="367"/>
      <c r="CH77" s="367"/>
      <c r="CI77" s="367"/>
      <c r="CJ77" s="414">
        <f>SUM(Table14[[#This Row],[Jan-26]:[Mar-26]])</f>
        <v>0</v>
      </c>
      <c r="CK77" s="531">
        <f>IFERROR(SUM(Table14[[#This Row],[Oct-25]:[Dec-25]],Table14[[#This Row],[Jan-26]:[Mar-26]])/COUNT(Table14[[#This Row],[Oct-25]:[Dec-25]],Table14[[#This Row],[Jan-26]:[Mar-26]]),0)</f>
        <v>0</v>
      </c>
      <c r="CL77" s="378" t="s">
        <v>758</v>
      </c>
      <c r="CM77" s="414">
        <f>Table14[[#This Row],[YTD 2024]]+Table14[[#This Row],[YTD 2025]]+Table14[[#This Row],[YTD 2026]]</f>
        <v>1575000</v>
      </c>
      <c r="CN77" s="418">
        <v>17</v>
      </c>
      <c r="CO77" s="353">
        <f t="shared" si="20"/>
        <v>92647.058823529413</v>
      </c>
      <c r="CP77" s="353">
        <f>Table14[[#This Row],[Unit Cost]]-Table14[[#This Row],[Margin on Reagent sale]]</f>
        <v>2779283</v>
      </c>
      <c r="CQ77" s="372">
        <f>Table14[[#This Row],[Avg reagent Sales per month Actual]]-Table14[[#This Row],[Per Month Reagent Commitment]]</f>
        <v>-301102.9411764706</v>
      </c>
      <c r="CR77" s="403" t="s">
        <v>343</v>
      </c>
      <c r="CS77" s="367">
        <f>Table14[[#This Row],[On Track / (behind) (avg per month)]]/Table14[[#This Row],[Months]]</f>
        <v>-17711.937716262975</v>
      </c>
      <c r="CT77" s="368">
        <v>0.4</v>
      </c>
      <c r="CU77" s="367">
        <f>Table14[[#This Row],[Total Reagent Sales till date Actual]]*Table14[[#This Row],[Margin %]]</f>
        <v>630000</v>
      </c>
      <c r="CV77" s="400">
        <f t="shared" si="19"/>
        <v>0.4</v>
      </c>
      <c r="CX77" s="1"/>
      <c r="CZ77" s="135"/>
      <c r="DA77" s="1"/>
      <c r="DM77" s="244"/>
    </row>
    <row r="78" spans="1:117" ht="15" customHeight="1" x14ac:dyDescent="0.3">
      <c r="A78" s="399" t="s">
        <v>511</v>
      </c>
      <c r="B78" s="629" t="s">
        <v>345</v>
      </c>
      <c r="C78" s="399" t="s">
        <v>25</v>
      </c>
      <c r="D78" s="415" t="s">
        <v>507</v>
      </c>
      <c r="E78" s="403">
        <v>15002673</v>
      </c>
      <c r="F78" s="403" t="s">
        <v>508</v>
      </c>
      <c r="G78" s="449">
        <v>3002000077</v>
      </c>
      <c r="H78" s="409" t="s">
        <v>299</v>
      </c>
      <c r="I78" s="416" t="s">
        <v>759</v>
      </c>
      <c r="J78" s="417" t="s">
        <v>760</v>
      </c>
      <c r="K78" s="417" t="s">
        <v>761</v>
      </c>
      <c r="L78" s="417" t="s">
        <v>761</v>
      </c>
      <c r="M78" s="417" t="s">
        <v>762</v>
      </c>
      <c r="N78" s="417"/>
      <c r="O78" s="416" t="s">
        <v>304</v>
      </c>
      <c r="P78" s="418" t="s">
        <v>15</v>
      </c>
      <c r="Q78" s="399" t="s">
        <v>305</v>
      </c>
      <c r="R78" s="399">
        <v>3020000734</v>
      </c>
      <c r="S78" s="419" t="s">
        <v>102</v>
      </c>
      <c r="T78" s="403" t="s">
        <v>299</v>
      </c>
      <c r="U78" s="403" t="s">
        <v>763</v>
      </c>
      <c r="V78" s="403" t="s">
        <v>764</v>
      </c>
      <c r="W78" s="350" t="s">
        <v>765</v>
      </c>
      <c r="X78" s="399" t="s">
        <v>766</v>
      </c>
      <c r="Y78" s="399"/>
      <c r="Z78" s="353">
        <v>3393744</v>
      </c>
      <c r="AA78" s="366">
        <v>37</v>
      </c>
      <c r="AB78" s="353">
        <v>469938</v>
      </c>
      <c r="AC78" s="423"/>
      <c r="AD78" s="424"/>
      <c r="AE78" s="424"/>
      <c r="AF78" s="424"/>
      <c r="AG78" s="424"/>
      <c r="AH78" s="424"/>
      <c r="AI78" s="409"/>
      <c r="AJ78" s="409"/>
      <c r="AK78" s="409"/>
      <c r="AL78" s="409"/>
      <c r="AM78" s="425"/>
      <c r="AN78" s="425"/>
      <c r="AO78" s="409"/>
      <c r="AP78" s="409"/>
      <c r="AQ78" s="409"/>
      <c r="AR78" s="409"/>
      <c r="AS78" s="409" t="s">
        <v>767</v>
      </c>
      <c r="AT78" s="409" t="s">
        <v>768</v>
      </c>
      <c r="AU78" s="409" t="s">
        <v>769</v>
      </c>
      <c r="AV78" s="409"/>
      <c r="AW78" s="409"/>
      <c r="AX78" s="409"/>
      <c r="AY78" s="409"/>
      <c r="AZ78" s="409"/>
      <c r="BA78" s="409"/>
      <c r="BB78" s="409"/>
      <c r="BC78" s="598" t="s">
        <v>1501</v>
      </c>
      <c r="BD78" s="598" t="s">
        <v>1648</v>
      </c>
      <c r="BE78" s="424"/>
      <c r="BF78" s="419" t="s">
        <v>315</v>
      </c>
      <c r="BG78" s="363">
        <v>411080</v>
      </c>
      <c r="BH78" s="363">
        <v>347580</v>
      </c>
      <c r="BI78" s="363">
        <v>436720</v>
      </c>
      <c r="BJ78" s="363">
        <v>0</v>
      </c>
      <c r="BK78" s="363">
        <v>347580</v>
      </c>
      <c r="BL78" s="363">
        <v>0</v>
      </c>
      <c r="BM78" s="363">
        <v>264220</v>
      </c>
      <c r="BN78" s="363">
        <v>146220</v>
      </c>
      <c r="BO78" s="363">
        <v>0</v>
      </c>
      <c r="BP78" s="363">
        <v>156500</v>
      </c>
      <c r="BQ78" s="363">
        <v>183000</v>
      </c>
      <c r="BR78" s="363">
        <v>335000.8</v>
      </c>
      <c r="BS78" s="362">
        <f>SUM(Table14[[#This Row],[Jan-24]:[Dec-24]])</f>
        <v>2627900.7999999998</v>
      </c>
      <c r="BT78" s="414">
        <v>83360</v>
      </c>
      <c r="BU78" s="414">
        <v>298656</v>
      </c>
      <c r="BV78" s="414">
        <v>282609</v>
      </c>
      <c r="BW78" s="414">
        <v>0</v>
      </c>
      <c r="BX78" s="414">
        <v>189351.6</v>
      </c>
      <c r="BY78" s="414">
        <v>496284</v>
      </c>
      <c r="BZ78" s="414">
        <v>365316</v>
      </c>
      <c r="CA78" s="414">
        <v>328566</v>
      </c>
      <c r="CB78" s="414">
        <v>432881</v>
      </c>
      <c r="CC78" s="414"/>
      <c r="CD78" s="414">
        <v>335396</v>
      </c>
      <c r="CE78" s="414"/>
      <c r="CF78" s="362">
        <f>SUM(Table14[[#This Row],[Jan-25]:[Dec-25]])</f>
        <v>2812419.6</v>
      </c>
      <c r="CG78" s="414">
        <v>165306</v>
      </c>
      <c r="CH78" s="414">
        <v>243590</v>
      </c>
      <c r="CI78" s="414">
        <v>158203.20000000001</v>
      </c>
      <c r="CJ78" s="414">
        <f>SUM(Table14[[#This Row],[Jan-26]:[Mar-26]])</f>
        <v>567099.19999999995</v>
      </c>
      <c r="CK78" s="531">
        <f>IFERROR(SUM(Table14[[#This Row],[Oct-25]:[Dec-25]],Table14[[#This Row],[Jan-26]:[Mar-26]])/COUNT(Table14[[#This Row],[Oct-25]:[Dec-25]],Table14[[#This Row],[Jan-26]:[Mar-26]]),0)</f>
        <v>225623.8</v>
      </c>
      <c r="CL78" s="363"/>
      <c r="CM78" s="414">
        <f>Table14[[#This Row],[YTD 2024]]+Table14[[#This Row],[YTD 2025]]+Table14[[#This Row],[YTD 2026]]</f>
        <v>6007419.6000000006</v>
      </c>
      <c r="CN78" s="366">
        <v>35</v>
      </c>
      <c r="CO78" s="353">
        <f t="shared" si="20"/>
        <v>171640.56000000003</v>
      </c>
      <c r="CP78" s="353">
        <f>Table14[[#This Row],[Unit Cost]]-Table14[[#This Row],[Margin on Reagent sale]]</f>
        <v>990776.15999999968</v>
      </c>
      <c r="CQ78" s="372">
        <f>Table14[[#This Row],[Avg reagent Sales per month Actual]]-Table14[[#This Row],[Per Month Reagent Commitment]]</f>
        <v>-298297.43999999994</v>
      </c>
      <c r="CR78" s="403" t="s">
        <v>343</v>
      </c>
      <c r="CS78" s="367">
        <f>Table14[[#This Row],[On Track / (behind) (avg per month)]]/Table14[[#This Row],[Months]]</f>
        <v>-8522.7839999999978</v>
      </c>
      <c r="CT78" s="368">
        <v>0.4</v>
      </c>
      <c r="CU78" s="367">
        <f>Table14[[#This Row],[Total Reagent Sales till date Actual]]*Table14[[#This Row],[Margin %]]</f>
        <v>2402967.8400000003</v>
      </c>
      <c r="CV78" s="400">
        <f t="shared" si="19"/>
        <v>0.4</v>
      </c>
      <c r="CX78" s="1"/>
      <c r="CZ78" s="135"/>
      <c r="DA78" s="1"/>
      <c r="DC78" s="226"/>
      <c r="DM78" s="244"/>
    </row>
    <row r="79" spans="1:117" ht="15" customHeight="1" x14ac:dyDescent="0.3">
      <c r="A79" s="401" t="s">
        <v>423</v>
      </c>
      <c r="B79" s="631" t="s">
        <v>297</v>
      </c>
      <c r="C79" s="401" t="s">
        <v>49</v>
      </c>
      <c r="D79" s="402" t="s">
        <v>30</v>
      </c>
      <c r="E79" s="403">
        <v>15002463</v>
      </c>
      <c r="F79" s="403" t="s">
        <v>317</v>
      </c>
      <c r="G79" s="449" t="s">
        <v>770</v>
      </c>
      <c r="H79" s="667"/>
      <c r="I79" s="404" t="s">
        <v>771</v>
      </c>
      <c r="J79" s="405"/>
      <c r="K79" s="405"/>
      <c r="L79" s="405" t="s">
        <v>772</v>
      </c>
      <c r="M79" s="406"/>
      <c r="N79" s="406"/>
      <c r="O79" s="404" t="s">
        <v>304</v>
      </c>
      <c r="P79" s="404" t="s">
        <v>16</v>
      </c>
      <c r="Q79" s="400" t="s">
        <v>349</v>
      </c>
      <c r="R79" s="399">
        <v>3020000736</v>
      </c>
      <c r="S79" s="402" t="s">
        <v>95</v>
      </c>
      <c r="T79" s="401"/>
      <c r="U79" s="407" t="s">
        <v>773</v>
      </c>
      <c r="V79" s="403" t="s">
        <v>774</v>
      </c>
      <c r="W79" s="350" t="s">
        <v>775</v>
      </c>
      <c r="X79" s="408" t="s">
        <v>776</v>
      </c>
      <c r="Y79" s="403"/>
      <c r="Z79" s="351">
        <v>7091000</v>
      </c>
      <c r="AA79" s="352">
        <v>37</v>
      </c>
      <c r="AB79" s="353">
        <v>510888</v>
      </c>
      <c r="AC79" s="409"/>
      <c r="AD79" s="410"/>
      <c r="AE79" s="411"/>
      <c r="AF79" s="411"/>
      <c r="AG79" s="411"/>
      <c r="AH79" s="411"/>
      <c r="AI79" s="411"/>
      <c r="AJ79" s="411"/>
      <c r="AK79" s="411"/>
      <c r="AL79" s="411"/>
      <c r="AM79" s="412"/>
      <c r="AN79" s="412"/>
      <c r="AO79" s="411"/>
      <c r="AP79" s="411"/>
      <c r="AQ79" s="411"/>
      <c r="AR79" s="411"/>
      <c r="AS79" s="411"/>
      <c r="AT79" s="411"/>
      <c r="AU79" s="411"/>
      <c r="AV79" s="412"/>
      <c r="AW79" s="412"/>
      <c r="AX79" s="354"/>
      <c r="AY79" s="354"/>
      <c r="AZ79" s="354"/>
      <c r="BA79" s="354"/>
      <c r="BB79" s="413"/>
      <c r="BC79" s="597" t="s">
        <v>1524</v>
      </c>
      <c r="BD79" s="597" t="s">
        <v>1666</v>
      </c>
      <c r="BE79" s="375">
        <v>1</v>
      </c>
      <c r="BF79" s="419" t="s">
        <v>315</v>
      </c>
      <c r="BG79" s="355"/>
      <c r="BH79" s="355"/>
      <c r="BI79" s="355"/>
      <c r="BJ79" s="355"/>
      <c r="BK79" s="356"/>
      <c r="BL79" s="357"/>
      <c r="BM79" s="358"/>
      <c r="BN79" s="358"/>
      <c r="BO79" s="359"/>
      <c r="BP79" s="414"/>
      <c r="BQ79" s="370"/>
      <c r="BR79" s="414"/>
      <c r="BS79" s="362">
        <f>SUM(Table14[[#This Row],[Jan-24]:[Dec-24]])</f>
        <v>0</v>
      </c>
      <c r="BT79" s="414">
        <v>3051906</v>
      </c>
      <c r="BU79" s="414">
        <v>0</v>
      </c>
      <c r="BV79" s="414">
        <v>8509108</v>
      </c>
      <c r="BW79" s="414">
        <v>0</v>
      </c>
      <c r="BX79" s="414">
        <v>0</v>
      </c>
      <c r="BY79" s="414">
        <v>0</v>
      </c>
      <c r="BZ79" s="414">
        <v>0</v>
      </c>
      <c r="CA79" s="414">
        <v>0</v>
      </c>
      <c r="CB79" s="414">
        <v>0</v>
      </c>
      <c r="CC79" s="414">
        <v>0</v>
      </c>
      <c r="CD79" s="414">
        <v>0</v>
      </c>
      <c r="CE79" s="414"/>
      <c r="CF79" s="362">
        <f>SUM(Table14[[#This Row],[Jan-25]:[Dec-25]])</f>
        <v>11561014</v>
      </c>
      <c r="CG79" s="414">
        <v>0</v>
      </c>
      <c r="CH79" s="414">
        <v>0</v>
      </c>
      <c r="CI79" s="414">
        <v>0</v>
      </c>
      <c r="CJ79" s="414">
        <f>SUM(Table14[[#This Row],[Jan-26]:[Mar-26]])</f>
        <v>0</v>
      </c>
      <c r="CK79" s="531">
        <f>IFERROR(SUM(Table14[[#This Row],[Oct-25]:[Dec-25]],Table14[[#This Row],[Jan-26]:[Mar-26]])/COUNT(Table14[[#This Row],[Oct-25]:[Dec-25]],Table14[[#This Row],[Jan-26]:[Mar-26]]),0)</f>
        <v>0</v>
      </c>
      <c r="CL79" s="364"/>
      <c r="CM79" s="414">
        <f>Table14[[#This Row],[YTD 2024]]+Table14[[#This Row],[YTD 2025]]+Table14[[#This Row],[YTD 2026]]</f>
        <v>11561014</v>
      </c>
      <c r="CN79" s="381">
        <v>9</v>
      </c>
      <c r="CO79" s="353">
        <f t="shared" si="20"/>
        <v>1284557.111111111</v>
      </c>
      <c r="CP79" s="353">
        <f>Table14[[#This Row],[Unit Cost]]-Table14[[#This Row],[Margin on Reagent sale]]</f>
        <v>1888543.7000000002</v>
      </c>
      <c r="CQ79" s="367">
        <f>Table14[[#This Row],[Avg reagent Sales per month Actual]]-Table14[[#This Row],[Per Month Reagent Commitment]]</f>
        <v>773669.11111111101</v>
      </c>
      <c r="CR79" s="403" t="s">
        <v>777</v>
      </c>
      <c r="CS79" s="367">
        <f>Table14[[#This Row],[On Track / (behind) (avg per month)]]/Table14[[#This Row],[Months]]</f>
        <v>85963.234567901221</v>
      </c>
      <c r="CT79" s="368">
        <v>0.45</v>
      </c>
      <c r="CU79" s="367">
        <f>Table14[[#This Row],[Total Reagent Sales till date Actual]]*Table14[[#This Row],[Margin %]]</f>
        <v>5202456.3</v>
      </c>
      <c r="CV79" s="369">
        <f t="shared" si="19"/>
        <v>0.45</v>
      </c>
      <c r="CX79" s="1"/>
      <c r="CZ79" s="135"/>
      <c r="DA79" s="1"/>
      <c r="DC79" s="101"/>
      <c r="DD79" s="101" t="s">
        <v>417</v>
      </c>
      <c r="DM79" s="244"/>
    </row>
    <row r="80" spans="1:117" s="259" customFormat="1" ht="15" customHeight="1" x14ac:dyDescent="0.3">
      <c r="A80" s="401" t="s">
        <v>423</v>
      </c>
      <c r="B80" s="631" t="s">
        <v>297</v>
      </c>
      <c r="C80" s="401" t="s">
        <v>22</v>
      </c>
      <c r="D80" s="402" t="s">
        <v>778</v>
      </c>
      <c r="E80" s="403">
        <v>15001967</v>
      </c>
      <c r="F80" s="401" t="s">
        <v>397</v>
      </c>
      <c r="G80" s="449" t="s">
        <v>779</v>
      </c>
      <c r="H80" s="667"/>
      <c r="I80" s="404">
        <v>123216</v>
      </c>
      <c r="J80" s="405"/>
      <c r="K80" s="405"/>
      <c r="L80" s="405" t="s">
        <v>780</v>
      </c>
      <c r="M80" s="406"/>
      <c r="N80" s="406"/>
      <c r="O80" s="404" t="s">
        <v>304</v>
      </c>
      <c r="P80" s="404" t="s">
        <v>16</v>
      </c>
      <c r="Q80" s="400" t="s">
        <v>349</v>
      </c>
      <c r="R80" s="399">
        <v>3020000736</v>
      </c>
      <c r="S80" s="402" t="s">
        <v>95</v>
      </c>
      <c r="T80" s="401"/>
      <c r="U80" s="407" t="s">
        <v>773</v>
      </c>
      <c r="V80" s="403" t="s">
        <v>774</v>
      </c>
      <c r="W80" s="350" t="s">
        <v>775</v>
      </c>
      <c r="X80" s="408" t="s">
        <v>776</v>
      </c>
      <c r="Y80" s="399"/>
      <c r="Z80" s="351">
        <v>1197250</v>
      </c>
      <c r="AA80" s="352">
        <v>29</v>
      </c>
      <c r="AB80" s="353">
        <v>247788</v>
      </c>
      <c r="AC80" s="409"/>
      <c r="AD80" s="410"/>
      <c r="AE80" s="411"/>
      <c r="AF80" s="411"/>
      <c r="AG80" s="411"/>
      <c r="AH80" s="411"/>
      <c r="AI80" s="411"/>
      <c r="AJ80" s="411"/>
      <c r="AK80" s="411"/>
      <c r="AL80" s="411"/>
      <c r="AM80" s="412"/>
      <c r="AN80" s="412"/>
      <c r="AO80" s="411"/>
      <c r="AP80" s="411"/>
      <c r="AQ80" s="411"/>
      <c r="AR80" s="411"/>
      <c r="AS80" s="411"/>
      <c r="AT80" s="411"/>
      <c r="AU80" s="411"/>
      <c r="AV80" s="412"/>
      <c r="AW80" s="412"/>
      <c r="AX80" s="354"/>
      <c r="AY80" s="354"/>
      <c r="AZ80" s="354"/>
      <c r="BA80" s="354"/>
      <c r="BB80" s="413"/>
      <c r="BC80" s="597" t="s">
        <v>1494</v>
      </c>
      <c r="BD80" s="597" t="s">
        <v>1666</v>
      </c>
      <c r="BE80" s="375">
        <v>1</v>
      </c>
      <c r="BF80" s="419" t="s">
        <v>315</v>
      </c>
      <c r="BG80" s="355"/>
      <c r="BH80" s="355"/>
      <c r="BI80" s="355"/>
      <c r="BJ80" s="355"/>
      <c r="BK80" s="356"/>
      <c r="BL80" s="357"/>
      <c r="BM80" s="358"/>
      <c r="BN80" s="358"/>
      <c r="BO80" s="359"/>
      <c r="BP80" s="359"/>
      <c r="BQ80" s="359"/>
      <c r="BR80" s="359"/>
      <c r="BS80" s="362">
        <f>SUM(Table14[[#This Row],[Jan-24]:[Dec-24]])</f>
        <v>0</v>
      </c>
      <c r="BT80" s="362">
        <v>2973746</v>
      </c>
      <c r="BU80" s="362">
        <v>0</v>
      </c>
      <c r="BV80" s="362">
        <v>0</v>
      </c>
      <c r="BW80" s="362">
        <v>0</v>
      </c>
      <c r="BX80" s="362">
        <v>0</v>
      </c>
      <c r="BY80" s="362">
        <v>0</v>
      </c>
      <c r="BZ80" s="362">
        <v>0</v>
      </c>
      <c r="CA80" s="362">
        <v>0</v>
      </c>
      <c r="CB80" s="362">
        <v>0</v>
      </c>
      <c r="CC80" s="362">
        <v>0</v>
      </c>
      <c r="CD80" s="362">
        <v>0</v>
      </c>
      <c r="CE80" s="362">
        <v>0</v>
      </c>
      <c r="CF80" s="362">
        <f>SUM(Table14[[#This Row],[Jan-25]:[Dec-25]])</f>
        <v>2973746</v>
      </c>
      <c r="CG80" s="362">
        <v>0</v>
      </c>
      <c r="CH80" s="362">
        <v>0</v>
      </c>
      <c r="CI80" s="362">
        <v>0</v>
      </c>
      <c r="CJ80" s="414">
        <f>SUM(Table14[[#This Row],[Jan-26]:[Mar-26]])</f>
        <v>0</v>
      </c>
      <c r="CK80" s="531">
        <f>IFERROR(SUM(Table14[[#This Row],[Oct-25]:[Dec-25]],Table14[[#This Row],[Jan-26]:[Mar-26]])/COUNT(Table14[[#This Row],[Oct-25]:[Dec-25]],Table14[[#This Row],[Jan-26]:[Mar-26]]),0)</f>
        <v>0</v>
      </c>
      <c r="CL80" s="364"/>
      <c r="CM80" s="414">
        <f>Table14[[#This Row],[YTD 2024]]+Table14[[#This Row],[YTD 2025]]+Table14[[#This Row],[YTD 2026]]</f>
        <v>2973746</v>
      </c>
      <c r="CN80" s="418">
        <v>9</v>
      </c>
      <c r="CO80" s="353">
        <f t="shared" si="20"/>
        <v>330416.22222222225</v>
      </c>
      <c r="CP80" s="353">
        <f>Table14[[#This Row],[Unit Cost]]-Table14[[#This Row],[Margin on Reagent sale]]</f>
        <v>7751.5999999998603</v>
      </c>
      <c r="CQ80" s="367">
        <f>Table14[[#This Row],[Avg reagent Sales per month Actual]]-Table14[[#This Row],[Per Month Reagent Commitment]]</f>
        <v>82628.222222222248</v>
      </c>
      <c r="CR80" s="403" t="s">
        <v>777</v>
      </c>
      <c r="CS80" s="367">
        <f>Table14[[#This Row],[On Track / (behind) (avg per month)]]/Table14[[#This Row],[Months]]</f>
        <v>9180.9135802469173</v>
      </c>
      <c r="CT80" s="368">
        <v>0.4</v>
      </c>
      <c r="CU80" s="367">
        <f>Table14[[#This Row],[Total Reagent Sales till date Actual]]*Table14[[#This Row],[Margin %]]</f>
        <v>1189498.4000000001</v>
      </c>
      <c r="CV80" s="369">
        <f t="shared" si="19"/>
        <v>0.4</v>
      </c>
      <c r="CW80" s="258"/>
      <c r="CZ80" s="258"/>
      <c r="DM80" s="260"/>
    </row>
    <row r="81" spans="1:117" ht="15" customHeight="1" x14ac:dyDescent="0.3">
      <c r="A81" s="399" t="s">
        <v>423</v>
      </c>
      <c r="B81" s="630" t="s">
        <v>297</v>
      </c>
      <c r="C81" s="399" t="s">
        <v>22</v>
      </c>
      <c r="D81" s="415" t="s">
        <v>33</v>
      </c>
      <c r="E81" s="403">
        <v>15001967</v>
      </c>
      <c r="F81" s="403" t="s">
        <v>392</v>
      </c>
      <c r="G81" s="666" t="s">
        <v>1621</v>
      </c>
      <c r="H81" s="666"/>
      <c r="I81" s="666">
        <v>125199</v>
      </c>
      <c r="J81" s="417"/>
      <c r="K81" s="417"/>
      <c r="L81" s="417" t="s">
        <v>781</v>
      </c>
      <c r="M81" s="417"/>
      <c r="N81" s="417" t="s">
        <v>782</v>
      </c>
      <c r="O81" s="418" t="s">
        <v>400</v>
      </c>
      <c r="P81" s="418" t="s">
        <v>16</v>
      </c>
      <c r="Q81" s="403" t="s">
        <v>349</v>
      </c>
      <c r="R81" s="399">
        <v>3020000736</v>
      </c>
      <c r="S81" s="419" t="s">
        <v>95</v>
      </c>
      <c r="T81" s="403"/>
      <c r="U81" s="426"/>
      <c r="V81" s="403"/>
      <c r="W81" s="399"/>
      <c r="X81" s="399"/>
      <c r="Y81" s="399"/>
      <c r="Z81" s="486">
        <v>1197250</v>
      </c>
      <c r="AA81" s="418">
        <v>37</v>
      </c>
      <c r="AB81" s="486">
        <v>217071</v>
      </c>
      <c r="AC81" s="409"/>
      <c r="AD81" s="410"/>
      <c r="AE81" s="399"/>
      <c r="AF81" s="399"/>
      <c r="AG81" s="399"/>
      <c r="AH81" s="399"/>
      <c r="AI81" s="403"/>
      <c r="AJ81" s="403"/>
      <c r="AK81" s="403"/>
      <c r="AL81" s="403"/>
      <c r="AM81" s="420"/>
      <c r="AN81" s="420"/>
      <c r="AO81" s="403"/>
      <c r="AP81" s="403"/>
      <c r="AQ81" s="403"/>
      <c r="AR81" s="403"/>
      <c r="AS81" s="403"/>
      <c r="AT81" s="403"/>
      <c r="AU81" s="399"/>
      <c r="AV81" s="420"/>
      <c r="AW81" s="420"/>
      <c r="AX81" s="420"/>
      <c r="AY81" s="420"/>
      <c r="AZ81" s="420"/>
      <c r="BA81" s="370"/>
      <c r="BB81" s="358"/>
      <c r="BC81" s="595" t="s">
        <v>1514</v>
      </c>
      <c r="BD81" s="597" t="s">
        <v>1666</v>
      </c>
      <c r="BE81" s="358">
        <v>1</v>
      </c>
      <c r="BF81" s="419" t="s">
        <v>315</v>
      </c>
      <c r="BG81" s="370"/>
      <c r="BH81" s="370"/>
      <c r="BI81" s="370"/>
      <c r="BJ81" s="370"/>
      <c r="BK81" s="487"/>
      <c r="BL81" s="488"/>
      <c r="BM81" s="358"/>
      <c r="BN81" s="358"/>
      <c r="BO81" s="370"/>
      <c r="BP81" s="487"/>
      <c r="BQ81" s="487"/>
      <c r="BR81" s="487"/>
      <c r="BS81" s="362">
        <f>SUM(Table14[[#This Row],[Jan-24]:[Dec-24]])</f>
        <v>0</v>
      </c>
      <c r="BT81" s="360"/>
      <c r="BU81" s="360"/>
      <c r="BV81" s="376"/>
      <c r="BW81" s="376"/>
      <c r="BX81" s="376"/>
      <c r="BY81" s="376"/>
      <c r="BZ81" s="376"/>
      <c r="CA81" s="376"/>
      <c r="CB81" s="376"/>
      <c r="CC81" s="376"/>
      <c r="CD81" s="376"/>
      <c r="CE81" s="376"/>
      <c r="CF81" s="362">
        <f>SUM(Table14[[#This Row],[Jan-25]:[Dec-25]])</f>
        <v>0</v>
      </c>
      <c r="CG81" s="376">
        <v>0</v>
      </c>
      <c r="CH81" s="376">
        <v>0</v>
      </c>
      <c r="CI81" s="376">
        <v>0</v>
      </c>
      <c r="CJ81" s="414">
        <f>SUM(Table14[[#This Row],[Jan-26]:[Mar-26]])</f>
        <v>0</v>
      </c>
      <c r="CK81" s="531">
        <f>IFERROR(SUM(Table14[[#This Row],[Oct-25]:[Dec-25]],Table14[[#This Row],[Jan-26]:[Mar-26]])/COUNT(Table14[[#This Row],[Oct-25]:[Dec-25]],Table14[[#This Row],[Jan-26]:[Mar-26]]),0)</f>
        <v>0</v>
      </c>
      <c r="CL81" s="367"/>
      <c r="CM81" s="414">
        <f>Table14[[#This Row],[YTD 2024]]+Table14[[#This Row],[YTD 2025]]+Table14[[#This Row],[YTD 2026]]</f>
        <v>0</v>
      </c>
      <c r="CN81" s="418"/>
      <c r="CO81" s="486" t="e">
        <f t="shared" si="20"/>
        <v>#DIV/0!</v>
      </c>
      <c r="CP81" s="490"/>
      <c r="CQ81" s="489" t="e">
        <f>Table14[[#This Row],[Avg reagent Sales per month Actual]]-Table14[[#This Row],[Per Month Reagent Commitment]]</f>
        <v>#DIV/0!</v>
      </c>
      <c r="CR81" s="373"/>
      <c r="CS81" s="367" t="e">
        <f>Table14[[#This Row],[On Track / (behind) (avg per month)]]/Table14[[#This Row],[Months]]</f>
        <v>#DIV/0!</v>
      </c>
      <c r="CT81" s="491"/>
      <c r="CU81" s="367">
        <f>Table14[[#This Row],[Total Reagent Sales till date Actual]]*Table14[[#This Row],[Margin %]]</f>
        <v>0</v>
      </c>
      <c r="CV81" s="371">
        <f t="shared" si="19"/>
        <v>0</v>
      </c>
      <c r="CX81" s="1"/>
      <c r="CZ81" s="135"/>
      <c r="DA81" s="1"/>
      <c r="DM81" s="244"/>
    </row>
    <row r="82" spans="1:117" ht="15" customHeight="1" x14ac:dyDescent="0.3">
      <c r="A82" s="399" t="s">
        <v>423</v>
      </c>
      <c r="B82" s="630" t="s">
        <v>297</v>
      </c>
      <c r="C82" s="399" t="s">
        <v>22</v>
      </c>
      <c r="D82" s="415" t="s">
        <v>33</v>
      </c>
      <c r="E82" s="403">
        <v>15001967</v>
      </c>
      <c r="F82" s="403" t="s">
        <v>397</v>
      </c>
      <c r="G82" s="449">
        <v>3002000095</v>
      </c>
      <c r="H82" s="666"/>
      <c r="I82" s="416">
        <v>123220</v>
      </c>
      <c r="J82" s="417"/>
      <c r="K82" s="417"/>
      <c r="L82" s="417" t="s">
        <v>491</v>
      </c>
      <c r="M82" s="417" t="s">
        <v>425</v>
      </c>
      <c r="N82" s="417"/>
      <c r="O82" s="418" t="s">
        <v>304</v>
      </c>
      <c r="P82" s="418" t="s">
        <v>16</v>
      </c>
      <c r="Q82" s="399" t="s">
        <v>565</v>
      </c>
      <c r="R82" s="399">
        <v>3020000753</v>
      </c>
      <c r="S82" s="419" t="s">
        <v>73</v>
      </c>
      <c r="T82" s="403" t="s">
        <v>299</v>
      </c>
      <c r="U82" s="403" t="s">
        <v>783</v>
      </c>
      <c r="V82" s="403" t="s">
        <v>784</v>
      </c>
      <c r="W82" s="350" t="s">
        <v>785</v>
      </c>
      <c r="X82" s="399" t="s">
        <v>786</v>
      </c>
      <c r="Y82" s="399"/>
      <c r="Z82" s="486">
        <v>1000000</v>
      </c>
      <c r="AA82" s="418">
        <v>27</v>
      </c>
      <c r="AB82" s="486">
        <v>60135</v>
      </c>
      <c r="AC82" s="409"/>
      <c r="AD82" s="410"/>
      <c r="AE82" s="399"/>
      <c r="AF82" s="399"/>
      <c r="AG82" s="399"/>
      <c r="AH82" s="399"/>
      <c r="AI82" s="403"/>
      <c r="AJ82" s="403"/>
      <c r="AK82" s="403"/>
      <c r="AL82" s="403"/>
      <c r="AM82" s="420"/>
      <c r="AN82" s="420"/>
      <c r="AO82" s="403"/>
      <c r="AP82" s="403"/>
      <c r="AQ82" s="403"/>
      <c r="AR82" s="403"/>
      <c r="AS82" s="403"/>
      <c r="AT82" s="403"/>
      <c r="AU82" s="399"/>
      <c r="AV82" s="420"/>
      <c r="AW82" s="420"/>
      <c r="AX82" s="420"/>
      <c r="AY82" s="420"/>
      <c r="AZ82" s="420"/>
      <c r="BA82" s="370"/>
      <c r="BB82" s="358"/>
      <c r="BC82" s="597" t="s">
        <v>1511</v>
      </c>
      <c r="BD82" s="598" t="s">
        <v>1640</v>
      </c>
      <c r="BE82" s="375">
        <v>1</v>
      </c>
      <c r="BF82" s="419" t="s">
        <v>315</v>
      </c>
      <c r="BG82" s="370"/>
      <c r="BH82" s="370"/>
      <c r="BI82" s="370"/>
      <c r="BJ82" s="370"/>
      <c r="BK82" s="487"/>
      <c r="BL82" s="488"/>
      <c r="BM82" s="358"/>
      <c r="BN82" s="358"/>
      <c r="BO82" s="370"/>
      <c r="BP82" s="487"/>
      <c r="BQ82" s="421">
        <v>343814</v>
      </c>
      <c r="BR82" s="487"/>
      <c r="BS82" s="362">
        <f>SUM(Table14[[#This Row],[Jan-24]:[Dec-24]])</f>
        <v>343814</v>
      </c>
      <c r="BT82" s="421">
        <v>687627</v>
      </c>
      <c r="BU82" s="367">
        <v>0</v>
      </c>
      <c r="BV82" s="367">
        <v>0</v>
      </c>
      <c r="BW82" s="421">
        <v>311017</v>
      </c>
      <c r="BX82" s="421">
        <v>0</v>
      </c>
      <c r="BY82" s="367">
        <v>0</v>
      </c>
      <c r="BZ82" s="367">
        <v>212627.11</v>
      </c>
      <c r="CA82" s="367">
        <v>0</v>
      </c>
      <c r="CB82" s="367">
        <v>0</v>
      </c>
      <c r="CC82" s="367"/>
      <c r="CD82" s="367"/>
      <c r="CE82" s="367"/>
      <c r="CF82" s="362">
        <f>SUM(Table14[[#This Row],[Jan-25]:[Dec-25]])</f>
        <v>1211271.1099999999</v>
      </c>
      <c r="CG82" s="367">
        <v>0</v>
      </c>
      <c r="CH82" s="367">
        <v>0</v>
      </c>
      <c r="CI82" s="367">
        <v>0</v>
      </c>
      <c r="CJ82" s="414">
        <f>SUM(Table14[[#This Row],[Jan-26]:[Mar-26]])</f>
        <v>0</v>
      </c>
      <c r="CK82" s="531">
        <f>IFERROR(SUM(Table14[[#This Row],[Oct-25]:[Dec-25]],Table14[[#This Row],[Jan-26]:[Mar-26]])/COUNT(Table14[[#This Row],[Oct-25]:[Dec-25]],Table14[[#This Row],[Jan-26]:[Mar-26]]),0)</f>
        <v>0</v>
      </c>
      <c r="CL82" s="367"/>
      <c r="CM82" s="414">
        <f>Table14[[#This Row],[YTD 2024]]+Table14[[#This Row],[YTD 2025]]+Table14[[#This Row],[YTD 2026]]</f>
        <v>1555085.1099999999</v>
      </c>
      <c r="CN82" s="418">
        <v>11</v>
      </c>
      <c r="CO82" s="353">
        <f t="shared" si="20"/>
        <v>141371.37363636363</v>
      </c>
      <c r="CP82" s="353">
        <f>Table14[[#This Row],[Unit Cost]]-Table14[[#This Row],[Margin on Reagent sale]]</f>
        <v>377965.95600000001</v>
      </c>
      <c r="CQ82" s="489">
        <f>Table14[[#This Row],[Avg reagent Sales per month Actual]]-Table14[[#This Row],[Per Month Reagent Commitment]]</f>
        <v>81236.373636363627</v>
      </c>
      <c r="CR82" s="403" t="s">
        <v>316</v>
      </c>
      <c r="CS82" s="367">
        <f>Table14[[#This Row],[On Track / (behind) (avg per month)]]/Table14[[#This Row],[Months]]</f>
        <v>7385.1248760330573</v>
      </c>
      <c r="CT82" s="368">
        <v>0.4</v>
      </c>
      <c r="CU82" s="367">
        <f>Table14[[#This Row],[Total Reagent Sales till date Actual]]*Table14[[#This Row],[Margin %]]</f>
        <v>622034.04399999999</v>
      </c>
      <c r="CV82" s="371">
        <f t="shared" si="19"/>
        <v>0.4</v>
      </c>
      <c r="CX82" s="1"/>
      <c r="CZ82" s="135"/>
      <c r="DA82" s="1"/>
      <c r="DM82" s="244"/>
    </row>
    <row r="83" spans="1:117" ht="15" customHeight="1" x14ac:dyDescent="0.3">
      <c r="A83" s="399" t="s">
        <v>787</v>
      </c>
      <c r="B83" s="629" t="s">
        <v>297</v>
      </c>
      <c r="C83" s="399" t="s">
        <v>24</v>
      </c>
      <c r="D83" s="415" t="s">
        <v>35</v>
      </c>
      <c r="E83" s="403">
        <v>15002553</v>
      </c>
      <c r="F83" s="403" t="s">
        <v>298</v>
      </c>
      <c r="G83" s="449" t="s">
        <v>788</v>
      </c>
      <c r="H83" s="666" t="s">
        <v>570</v>
      </c>
      <c r="I83" s="429" t="s">
        <v>789</v>
      </c>
      <c r="J83" s="417"/>
      <c r="K83" s="417"/>
      <c r="L83" s="417" t="s">
        <v>790</v>
      </c>
      <c r="M83" s="417"/>
      <c r="N83" s="417"/>
      <c r="O83" s="418" t="s">
        <v>304</v>
      </c>
      <c r="P83" s="418" t="s">
        <v>17</v>
      </c>
      <c r="Q83" s="399" t="s">
        <v>791</v>
      </c>
      <c r="R83" s="399">
        <v>3020000764</v>
      </c>
      <c r="S83" s="419" t="s">
        <v>71</v>
      </c>
      <c r="T83" s="403"/>
      <c r="U83" s="426" t="s">
        <v>792</v>
      </c>
      <c r="V83" s="403" t="s">
        <v>793</v>
      </c>
      <c r="W83" s="350" t="s">
        <v>794</v>
      </c>
      <c r="X83" s="399"/>
      <c r="Y83" s="399" t="s">
        <v>795</v>
      </c>
      <c r="Z83" s="486">
        <v>2915000</v>
      </c>
      <c r="AA83" s="418">
        <v>32</v>
      </c>
      <c r="AB83" s="486">
        <v>305347</v>
      </c>
      <c r="AC83" s="409"/>
      <c r="AD83" s="410"/>
      <c r="AE83" s="399"/>
      <c r="AF83" s="399"/>
      <c r="AG83" s="399"/>
      <c r="AH83" s="399"/>
      <c r="AI83" s="403"/>
      <c r="AJ83" s="403"/>
      <c r="AK83" s="403"/>
      <c r="AL83" s="403"/>
      <c r="AM83" s="420"/>
      <c r="AN83" s="420"/>
      <c r="AO83" s="403"/>
      <c r="AP83" s="403"/>
      <c r="AQ83" s="403"/>
      <c r="AR83" s="403"/>
      <c r="AS83" s="403"/>
      <c r="AT83" s="403"/>
      <c r="AU83" s="399"/>
      <c r="AV83" s="420"/>
      <c r="AW83" s="420"/>
      <c r="AX83" s="420"/>
      <c r="AY83" s="420"/>
      <c r="AZ83" s="420"/>
      <c r="BA83" s="370"/>
      <c r="BB83" s="358"/>
      <c r="BC83" s="597" t="s">
        <v>1539</v>
      </c>
      <c r="BD83" s="597" t="s">
        <v>1692</v>
      </c>
      <c r="BE83" s="375">
        <v>1</v>
      </c>
      <c r="BF83" s="419" t="s">
        <v>315</v>
      </c>
      <c r="BG83" s="370"/>
      <c r="BH83" s="370"/>
      <c r="BI83" s="370"/>
      <c r="BJ83" s="370"/>
      <c r="BK83" s="487"/>
      <c r="BL83" s="488"/>
      <c r="BM83" s="358"/>
      <c r="BN83" s="358"/>
      <c r="BO83" s="370"/>
      <c r="BP83" s="487"/>
      <c r="BQ83" s="487"/>
      <c r="BR83" s="487"/>
      <c r="BS83" s="362">
        <f>SUM(Table14[[#This Row],[Jan-24]:[Dec-24]])</f>
        <v>0</v>
      </c>
      <c r="BT83" s="360">
        <v>248200</v>
      </c>
      <c r="BU83" s="360">
        <v>76800</v>
      </c>
      <c r="BV83" s="376">
        <v>332400</v>
      </c>
      <c r="BW83" s="376">
        <v>0</v>
      </c>
      <c r="BX83" s="376">
        <v>0</v>
      </c>
      <c r="BY83" s="414">
        <v>184400</v>
      </c>
      <c r="BZ83" s="414">
        <v>129400</v>
      </c>
      <c r="CA83" s="414">
        <v>0</v>
      </c>
      <c r="CB83" s="414">
        <v>179500</v>
      </c>
      <c r="CC83" s="414">
        <v>17500</v>
      </c>
      <c r="CD83" s="414">
        <v>75800</v>
      </c>
      <c r="CE83" s="414">
        <v>348380</v>
      </c>
      <c r="CF83" s="362">
        <f>SUM(Table14[[#This Row],[Jan-25]:[Dec-25]])</f>
        <v>1592380</v>
      </c>
      <c r="CG83" s="414">
        <v>0</v>
      </c>
      <c r="CH83" s="414">
        <v>0</v>
      </c>
      <c r="CI83" s="414">
        <v>0</v>
      </c>
      <c r="CJ83" s="414">
        <f>SUM(Table14[[#This Row],[Jan-26]:[Mar-26]])</f>
        <v>0</v>
      </c>
      <c r="CK83" s="531">
        <f>IFERROR(SUM(Table14[[#This Row],[Oct-25]:[Dec-25]],Table14[[#This Row],[Jan-26]:[Mar-26]])/COUNT(Table14[[#This Row],[Oct-25]:[Dec-25]],Table14[[#This Row],[Jan-26]:[Mar-26]]),0)</f>
        <v>73613.333333333328</v>
      </c>
      <c r="CL83" s="367"/>
      <c r="CM83" s="414">
        <f>Table14[[#This Row],[YTD 2024]]+Table14[[#This Row],[YTD 2025]]+Table14[[#This Row],[YTD 2026]]</f>
        <v>1592380</v>
      </c>
      <c r="CN83" s="418">
        <v>15</v>
      </c>
      <c r="CO83" s="353">
        <f t="shared" si="20"/>
        <v>106158.66666666667</v>
      </c>
      <c r="CP83" s="353">
        <f>Table14[[#This Row],[Unit Cost]]-Table14[[#This Row],[Margin on Reagent sale]]</f>
        <v>2278048</v>
      </c>
      <c r="CQ83" s="489">
        <v>-1222032.6666666667</v>
      </c>
      <c r="CR83" s="403" t="s">
        <v>343</v>
      </c>
      <c r="CS83" s="367">
        <f>Table14[[#This Row],[On Track / (behind) (avg per month)]]/Table14[[#This Row],[Months]]</f>
        <v>-81468.844444444447</v>
      </c>
      <c r="CT83" s="368">
        <v>0.4</v>
      </c>
      <c r="CU83" s="367">
        <f>Table14[[#This Row],[Total Reagent Sales till date Actual]]*Table14[[#This Row],[Margin %]]</f>
        <v>636952</v>
      </c>
      <c r="CV83" s="371">
        <f t="shared" si="19"/>
        <v>0.4</v>
      </c>
      <c r="CX83" s="1"/>
      <c r="CZ83" s="135"/>
      <c r="DA83" s="1"/>
      <c r="DM83" s="244"/>
    </row>
    <row r="84" spans="1:117" s="259" customFormat="1" ht="15" customHeight="1" x14ac:dyDescent="0.3">
      <c r="A84" s="401" t="s">
        <v>344</v>
      </c>
      <c r="B84" s="629" t="s">
        <v>345</v>
      </c>
      <c r="C84" s="399" t="s">
        <v>21</v>
      </c>
      <c r="D84" s="415" t="s">
        <v>29</v>
      </c>
      <c r="E84" s="403">
        <v>15002758</v>
      </c>
      <c r="F84" s="403" t="s">
        <v>298</v>
      </c>
      <c r="G84" s="449">
        <v>3002000026</v>
      </c>
      <c r="H84" s="409" t="s">
        <v>299</v>
      </c>
      <c r="I84" s="416">
        <v>36001150</v>
      </c>
      <c r="J84" s="417" t="s">
        <v>796</v>
      </c>
      <c r="K84" s="417" t="s">
        <v>797</v>
      </c>
      <c r="L84" s="417" t="s">
        <v>797</v>
      </c>
      <c r="M84" s="417" t="s">
        <v>303</v>
      </c>
      <c r="N84" s="417"/>
      <c r="O84" s="416" t="s">
        <v>798</v>
      </c>
      <c r="P84" s="418" t="s">
        <v>16</v>
      </c>
      <c r="Q84" s="399" t="s">
        <v>349</v>
      </c>
      <c r="R84" s="399">
        <v>3020000771</v>
      </c>
      <c r="S84" s="419" t="s">
        <v>147</v>
      </c>
      <c r="T84" s="403" t="s">
        <v>799</v>
      </c>
      <c r="U84" s="403" t="s">
        <v>800</v>
      </c>
      <c r="V84" s="403" t="s">
        <v>801</v>
      </c>
      <c r="W84" s="350" t="s">
        <v>802</v>
      </c>
      <c r="X84" s="399" t="s">
        <v>803</v>
      </c>
      <c r="Y84" s="399"/>
      <c r="Z84" s="353">
        <v>16350883</v>
      </c>
      <c r="AA84" s="366">
        <v>28</v>
      </c>
      <c r="AB84" s="353">
        <v>1316953</v>
      </c>
      <c r="AC84" s="423"/>
      <c r="AD84" s="424"/>
      <c r="AE84" s="424"/>
      <c r="AF84" s="424"/>
      <c r="AG84" s="424" t="s">
        <v>662</v>
      </c>
      <c r="AH84" s="424"/>
      <c r="AI84" s="409" t="s">
        <v>662</v>
      </c>
      <c r="AJ84" s="409" t="s">
        <v>804</v>
      </c>
      <c r="AK84" s="409" t="s">
        <v>354</v>
      </c>
      <c r="AL84" s="409"/>
      <c r="AM84" s="425" t="s">
        <v>805</v>
      </c>
      <c r="AN84" s="425" t="s">
        <v>806</v>
      </c>
      <c r="AO84" s="409"/>
      <c r="AP84" s="409" t="s">
        <v>806</v>
      </c>
      <c r="AQ84" s="409" t="s">
        <v>807</v>
      </c>
      <c r="AR84" s="409"/>
      <c r="AS84" s="409"/>
      <c r="AT84" s="409"/>
      <c r="AU84" s="409" t="s">
        <v>808</v>
      </c>
      <c r="AV84" s="409"/>
      <c r="AW84" s="409" t="s">
        <v>670</v>
      </c>
      <c r="AX84" s="409"/>
      <c r="AY84" s="409"/>
      <c r="AZ84" s="409"/>
      <c r="BA84" s="409"/>
      <c r="BB84" s="409"/>
      <c r="BC84" s="596" t="s">
        <v>1532</v>
      </c>
      <c r="BD84" s="596"/>
      <c r="BE84" s="409"/>
      <c r="BF84" s="419" t="s">
        <v>348</v>
      </c>
      <c r="BG84" s="363">
        <v>173231</v>
      </c>
      <c r="BH84" s="363">
        <v>154319</v>
      </c>
      <c r="BI84" s="363">
        <v>0</v>
      </c>
      <c r="BJ84" s="363">
        <v>474372</v>
      </c>
      <c r="BK84" s="363">
        <v>0</v>
      </c>
      <c r="BL84" s="363">
        <v>0</v>
      </c>
      <c r="BM84" s="414">
        <v>83518</v>
      </c>
      <c r="BN84" s="414">
        <v>207188</v>
      </c>
      <c r="BO84" s="414">
        <v>329913</v>
      </c>
      <c r="BP84" s="414">
        <v>0</v>
      </c>
      <c r="BQ84" s="414">
        <v>223703</v>
      </c>
      <c r="BR84" s="414">
        <v>267777</v>
      </c>
      <c r="BS84" s="362">
        <f>SUM(Table14[[#This Row],[Jan-24]:[Dec-24]])</f>
        <v>1914021</v>
      </c>
      <c r="BT84" s="362">
        <v>0</v>
      </c>
      <c r="BU84" s="414">
        <v>-114525</v>
      </c>
      <c r="BV84" s="414">
        <v>-376955</v>
      </c>
      <c r="BW84" s="414">
        <v>0</v>
      </c>
      <c r="BX84" s="414">
        <v>0</v>
      </c>
      <c r="BY84" s="414">
        <v>0</v>
      </c>
      <c r="BZ84" s="414">
        <v>0</v>
      </c>
      <c r="CA84" s="414">
        <v>0</v>
      </c>
      <c r="CB84" s="414">
        <v>0</v>
      </c>
      <c r="CC84" s="414">
        <v>0</v>
      </c>
      <c r="CD84" s="414"/>
      <c r="CE84" s="414"/>
      <c r="CF84" s="362">
        <f>SUM(Table14[[#This Row],[Jan-25]:[Dec-25]])</f>
        <v>-491480</v>
      </c>
      <c r="CG84" s="414"/>
      <c r="CH84" s="414"/>
      <c r="CI84" s="414"/>
      <c r="CJ84" s="414">
        <f>SUM(Table14[[#This Row],[Jan-26]:[Mar-26]])</f>
        <v>0</v>
      </c>
      <c r="CK84" s="531">
        <f>IFERROR(SUM(Table14[[#This Row],[Oct-25]:[Dec-25]],Table14[[#This Row],[Jan-26]:[Mar-26]])/COUNT(Table14[[#This Row],[Oct-25]:[Dec-25]],Table14[[#This Row],[Jan-26]:[Mar-26]]),0)</f>
        <v>0</v>
      </c>
      <c r="CL84" s="363"/>
      <c r="CM84" s="414">
        <f>Table14[[#This Row],[YTD 2024]]+Table14[[#This Row],[YTD 2025]]+Table14[[#This Row],[YTD 2026]]</f>
        <v>1422541</v>
      </c>
      <c r="CN84" s="366">
        <v>26</v>
      </c>
      <c r="CO84" s="353">
        <f t="shared" si="20"/>
        <v>54713.115384615383</v>
      </c>
      <c r="CP84" s="353">
        <f>Table14[[#This Row],[Unit Cost]]-Table14[[#This Row],[Margin on Reagent sale]]</f>
        <v>15781866.6</v>
      </c>
      <c r="CQ84" s="372">
        <f>Table14[[#This Row],[Avg reagent Sales per month Actual]]-Table14[[#This Row],[Per Month Reagent Commitment]]</f>
        <v>-1262239.8846153845</v>
      </c>
      <c r="CR84" s="403" t="s">
        <v>343</v>
      </c>
      <c r="CS84" s="367">
        <f>Table14[[#This Row],[On Track / (behind) (avg per month)]]/Table14[[#This Row],[Months]]</f>
        <v>-48547.687869822483</v>
      </c>
      <c r="CT84" s="368">
        <v>0.4</v>
      </c>
      <c r="CU84" s="367">
        <f>Table14[[#This Row],[Total Reagent Sales till date Actual]]*Table14[[#This Row],[Margin %]]</f>
        <v>569016.4</v>
      </c>
      <c r="CV84" s="442">
        <v>0.35</v>
      </c>
      <c r="CW84" s="258"/>
      <c r="CZ84" s="258"/>
      <c r="DM84" s="260"/>
    </row>
    <row r="85" spans="1:117" s="276" customFormat="1" ht="27.75" customHeight="1" x14ac:dyDescent="0.3">
      <c r="A85" s="399" t="s">
        <v>423</v>
      </c>
      <c r="B85" s="631" t="s">
        <v>297</v>
      </c>
      <c r="C85" s="399" t="s">
        <v>24</v>
      </c>
      <c r="D85" s="415" t="s">
        <v>35</v>
      </c>
      <c r="E85" s="403">
        <v>15002553</v>
      </c>
      <c r="F85" s="403" t="s">
        <v>298</v>
      </c>
      <c r="G85" s="449">
        <v>3002000106</v>
      </c>
      <c r="H85" s="666" t="s">
        <v>570</v>
      </c>
      <c r="I85" s="429" t="s">
        <v>809</v>
      </c>
      <c r="J85" s="417"/>
      <c r="K85" s="417"/>
      <c r="L85" s="417" t="s">
        <v>810</v>
      </c>
      <c r="M85" s="417"/>
      <c r="N85" s="417"/>
      <c r="O85" s="418" t="s">
        <v>304</v>
      </c>
      <c r="P85" s="418" t="s">
        <v>16</v>
      </c>
      <c r="Q85" s="399" t="s">
        <v>349</v>
      </c>
      <c r="R85" s="399">
        <v>3020000771</v>
      </c>
      <c r="S85" s="419" t="s">
        <v>86</v>
      </c>
      <c r="T85" s="403"/>
      <c r="U85" s="426" t="s">
        <v>811</v>
      </c>
      <c r="V85" s="403" t="s">
        <v>812</v>
      </c>
      <c r="W85" s="350" t="s">
        <v>802</v>
      </c>
      <c r="X85" s="399" t="s">
        <v>803</v>
      </c>
      <c r="Y85" s="399"/>
      <c r="Z85" s="486">
        <v>2615000</v>
      </c>
      <c r="AA85" s="418">
        <v>36</v>
      </c>
      <c r="AB85" s="486">
        <v>124814</v>
      </c>
      <c r="AC85" s="409"/>
      <c r="AD85" s="410"/>
      <c r="AE85" s="399"/>
      <c r="AF85" s="399"/>
      <c r="AG85" s="399"/>
      <c r="AH85" s="399"/>
      <c r="AI85" s="403"/>
      <c r="AJ85" s="403"/>
      <c r="AK85" s="403"/>
      <c r="AL85" s="403"/>
      <c r="AM85" s="420"/>
      <c r="AN85" s="420"/>
      <c r="AO85" s="403"/>
      <c r="AP85" s="403"/>
      <c r="AQ85" s="403"/>
      <c r="AR85" s="403"/>
      <c r="AS85" s="403"/>
      <c r="AT85" s="403"/>
      <c r="AU85" s="399"/>
      <c r="AV85" s="420"/>
      <c r="AW85" s="420"/>
      <c r="AX85" s="420"/>
      <c r="AY85" s="420"/>
      <c r="AZ85" s="420"/>
      <c r="BA85" s="370"/>
      <c r="BB85" s="358"/>
      <c r="BC85" s="597" t="s">
        <v>1524</v>
      </c>
      <c r="BD85" s="597" t="s">
        <v>1524</v>
      </c>
      <c r="BE85" s="375">
        <v>1</v>
      </c>
      <c r="BF85" s="419" t="s">
        <v>315</v>
      </c>
      <c r="BG85" s="370"/>
      <c r="BH85" s="370"/>
      <c r="BI85" s="370"/>
      <c r="BJ85" s="370"/>
      <c r="BK85" s="487"/>
      <c r="BL85" s="488"/>
      <c r="BM85" s="358"/>
      <c r="BN85" s="358"/>
      <c r="BO85" s="370"/>
      <c r="BP85" s="487"/>
      <c r="BQ85" s="487"/>
      <c r="BR85" s="487"/>
      <c r="BS85" s="362">
        <f>SUM(Table14[[#This Row],[Jan-24]:[Dec-24]])</f>
        <v>0</v>
      </c>
      <c r="BT85" s="360"/>
      <c r="BU85" s="360"/>
      <c r="BV85" s="376"/>
      <c r="BW85" s="376"/>
      <c r="BX85" s="414">
        <v>527997</v>
      </c>
      <c r="BY85" s="414">
        <v>0</v>
      </c>
      <c r="BZ85" s="414">
        <v>0</v>
      </c>
      <c r="CA85" s="414">
        <v>411462</v>
      </c>
      <c r="CB85" s="414">
        <v>0</v>
      </c>
      <c r="CC85" s="414"/>
      <c r="CD85" s="414">
        <v>328080</v>
      </c>
      <c r="CE85" s="414"/>
      <c r="CF85" s="362">
        <f>SUM(Table14[[#This Row],[Jan-25]:[Dec-25]])</f>
        <v>1267539</v>
      </c>
      <c r="CG85" s="414">
        <v>337476</v>
      </c>
      <c r="CH85" s="414">
        <v>0</v>
      </c>
      <c r="CI85" s="414">
        <v>0</v>
      </c>
      <c r="CJ85" s="414">
        <f>SUM(Table14[[#This Row],[Jan-26]:[Mar-26]])</f>
        <v>337476</v>
      </c>
      <c r="CK85" s="531">
        <f>IFERROR(SUM(Table14[[#This Row],[Oct-25]:[Dec-25]],Table14[[#This Row],[Jan-26]:[Mar-26]])/COUNT(Table14[[#This Row],[Oct-25]:[Dec-25]],Table14[[#This Row],[Jan-26]:[Mar-26]]),0)</f>
        <v>166389</v>
      </c>
      <c r="CL85" s="367"/>
      <c r="CM85" s="414">
        <f>Table14[[#This Row],[YTD 2024]]+Table14[[#This Row],[YTD 2025]]+Table14[[#This Row],[YTD 2026]]</f>
        <v>1605015</v>
      </c>
      <c r="CN85" s="418">
        <v>8</v>
      </c>
      <c r="CO85" s="353">
        <f t="shared" si="20"/>
        <v>200626.875</v>
      </c>
      <c r="CP85" s="353">
        <f>Table14[[#This Row],[Unit Cost]]-Table14[[#This Row],[Margin on Reagent sale]]</f>
        <v>1972994</v>
      </c>
      <c r="CQ85" s="489">
        <v>-404240</v>
      </c>
      <c r="CR85" s="373" t="s">
        <v>343</v>
      </c>
      <c r="CS85" s="367">
        <f>Table14[[#This Row],[On Track / (behind) (avg per month)]]/Table14[[#This Row],[Months]]</f>
        <v>-50530</v>
      </c>
      <c r="CT85" s="368">
        <v>0.4</v>
      </c>
      <c r="CU85" s="367">
        <f>Table14[[#This Row],[Total Reagent Sales till date Actual]]*Table14[[#This Row],[Margin %]]</f>
        <v>642006</v>
      </c>
      <c r="CV85" s="371">
        <f t="shared" ref="CV85:CV96" si="21">CT85</f>
        <v>0.4</v>
      </c>
      <c r="CW85" s="275"/>
      <c r="CZ85" s="275"/>
      <c r="DM85" s="260"/>
    </row>
    <row r="86" spans="1:117" ht="15" customHeight="1" x14ac:dyDescent="0.3">
      <c r="A86" s="401" t="s">
        <v>344</v>
      </c>
      <c r="B86" s="629" t="s">
        <v>345</v>
      </c>
      <c r="C86" s="399" t="s">
        <v>25</v>
      </c>
      <c r="D86" s="415" t="s">
        <v>507</v>
      </c>
      <c r="E86" s="403">
        <v>15002673</v>
      </c>
      <c r="F86" s="403" t="s">
        <v>508</v>
      </c>
      <c r="G86" s="449">
        <v>3002000030</v>
      </c>
      <c r="H86" s="409" t="s">
        <v>299</v>
      </c>
      <c r="I86" s="416" t="s">
        <v>813</v>
      </c>
      <c r="J86" s="417" t="s">
        <v>814</v>
      </c>
      <c r="K86" s="417" t="s">
        <v>815</v>
      </c>
      <c r="L86" s="417" t="s">
        <v>452</v>
      </c>
      <c r="M86" s="417" t="s">
        <v>303</v>
      </c>
      <c r="N86" s="417"/>
      <c r="O86" s="418" t="s">
        <v>348</v>
      </c>
      <c r="P86" s="418" t="s">
        <v>16</v>
      </c>
      <c r="Q86" s="399" t="s">
        <v>349</v>
      </c>
      <c r="R86" s="399">
        <v>3020000776</v>
      </c>
      <c r="S86" s="419" t="s">
        <v>183</v>
      </c>
      <c r="T86" s="403" t="s">
        <v>816</v>
      </c>
      <c r="U86" s="403" t="s">
        <v>817</v>
      </c>
      <c r="V86" s="350" t="s">
        <v>818</v>
      </c>
      <c r="W86" s="399" t="s">
        <v>819</v>
      </c>
      <c r="X86" s="399" t="s">
        <v>820</v>
      </c>
      <c r="Y86" s="399"/>
      <c r="Z86" s="353">
        <v>2500000</v>
      </c>
      <c r="AA86" s="366">
        <v>13</v>
      </c>
      <c r="AB86" s="353">
        <v>643570</v>
      </c>
      <c r="AC86" s="423"/>
      <c r="AD86" s="424"/>
      <c r="AE86" s="424"/>
      <c r="AF86" s="424"/>
      <c r="AG86" s="424" t="s">
        <v>662</v>
      </c>
      <c r="AH86" s="424"/>
      <c r="AI86" s="409" t="s">
        <v>662</v>
      </c>
      <c r="AJ86" s="409" t="s">
        <v>804</v>
      </c>
      <c r="AK86" s="409" t="s">
        <v>821</v>
      </c>
      <c r="AL86" s="409" t="s">
        <v>822</v>
      </c>
      <c r="AM86" s="425"/>
      <c r="AN86" s="425"/>
      <c r="AO86" s="409"/>
      <c r="AP86" s="409"/>
      <c r="AQ86" s="409"/>
      <c r="AR86" s="409"/>
      <c r="AS86" s="409"/>
      <c r="AT86" s="409"/>
      <c r="AU86" s="409" t="s">
        <v>823</v>
      </c>
      <c r="AV86" s="409"/>
      <c r="AW86" s="409" t="s">
        <v>824</v>
      </c>
      <c r="AX86" s="409"/>
      <c r="AY86" s="409"/>
      <c r="AZ86" s="409" t="s">
        <v>825</v>
      </c>
      <c r="BA86" s="409"/>
      <c r="BB86" s="409"/>
      <c r="BC86" s="596"/>
      <c r="BD86" s="596"/>
      <c r="BE86" s="409"/>
      <c r="BF86" s="419"/>
      <c r="BG86" s="363"/>
      <c r="BH86" s="363"/>
      <c r="BI86" s="363"/>
      <c r="BJ86" s="363"/>
      <c r="BK86" s="363">
        <v>0</v>
      </c>
      <c r="BL86" s="363"/>
      <c r="BM86" s="363"/>
      <c r="BN86" s="363"/>
      <c r="BO86" s="363"/>
      <c r="BP86" s="363"/>
      <c r="BQ86" s="363"/>
      <c r="BR86" s="363"/>
      <c r="BS86" s="362">
        <f>SUM(Table14[[#This Row],[Jan-24]:[Dec-24]])</f>
        <v>0</v>
      </c>
      <c r="BT86" s="362"/>
      <c r="BU86" s="362"/>
      <c r="BV86" s="362"/>
      <c r="BW86" s="362"/>
      <c r="BX86" s="362"/>
      <c r="BY86" s="362"/>
      <c r="BZ86" s="362"/>
      <c r="CA86" s="362"/>
      <c r="CB86" s="362"/>
      <c r="CC86" s="362"/>
      <c r="CD86" s="362"/>
      <c r="CE86" s="362"/>
      <c r="CF86" s="362">
        <f>SUM(Table14[[#This Row],[Jan-25]:[Dec-25]])</f>
        <v>0</v>
      </c>
      <c r="CG86" s="362"/>
      <c r="CH86" s="362"/>
      <c r="CI86" s="362"/>
      <c r="CJ86" s="414">
        <f>SUM(Table14[[#This Row],[Jan-26]:[Mar-26]])</f>
        <v>0</v>
      </c>
      <c r="CK86" s="531">
        <f>IFERROR(SUM(Table14[[#This Row],[Oct-25]:[Dec-25]],Table14[[#This Row],[Jan-26]:[Mar-26]])/COUNT(Table14[[#This Row],[Oct-25]:[Dec-25]],Table14[[#This Row],[Jan-26]:[Mar-26]]),0)</f>
        <v>0</v>
      </c>
      <c r="CL86" s="363" t="s">
        <v>826</v>
      </c>
      <c r="CM86" s="414">
        <f>Table14[[#This Row],[YTD 2024]]+Table14[[#This Row],[YTD 2025]]+Table14[[#This Row],[YTD 2026]]</f>
        <v>0</v>
      </c>
      <c r="CN86" s="366">
        <v>12</v>
      </c>
      <c r="CO86" s="353">
        <f t="shared" si="20"/>
        <v>0</v>
      </c>
      <c r="CP86" s="353">
        <f>Table14[[#This Row],[Unit Cost]]-Table14[[#This Row],[Margin on Reagent sale]]</f>
        <v>2500000</v>
      </c>
      <c r="CQ86" s="372">
        <f>Table14[[#This Row],[Avg reagent Sales per month Actual]]-Table14[[#This Row],[Per Month Reagent Commitment]]</f>
        <v>-643570</v>
      </c>
      <c r="CR86" s="403" t="s">
        <v>827</v>
      </c>
      <c r="CS86" s="367">
        <f>Table14[[#This Row],[On Track / (behind) (avg per month)]]/Table14[[#This Row],[Months]]</f>
        <v>-53630.833333333336</v>
      </c>
      <c r="CT86" s="368">
        <v>0.4</v>
      </c>
      <c r="CU86" s="367">
        <f>Table14[[#This Row],[Total Reagent Sales till date Actual]]*Table14[[#This Row],[Margin %]]</f>
        <v>0</v>
      </c>
      <c r="CV86" s="400">
        <f t="shared" si="21"/>
        <v>0.4</v>
      </c>
      <c r="CX86" s="1"/>
      <c r="CZ86" s="135"/>
      <c r="DA86" s="1"/>
      <c r="DM86" s="244"/>
    </row>
    <row r="87" spans="1:117" ht="40.5" customHeight="1" x14ac:dyDescent="0.3">
      <c r="A87" s="399" t="s">
        <v>693</v>
      </c>
      <c r="B87" s="630" t="s">
        <v>345</v>
      </c>
      <c r="C87" s="399" t="s">
        <v>25</v>
      </c>
      <c r="D87" s="415" t="s">
        <v>38</v>
      </c>
      <c r="E87" s="403">
        <v>15002674</v>
      </c>
      <c r="F87" s="403" t="s">
        <v>649</v>
      </c>
      <c r="G87" s="449"/>
      <c r="H87" s="666"/>
      <c r="I87" s="416"/>
      <c r="J87" s="417"/>
      <c r="K87" s="417"/>
      <c r="L87" s="417" t="s">
        <v>828</v>
      </c>
      <c r="M87" s="417"/>
      <c r="N87" s="417"/>
      <c r="O87" s="418" t="s">
        <v>304</v>
      </c>
      <c r="P87" s="418" t="s">
        <v>15</v>
      </c>
      <c r="Q87" s="403" t="s">
        <v>305</v>
      </c>
      <c r="R87" s="399">
        <v>3020000811</v>
      </c>
      <c r="S87" s="419" t="s">
        <v>88</v>
      </c>
      <c r="T87" s="403"/>
      <c r="U87" s="426"/>
      <c r="V87" s="403"/>
      <c r="W87" s="399"/>
      <c r="X87" s="399"/>
      <c r="Y87" s="399"/>
      <c r="Z87" s="486">
        <f>483821+110000</f>
        <v>593821</v>
      </c>
      <c r="AA87" s="418">
        <v>18</v>
      </c>
      <c r="AB87" s="486">
        <v>80770</v>
      </c>
      <c r="AC87" s="409"/>
      <c r="AD87" s="410"/>
      <c r="AE87" s="399"/>
      <c r="AF87" s="399"/>
      <c r="AG87" s="399"/>
      <c r="AH87" s="399"/>
      <c r="AI87" s="403"/>
      <c r="AJ87" s="403"/>
      <c r="AK87" s="403"/>
      <c r="AL87" s="403"/>
      <c r="AM87" s="420"/>
      <c r="AN87" s="420"/>
      <c r="AO87" s="403"/>
      <c r="AP87" s="403"/>
      <c r="AQ87" s="403"/>
      <c r="AR87" s="403"/>
      <c r="AS87" s="403"/>
      <c r="AT87" s="403"/>
      <c r="AU87" s="399"/>
      <c r="AV87" s="420"/>
      <c r="AW87" s="420"/>
      <c r="AX87" s="420"/>
      <c r="AY87" s="420"/>
      <c r="AZ87" s="420"/>
      <c r="BA87" s="370"/>
      <c r="BB87" s="358"/>
      <c r="BC87" s="595" t="s">
        <v>1509</v>
      </c>
      <c r="BD87" s="595" t="s">
        <v>1649</v>
      </c>
      <c r="BE87" s="358">
        <v>1</v>
      </c>
      <c r="BF87" s="419"/>
      <c r="BG87" s="370"/>
      <c r="BH87" s="370"/>
      <c r="BI87" s="370"/>
      <c r="BJ87" s="370"/>
      <c r="BK87" s="487"/>
      <c r="BL87" s="488"/>
      <c r="BM87" s="358"/>
      <c r="BN87" s="358"/>
      <c r="BO87" s="370"/>
      <c r="BP87" s="487"/>
      <c r="BQ87" s="487"/>
      <c r="BR87" s="487"/>
      <c r="BS87" s="362">
        <f>SUM(Table14[[#This Row],[Jan-24]:[Dec-24]])</f>
        <v>0</v>
      </c>
      <c r="BT87" s="360"/>
      <c r="BU87" s="360"/>
      <c r="BV87" s="376"/>
      <c r="BW87" s="376"/>
      <c r="BX87" s="376"/>
      <c r="BY87" s="376"/>
      <c r="BZ87" s="376"/>
      <c r="CA87" s="376"/>
      <c r="CB87" s="376">
        <v>112700</v>
      </c>
      <c r="CC87" s="376"/>
      <c r="CD87" s="376"/>
      <c r="CE87" s="376"/>
      <c r="CF87" s="362">
        <f>SUM(Table14[[#This Row],[Jan-25]:[Dec-25]])</f>
        <v>112700</v>
      </c>
      <c r="CG87" s="376">
        <v>0</v>
      </c>
      <c r="CH87" s="376">
        <v>0</v>
      </c>
      <c r="CI87" s="376">
        <v>0</v>
      </c>
      <c r="CJ87" s="414">
        <f>SUM(Table14[[#This Row],[Jan-26]:[Mar-26]])</f>
        <v>0</v>
      </c>
      <c r="CK87" s="531">
        <f>IFERROR(SUM(Table14[[#This Row],[Oct-25]:[Dec-25]],Table14[[#This Row],[Jan-26]:[Mar-26]])/COUNT(Table14[[#This Row],[Oct-25]:[Dec-25]],Table14[[#This Row],[Jan-26]:[Mar-26]]),0)</f>
        <v>0</v>
      </c>
      <c r="CL87" s="367"/>
      <c r="CM87" s="414">
        <f>Table14[[#This Row],[YTD 2024]]+Table14[[#This Row],[YTD 2025]]+Table14[[#This Row],[YTD 2026]]</f>
        <v>112700</v>
      </c>
      <c r="CN87" s="418">
        <v>4</v>
      </c>
      <c r="CO87" s="486">
        <f t="shared" si="20"/>
        <v>28175</v>
      </c>
      <c r="CP87" s="490"/>
      <c r="CQ87" s="489">
        <f>Table14[[#This Row],[Avg reagent Sales per month Actual]]-Table14[[#This Row],[Per Month Reagent Commitment]]</f>
        <v>-52595</v>
      </c>
      <c r="CR87" s="373"/>
      <c r="CS87" s="367">
        <f>Table14[[#This Row],[On Track / (behind) (avg per month)]]/Table14[[#This Row],[Months]]</f>
        <v>-13148.75</v>
      </c>
      <c r="CT87" s="491"/>
      <c r="CU87" s="367">
        <f>Table14[[#This Row],[Total Reagent Sales till date Actual]]*Table14[[#This Row],[Margin %]]</f>
        <v>0</v>
      </c>
      <c r="CV87" s="371">
        <f t="shared" si="21"/>
        <v>0</v>
      </c>
      <c r="CX87" s="1"/>
      <c r="CZ87" s="135"/>
      <c r="DA87" s="1"/>
      <c r="DM87" s="244"/>
    </row>
    <row r="88" spans="1:117" ht="15" customHeight="1" x14ac:dyDescent="0.3">
      <c r="A88" s="399" t="s">
        <v>693</v>
      </c>
      <c r="B88" s="630" t="s">
        <v>345</v>
      </c>
      <c r="C88" s="399" t="s">
        <v>25</v>
      </c>
      <c r="D88" s="415" t="s">
        <v>829</v>
      </c>
      <c r="E88" s="403">
        <v>15002671</v>
      </c>
      <c r="F88" s="403" t="s">
        <v>508</v>
      </c>
      <c r="G88" s="449"/>
      <c r="H88" s="666"/>
      <c r="I88" s="416"/>
      <c r="J88" s="417"/>
      <c r="K88" s="417"/>
      <c r="L88" s="417" t="s">
        <v>828</v>
      </c>
      <c r="M88" s="417"/>
      <c r="N88" s="417"/>
      <c r="O88" s="418" t="s">
        <v>304</v>
      </c>
      <c r="P88" s="418" t="s">
        <v>15</v>
      </c>
      <c r="Q88" s="403" t="s">
        <v>305</v>
      </c>
      <c r="R88" s="399">
        <v>3020000811</v>
      </c>
      <c r="S88" s="419" t="s">
        <v>88</v>
      </c>
      <c r="T88" s="403"/>
      <c r="U88" s="426"/>
      <c r="V88" s="403"/>
      <c r="W88" s="399"/>
      <c r="X88" s="399"/>
      <c r="Y88" s="399"/>
      <c r="Z88" s="486">
        <f>291644+110000</f>
        <v>401644</v>
      </c>
      <c r="AA88" s="418">
        <v>18</v>
      </c>
      <c r="AB88" s="486">
        <v>42750</v>
      </c>
      <c r="AC88" s="409"/>
      <c r="AD88" s="410"/>
      <c r="AE88" s="399"/>
      <c r="AF88" s="399"/>
      <c r="AG88" s="399"/>
      <c r="AH88" s="399"/>
      <c r="AI88" s="403"/>
      <c r="AJ88" s="403"/>
      <c r="AK88" s="403"/>
      <c r="AL88" s="403"/>
      <c r="AM88" s="420"/>
      <c r="AN88" s="420"/>
      <c r="AO88" s="403"/>
      <c r="AP88" s="403"/>
      <c r="AQ88" s="403"/>
      <c r="AR88" s="403"/>
      <c r="AS88" s="403"/>
      <c r="AT88" s="403"/>
      <c r="AU88" s="399"/>
      <c r="AV88" s="420"/>
      <c r="AW88" s="420"/>
      <c r="AX88" s="420"/>
      <c r="AY88" s="420"/>
      <c r="AZ88" s="420"/>
      <c r="BA88" s="370"/>
      <c r="BB88" s="358"/>
      <c r="BC88" s="595" t="s">
        <v>1501</v>
      </c>
      <c r="BD88" s="595" t="s">
        <v>1650</v>
      </c>
      <c r="BE88" s="358">
        <v>1</v>
      </c>
      <c r="BF88" s="419" t="s">
        <v>315</v>
      </c>
      <c r="BG88" s="370"/>
      <c r="BH88" s="370"/>
      <c r="BI88" s="370"/>
      <c r="BJ88" s="370"/>
      <c r="BK88" s="487"/>
      <c r="BL88" s="488"/>
      <c r="BM88" s="358"/>
      <c r="BN88" s="358"/>
      <c r="BO88" s="370"/>
      <c r="BP88" s="487"/>
      <c r="BQ88" s="487"/>
      <c r="BR88" s="487"/>
      <c r="BS88" s="362">
        <f>SUM(Table14[[#This Row],[Jan-24]:[Dec-24]])</f>
        <v>0</v>
      </c>
      <c r="BT88" s="360"/>
      <c r="BU88" s="360"/>
      <c r="BV88" s="376"/>
      <c r="BW88" s="376"/>
      <c r="BX88" s="376"/>
      <c r="BY88" s="376"/>
      <c r="BZ88" s="376"/>
      <c r="CA88" s="376"/>
      <c r="CB88" s="376">
        <v>29500</v>
      </c>
      <c r="CC88" s="376"/>
      <c r="CD88" s="376">
        <v>20000</v>
      </c>
      <c r="CE88" s="376"/>
      <c r="CF88" s="362">
        <f>SUM(Table14[[#This Row],[Jan-25]:[Dec-25]])</f>
        <v>49500</v>
      </c>
      <c r="CG88" s="376">
        <v>0</v>
      </c>
      <c r="CH88" s="376">
        <v>0</v>
      </c>
      <c r="CI88" s="376">
        <v>0</v>
      </c>
      <c r="CJ88" s="414">
        <f>SUM(Table14[[#This Row],[Jan-26]:[Mar-26]])</f>
        <v>0</v>
      </c>
      <c r="CK88" s="531">
        <f>IFERROR(SUM(Table14[[#This Row],[Oct-25]:[Dec-25]],Table14[[#This Row],[Jan-26]:[Mar-26]])/COUNT(Table14[[#This Row],[Oct-25]:[Dec-25]],Table14[[#This Row],[Jan-26]:[Mar-26]]),0)</f>
        <v>5000</v>
      </c>
      <c r="CL88" s="367"/>
      <c r="CM88" s="414">
        <f>Table14[[#This Row],[YTD 2024]]+Table14[[#This Row],[YTD 2025]]+Table14[[#This Row],[YTD 2026]]</f>
        <v>49500</v>
      </c>
      <c r="CN88" s="418">
        <v>5</v>
      </c>
      <c r="CO88" s="486">
        <f t="shared" si="20"/>
        <v>9900</v>
      </c>
      <c r="CP88" s="490"/>
      <c r="CQ88" s="489">
        <f>Table14[[#This Row],[Avg reagent Sales per month Actual]]-Table14[[#This Row],[Per Month Reagent Commitment]]</f>
        <v>-32850</v>
      </c>
      <c r="CR88" s="373"/>
      <c r="CS88" s="367">
        <f>Table14[[#This Row],[On Track / (behind) (avg per month)]]/Table14[[#This Row],[Months]]</f>
        <v>-6570</v>
      </c>
      <c r="CT88" s="491"/>
      <c r="CU88" s="367">
        <f>Table14[[#This Row],[Total Reagent Sales till date Actual]]*Table14[[#This Row],[Margin %]]</f>
        <v>0</v>
      </c>
      <c r="CV88" s="371">
        <f t="shared" si="21"/>
        <v>0</v>
      </c>
      <c r="CX88" s="1"/>
      <c r="CZ88" s="135"/>
      <c r="DA88" s="1"/>
      <c r="DC88" s="226"/>
      <c r="DM88" s="244"/>
    </row>
    <row r="89" spans="1:117" ht="15" customHeight="1" x14ac:dyDescent="0.3">
      <c r="A89" s="399" t="s">
        <v>693</v>
      </c>
      <c r="B89" s="630" t="s">
        <v>345</v>
      </c>
      <c r="C89" s="561" t="s">
        <v>51</v>
      </c>
      <c r="D89" s="555" t="s">
        <v>830</v>
      </c>
      <c r="E89" s="403">
        <v>15003000</v>
      </c>
      <c r="F89" s="403" t="s">
        <v>831</v>
      </c>
      <c r="G89" s="449"/>
      <c r="H89" s="666"/>
      <c r="I89" s="416"/>
      <c r="J89" s="562"/>
      <c r="K89" s="417"/>
      <c r="L89" s="417" t="s">
        <v>828</v>
      </c>
      <c r="M89" s="417"/>
      <c r="N89" s="417"/>
      <c r="O89" s="551" t="s">
        <v>348</v>
      </c>
      <c r="P89" s="551" t="s">
        <v>15</v>
      </c>
      <c r="Q89" s="548" t="s">
        <v>305</v>
      </c>
      <c r="R89" s="399">
        <v>3020000811</v>
      </c>
      <c r="S89" s="568" t="s">
        <v>88</v>
      </c>
      <c r="T89" s="403"/>
      <c r="U89" s="426"/>
      <c r="V89" s="403"/>
      <c r="W89" s="399"/>
      <c r="X89" s="399"/>
      <c r="Y89" s="399"/>
      <c r="Z89" s="556">
        <f>713735+110000</f>
        <v>823735</v>
      </c>
      <c r="AA89" s="551">
        <v>17</v>
      </c>
      <c r="AB89" s="556">
        <v>114156</v>
      </c>
      <c r="AC89" s="409"/>
      <c r="AD89" s="410"/>
      <c r="AE89" s="399"/>
      <c r="AF89" s="399"/>
      <c r="AG89" s="399"/>
      <c r="AH89" s="399"/>
      <c r="AI89" s="403"/>
      <c r="AJ89" s="403"/>
      <c r="AK89" s="403"/>
      <c r="AL89" s="403"/>
      <c r="AM89" s="420"/>
      <c r="AN89" s="420"/>
      <c r="AO89" s="403"/>
      <c r="AP89" s="403"/>
      <c r="AQ89" s="403"/>
      <c r="AR89" s="403"/>
      <c r="AS89" s="403"/>
      <c r="AT89" s="403"/>
      <c r="AU89" s="399"/>
      <c r="AV89" s="420"/>
      <c r="AW89" s="420"/>
      <c r="AX89" s="420"/>
      <c r="AY89" s="420"/>
      <c r="AZ89" s="420"/>
      <c r="BA89" s="370"/>
      <c r="BB89" s="358"/>
      <c r="BC89" s="599" t="s">
        <v>1506</v>
      </c>
      <c r="BD89" s="599"/>
      <c r="BE89" s="358"/>
      <c r="BF89" s="568"/>
      <c r="BG89" s="370"/>
      <c r="BH89" s="370"/>
      <c r="BI89" s="370"/>
      <c r="BJ89" s="370"/>
      <c r="BK89" s="487"/>
      <c r="BL89" s="488"/>
      <c r="BM89" s="358"/>
      <c r="BN89" s="358"/>
      <c r="BO89" s="370"/>
      <c r="BP89" s="487"/>
      <c r="BQ89" s="487"/>
      <c r="BR89" s="487"/>
      <c r="BS89" s="362">
        <f>SUM(Table14[[#This Row],[Jan-24]:[Dec-24]])</f>
        <v>0</v>
      </c>
      <c r="BT89" s="360"/>
      <c r="BU89" s="360"/>
      <c r="BV89" s="376"/>
      <c r="BW89" s="376"/>
      <c r="BX89" s="376"/>
      <c r="BY89" s="376"/>
      <c r="BZ89" s="376"/>
      <c r="CA89" s="376"/>
      <c r="CB89" s="376">
        <v>187800</v>
      </c>
      <c r="CC89" s="376">
        <v>28500</v>
      </c>
      <c r="CD89" s="376"/>
      <c r="CE89" s="557"/>
      <c r="CF89" s="362">
        <f>SUM(Table14[[#This Row],[Jan-25]:[Dec-25]])</f>
        <v>216300</v>
      </c>
      <c r="CG89" s="557"/>
      <c r="CH89" s="557"/>
      <c r="CI89" s="557"/>
      <c r="CJ89" s="414">
        <f>SUM(Table14[[#This Row],[Jan-26]:[Mar-26]])</f>
        <v>0</v>
      </c>
      <c r="CK89" s="531">
        <f>IFERROR(SUM(Table14[[#This Row],[Oct-25]:[Dec-25]],Table14[[#This Row],[Jan-26]:[Mar-26]])/COUNT(Table14[[#This Row],[Oct-25]:[Dec-25]],Table14[[#This Row],[Jan-26]:[Mar-26]]),0)</f>
        <v>28500</v>
      </c>
      <c r="CL89" s="547"/>
      <c r="CM89" s="414">
        <f>Table14[[#This Row],[YTD 2024]]+Table14[[#This Row],[YTD 2025]]+Table14[[#This Row],[YTD 2026]]</f>
        <v>216300</v>
      </c>
      <c r="CN89" s="551">
        <v>4</v>
      </c>
      <c r="CO89" s="556">
        <f t="shared" si="20"/>
        <v>54075</v>
      </c>
      <c r="CP89" s="569"/>
      <c r="CQ89" s="559">
        <f>Table14[[#This Row],[Avg reagent Sales per month Actual]]-Table14[[#This Row],[Per Month Reagent Commitment]]</f>
        <v>-60081</v>
      </c>
      <c r="CR89" s="570"/>
      <c r="CS89" s="547">
        <f>Table14[[#This Row],[On Track / (behind) (avg per month)]]/Table14[[#This Row],[Months]]</f>
        <v>-15020.25</v>
      </c>
      <c r="CT89" s="560"/>
      <c r="CU89" s="547">
        <f>Table14[[#This Row],[Total Reagent Sales till date Actual]]*Table14[[#This Row],[Margin %]]</f>
        <v>0</v>
      </c>
      <c r="CV89" s="571">
        <f t="shared" si="21"/>
        <v>0</v>
      </c>
      <c r="CX89" s="1"/>
      <c r="CZ89" s="135"/>
      <c r="DA89" s="1"/>
      <c r="DC89" s="226"/>
      <c r="DM89" s="244"/>
    </row>
    <row r="90" spans="1:117" ht="15" customHeight="1" x14ac:dyDescent="0.3">
      <c r="A90" s="399" t="s">
        <v>423</v>
      </c>
      <c r="B90" s="629" t="s">
        <v>297</v>
      </c>
      <c r="C90" s="399" t="s">
        <v>24</v>
      </c>
      <c r="D90" s="415" t="s">
        <v>35</v>
      </c>
      <c r="E90" s="403">
        <v>15002553</v>
      </c>
      <c r="F90" s="403" t="s">
        <v>298</v>
      </c>
      <c r="G90" s="449">
        <v>3002000029</v>
      </c>
      <c r="H90" s="669" t="s">
        <v>299</v>
      </c>
      <c r="I90" s="416" t="s">
        <v>832</v>
      </c>
      <c r="J90" s="417" t="s">
        <v>833</v>
      </c>
      <c r="K90" s="417" t="s">
        <v>834</v>
      </c>
      <c r="L90" s="417" t="s">
        <v>835</v>
      </c>
      <c r="M90" s="417" t="s">
        <v>303</v>
      </c>
      <c r="N90" s="417"/>
      <c r="O90" s="416" t="s">
        <v>304</v>
      </c>
      <c r="P90" s="418" t="s">
        <v>16</v>
      </c>
      <c r="Q90" s="399" t="s">
        <v>349</v>
      </c>
      <c r="R90" s="399">
        <v>3020000816</v>
      </c>
      <c r="S90" s="419" t="s">
        <v>99</v>
      </c>
      <c r="T90" s="403" t="s">
        <v>836</v>
      </c>
      <c r="U90" s="403" t="s">
        <v>837</v>
      </c>
      <c r="V90" s="403" t="s">
        <v>838</v>
      </c>
      <c r="W90" s="350" t="s">
        <v>839</v>
      </c>
      <c r="X90" s="399" t="s">
        <v>840</v>
      </c>
      <c r="Y90" s="399"/>
      <c r="Z90" s="353">
        <v>1962000</v>
      </c>
      <c r="AA90" s="366">
        <v>10</v>
      </c>
      <c r="AB90" s="353">
        <v>458397</v>
      </c>
      <c r="AC90" s="423"/>
      <c r="AD90" s="424"/>
      <c r="AE90" s="424" t="s">
        <v>316</v>
      </c>
      <c r="AF90" s="424" t="s">
        <v>841</v>
      </c>
      <c r="AG90" s="424" t="s">
        <v>662</v>
      </c>
      <c r="AH90" s="424" t="s">
        <v>842</v>
      </c>
      <c r="AI90" s="409" t="s">
        <v>843</v>
      </c>
      <c r="AJ90" s="409" t="s">
        <v>844</v>
      </c>
      <c r="AK90" s="409" t="s">
        <v>845</v>
      </c>
      <c r="AL90" s="409" t="s">
        <v>846</v>
      </c>
      <c r="AM90" s="425"/>
      <c r="AN90" s="425"/>
      <c r="AO90" s="409"/>
      <c r="AP90" s="409"/>
      <c r="AQ90" s="409"/>
      <c r="AR90" s="409"/>
      <c r="AS90" s="409"/>
      <c r="AT90" s="409"/>
      <c r="AU90" s="409" t="s">
        <v>312</v>
      </c>
      <c r="AV90" s="409"/>
      <c r="AW90" s="422"/>
      <c r="AX90" s="496"/>
      <c r="AY90" s="422"/>
      <c r="AZ90" s="422"/>
      <c r="BA90" s="496"/>
      <c r="BB90" s="496"/>
      <c r="BC90" s="605" t="s">
        <v>1527</v>
      </c>
      <c r="BD90" s="605" t="s">
        <v>1685</v>
      </c>
      <c r="BE90" s="496">
        <v>1</v>
      </c>
      <c r="BF90" s="419" t="s">
        <v>315</v>
      </c>
      <c r="BG90" s="497">
        <v>138967.22</v>
      </c>
      <c r="BH90" s="497">
        <v>548950.83000000007</v>
      </c>
      <c r="BI90" s="497">
        <v>135622.95000000001</v>
      </c>
      <c r="BJ90" s="497">
        <v>473500</v>
      </c>
      <c r="BK90" s="497">
        <v>99000</v>
      </c>
      <c r="BL90" s="497">
        <v>513500</v>
      </c>
      <c r="BM90" s="497">
        <v>290983.63</v>
      </c>
      <c r="BN90" s="497">
        <v>76229.52</v>
      </c>
      <c r="BO90" s="497">
        <v>696041.02</v>
      </c>
      <c r="BP90" s="497">
        <v>485140</v>
      </c>
      <c r="BQ90" s="497">
        <v>0</v>
      </c>
      <c r="BR90" s="497">
        <v>428696.75</v>
      </c>
      <c r="BS90" s="362">
        <f>SUM(Table14[[#This Row],[Jan-24]:[Dec-24]])</f>
        <v>3886631.92</v>
      </c>
      <c r="BT90" s="414">
        <v>403811.49999999994</v>
      </c>
      <c r="BU90" s="414">
        <v>0</v>
      </c>
      <c r="BV90" s="414">
        <v>449950.73</v>
      </c>
      <c r="BW90" s="421">
        <v>567279</v>
      </c>
      <c r="BX90" s="421">
        <v>0</v>
      </c>
      <c r="BY90" s="414">
        <v>49500</v>
      </c>
      <c r="BZ90" s="414">
        <v>0</v>
      </c>
      <c r="CA90" s="414">
        <v>258483.59</v>
      </c>
      <c r="CB90" s="414">
        <v>0</v>
      </c>
      <c r="CC90" s="414">
        <v>87516</v>
      </c>
      <c r="CD90" s="414">
        <v>57000</v>
      </c>
      <c r="CE90" s="414"/>
      <c r="CF90" s="362">
        <f>SUM(Table14[[#This Row],[Jan-25]:[Dec-25]])</f>
        <v>1873540.82</v>
      </c>
      <c r="CG90" s="414">
        <v>21000</v>
      </c>
      <c r="CH90" s="414">
        <v>79754</v>
      </c>
      <c r="CI90" s="414"/>
      <c r="CJ90" s="414">
        <f>SUM(Table14[[#This Row],[Jan-26]:[Mar-26]])</f>
        <v>100754</v>
      </c>
      <c r="CK90" s="531">
        <f>IFERROR(SUM(Table14[[#This Row],[Oct-25]:[Dec-25]],Table14[[#This Row],[Jan-26]:[Mar-26]])/COUNT(Table14[[#This Row],[Oct-25]:[Dec-25]],Table14[[#This Row],[Jan-26]:[Mar-26]]),0)</f>
        <v>61317.5</v>
      </c>
      <c r="CL90" s="498"/>
      <c r="CM90" s="414">
        <f>Table14[[#This Row],[YTD 2024]]+Table14[[#This Row],[YTD 2025]]+Table14[[#This Row],[YTD 2026]]</f>
        <v>5860926.7400000002</v>
      </c>
      <c r="CN90" s="366">
        <v>34</v>
      </c>
      <c r="CO90" s="353">
        <f t="shared" si="20"/>
        <v>172380.19823529411</v>
      </c>
      <c r="CP90" s="353">
        <f>Table14[[#This Row],[Unit Cost]]-Table14[[#This Row],[Margin on Reagent sale]]</f>
        <v>-382370.696</v>
      </c>
      <c r="CQ90" s="372">
        <f>Table14[[#This Row],[Avg reagent Sales per month Actual]]-Table14[[#This Row],[Per Month Reagent Commitment]]</f>
        <v>-286016.80176470592</v>
      </c>
      <c r="CR90" s="403" t="s">
        <v>343</v>
      </c>
      <c r="CS90" s="367">
        <f>Table14[[#This Row],[On Track / (behind) (avg per month)]]/Table14[[#This Row],[Months]]</f>
        <v>-8412.2588754325261</v>
      </c>
      <c r="CT90" s="368">
        <v>0.4</v>
      </c>
      <c r="CU90" s="367">
        <f>Table14[[#This Row],[Total Reagent Sales till date Actual]]*Table14[[#This Row],[Margin %]]</f>
        <v>2344370.696</v>
      </c>
      <c r="CV90" s="400">
        <f t="shared" si="21"/>
        <v>0.4</v>
      </c>
      <c r="CX90" s="1"/>
      <c r="CZ90" s="135"/>
      <c r="DA90" s="1"/>
      <c r="DB90" s="1" t="s">
        <v>847</v>
      </c>
      <c r="DM90" s="244"/>
    </row>
    <row r="91" spans="1:117" ht="15" customHeight="1" x14ac:dyDescent="0.3">
      <c r="A91" s="401" t="s">
        <v>344</v>
      </c>
      <c r="B91" s="629" t="s">
        <v>345</v>
      </c>
      <c r="C91" s="399" t="s">
        <v>52</v>
      </c>
      <c r="D91" s="415" t="s">
        <v>848</v>
      </c>
      <c r="E91" s="403">
        <v>15002705</v>
      </c>
      <c r="F91" s="403" t="s">
        <v>448</v>
      </c>
      <c r="G91" s="449" t="s">
        <v>849</v>
      </c>
      <c r="H91" s="666"/>
      <c r="I91" s="416" t="s">
        <v>850</v>
      </c>
      <c r="J91" s="417"/>
      <c r="K91" s="417"/>
      <c r="L91" s="417" t="s">
        <v>437</v>
      </c>
      <c r="M91" s="417"/>
      <c r="N91" s="417"/>
      <c r="O91" s="418" t="s">
        <v>304</v>
      </c>
      <c r="P91" s="418" t="s">
        <v>16</v>
      </c>
      <c r="Q91" s="399" t="s">
        <v>349</v>
      </c>
      <c r="R91" s="399">
        <v>3020000823</v>
      </c>
      <c r="S91" s="419" t="s">
        <v>84</v>
      </c>
      <c r="T91" s="403"/>
      <c r="U91" s="403" t="s">
        <v>851</v>
      </c>
      <c r="V91" s="403" t="s">
        <v>852</v>
      </c>
      <c r="W91" s="382" t="s">
        <v>853</v>
      </c>
      <c r="X91" s="399" t="s">
        <v>854</v>
      </c>
      <c r="Y91" s="399"/>
      <c r="Z91" s="486">
        <v>2164000</v>
      </c>
      <c r="AA91" s="418">
        <v>27</v>
      </c>
      <c r="AB91" s="486">
        <v>292900</v>
      </c>
      <c r="AC91" s="409"/>
      <c r="AD91" s="410"/>
      <c r="AE91" s="399"/>
      <c r="AF91" s="399"/>
      <c r="AG91" s="399"/>
      <c r="AH91" s="399"/>
      <c r="AI91" s="403"/>
      <c r="AJ91" s="403"/>
      <c r="AK91" s="403"/>
      <c r="AL91" s="403"/>
      <c r="AM91" s="420"/>
      <c r="AN91" s="420"/>
      <c r="AO91" s="403"/>
      <c r="AP91" s="403"/>
      <c r="AQ91" s="403"/>
      <c r="AR91" s="403"/>
      <c r="AS91" s="403"/>
      <c r="AT91" s="403"/>
      <c r="AU91" s="399"/>
      <c r="AV91" s="420"/>
      <c r="AW91" s="420"/>
      <c r="AX91" s="420"/>
      <c r="AY91" s="420"/>
      <c r="AZ91" s="420"/>
      <c r="BA91" s="370"/>
      <c r="BB91" s="358"/>
      <c r="BC91" s="597" t="s">
        <v>1501</v>
      </c>
      <c r="BD91" s="597" t="s">
        <v>1677</v>
      </c>
      <c r="BE91" s="375">
        <v>1</v>
      </c>
      <c r="BF91" s="419" t="s">
        <v>315</v>
      </c>
      <c r="BG91" s="370"/>
      <c r="BH91" s="370"/>
      <c r="BI91" s="370"/>
      <c r="BJ91" s="370"/>
      <c r="BK91" s="487"/>
      <c r="BL91" s="488"/>
      <c r="BM91" s="358"/>
      <c r="BN91" s="358"/>
      <c r="BO91" s="370"/>
      <c r="BP91" s="487"/>
      <c r="BQ91" s="487"/>
      <c r="BR91" s="487"/>
      <c r="BS91" s="362">
        <f>SUM(Table14[[#This Row],[Jan-24]:[Dec-24]])</f>
        <v>0</v>
      </c>
      <c r="BT91" s="360"/>
      <c r="BU91" s="360"/>
      <c r="BV91" s="376"/>
      <c r="BW91" s="376"/>
      <c r="BX91" s="376">
        <v>0</v>
      </c>
      <c r="BY91" s="414">
        <v>382700</v>
      </c>
      <c r="BZ91" s="414">
        <v>0</v>
      </c>
      <c r="CA91" s="414">
        <v>247700</v>
      </c>
      <c r="CB91" s="414">
        <v>495400</v>
      </c>
      <c r="CC91" s="414"/>
      <c r="CD91" s="414">
        <v>357700</v>
      </c>
      <c r="CE91" s="414">
        <v>135000</v>
      </c>
      <c r="CF91" s="362">
        <f>SUM(Table14[[#This Row],[Jan-25]:[Dec-25]])</f>
        <v>1618500</v>
      </c>
      <c r="CG91" s="414">
        <v>225400</v>
      </c>
      <c r="CH91" s="414">
        <v>0</v>
      </c>
      <c r="CI91" s="414">
        <v>247700</v>
      </c>
      <c r="CJ91" s="414">
        <f>SUM(Table14[[#This Row],[Jan-26]:[Mar-26]])</f>
        <v>473100</v>
      </c>
      <c r="CK91" s="531">
        <f>IFERROR(SUM(Table14[[#This Row],[Oct-25]:[Dec-25]],Table14[[#This Row],[Jan-26]:[Mar-26]])/COUNT(Table14[[#This Row],[Oct-25]:[Dec-25]],Table14[[#This Row],[Jan-26]:[Mar-26]]),0)</f>
        <v>193160</v>
      </c>
      <c r="CL91" s="367"/>
      <c r="CM91" s="414">
        <f>Table14[[#This Row],[YTD 2024]]+Table14[[#This Row],[YTD 2025]]+Table14[[#This Row],[YTD 2026]]</f>
        <v>2091600</v>
      </c>
      <c r="CN91" s="418">
        <v>8</v>
      </c>
      <c r="CO91" s="353">
        <f t="shared" si="20"/>
        <v>261450</v>
      </c>
      <c r="CP91" s="353">
        <f>Table14[[#This Row],[Unit Cost]]-Table14[[#This Row],[Margin on Reagent sale]]</f>
        <v>1641100</v>
      </c>
      <c r="CQ91" s="489">
        <f>Table14[[#This Row],[Avg reagent Sales per month Actual]]-Table14[[#This Row],[Per Month Reagent Commitment]]</f>
        <v>-31450</v>
      </c>
      <c r="CR91" s="403" t="s">
        <v>648</v>
      </c>
      <c r="CS91" s="367">
        <f>Table14[[#This Row],[On Track / (behind) (avg per month)]]/Table14[[#This Row],[Months]]</f>
        <v>-3931.25</v>
      </c>
      <c r="CT91" s="368">
        <v>0.25</v>
      </c>
      <c r="CU91" s="367">
        <f>Table14[[#This Row],[Total Reagent Sales till date Actual]]*Table14[[#This Row],[Margin %]]</f>
        <v>522900</v>
      </c>
      <c r="CV91" s="371">
        <f t="shared" si="21"/>
        <v>0.25</v>
      </c>
      <c r="CX91" s="1"/>
      <c r="CZ91" s="135"/>
      <c r="DA91" s="1"/>
      <c r="DM91" s="244"/>
    </row>
    <row r="92" spans="1:117" ht="15" customHeight="1" x14ac:dyDescent="0.3">
      <c r="A92" s="399" t="s">
        <v>423</v>
      </c>
      <c r="B92" s="630" t="s">
        <v>297</v>
      </c>
      <c r="C92" s="403" t="s">
        <v>50</v>
      </c>
      <c r="D92" s="415" t="s">
        <v>409</v>
      </c>
      <c r="E92" s="403">
        <v>15003243</v>
      </c>
      <c r="F92" s="403" t="s">
        <v>392</v>
      </c>
      <c r="G92" s="449">
        <v>3002000094</v>
      </c>
      <c r="H92" s="666"/>
      <c r="I92" s="416" t="s">
        <v>855</v>
      </c>
      <c r="J92" s="417"/>
      <c r="K92" s="417" t="s">
        <v>856</v>
      </c>
      <c r="L92" s="417" t="s">
        <v>857</v>
      </c>
      <c r="M92" s="417" t="s">
        <v>303</v>
      </c>
      <c r="N92" s="417"/>
      <c r="O92" s="416" t="s">
        <v>858</v>
      </c>
      <c r="P92" s="418" t="s">
        <v>16</v>
      </c>
      <c r="Q92" s="399" t="s">
        <v>349</v>
      </c>
      <c r="R92" s="399">
        <v>3020000823</v>
      </c>
      <c r="S92" s="419" t="s">
        <v>84</v>
      </c>
      <c r="T92" s="403"/>
      <c r="U92" s="403" t="s">
        <v>851</v>
      </c>
      <c r="V92" s="403" t="s">
        <v>852</v>
      </c>
      <c r="W92" s="382" t="s">
        <v>853</v>
      </c>
      <c r="X92" s="399" t="s">
        <v>854</v>
      </c>
      <c r="Y92" s="399"/>
      <c r="Z92" s="353">
        <v>2324427</v>
      </c>
      <c r="AA92" s="418">
        <v>18</v>
      </c>
      <c r="AB92" s="353">
        <v>166828</v>
      </c>
      <c r="AC92" s="409"/>
      <c r="AD92" s="410"/>
      <c r="AE92" s="399"/>
      <c r="AF92" s="399"/>
      <c r="AG92" s="399"/>
      <c r="AH92" s="399"/>
      <c r="AI92" s="403"/>
      <c r="AJ92" s="403"/>
      <c r="AK92" s="403"/>
      <c r="AL92" s="403"/>
      <c r="AM92" s="420"/>
      <c r="AN92" s="420"/>
      <c r="AO92" s="403"/>
      <c r="AP92" s="403"/>
      <c r="AQ92" s="403"/>
      <c r="AR92" s="403"/>
      <c r="AS92" s="403"/>
      <c r="AT92" s="403"/>
      <c r="AU92" s="399" t="e">
        <v>#N/A</v>
      </c>
      <c r="AV92" s="420"/>
      <c r="AW92" s="420"/>
      <c r="AX92" s="420"/>
      <c r="AY92" s="420"/>
      <c r="AZ92" s="420"/>
      <c r="BA92" s="370"/>
      <c r="BB92" s="370"/>
      <c r="BC92" s="595" t="s">
        <v>1521</v>
      </c>
      <c r="BD92" s="595" t="s">
        <v>1521</v>
      </c>
      <c r="BE92" s="375"/>
      <c r="BF92" s="419" t="s">
        <v>315</v>
      </c>
      <c r="BG92" s="370"/>
      <c r="BH92" s="370"/>
      <c r="BI92" s="370"/>
      <c r="BJ92" s="370"/>
      <c r="BK92" s="370"/>
      <c r="BL92" s="374"/>
      <c r="BM92" s="358"/>
      <c r="BN92" s="358">
        <v>88500</v>
      </c>
      <c r="BO92" s="358">
        <v>0</v>
      </c>
      <c r="BP92" s="358">
        <v>91500</v>
      </c>
      <c r="BQ92" s="358">
        <v>0</v>
      </c>
      <c r="BR92" s="358">
        <v>115500</v>
      </c>
      <c r="BS92" s="362">
        <f>SUM(Table14[[#This Row],[Jan-24]:[Dec-24]])</f>
        <v>295500</v>
      </c>
      <c r="BT92" s="362">
        <v>0</v>
      </c>
      <c r="BU92" s="362">
        <v>0</v>
      </c>
      <c r="BV92" s="362">
        <v>0</v>
      </c>
      <c r="BW92" s="362">
        <v>0</v>
      </c>
      <c r="BX92" s="362">
        <v>0</v>
      </c>
      <c r="BY92" s="367">
        <v>0</v>
      </c>
      <c r="BZ92" s="367">
        <v>0</v>
      </c>
      <c r="CA92" s="367">
        <v>0</v>
      </c>
      <c r="CB92" s="367">
        <v>0</v>
      </c>
      <c r="CC92" s="367"/>
      <c r="CD92" s="367"/>
      <c r="CE92" s="367"/>
      <c r="CF92" s="362">
        <f>SUM(Table14[[#This Row],[Jan-25]:[Dec-25]])</f>
        <v>0</v>
      </c>
      <c r="CG92" s="367"/>
      <c r="CH92" s="367"/>
      <c r="CI92" s="367"/>
      <c r="CJ92" s="414">
        <f>SUM(Table14[[#This Row],[Jan-26]:[Mar-26]])</f>
        <v>0</v>
      </c>
      <c r="CK92" s="531">
        <f>IFERROR(SUM(Table14[[#This Row],[Oct-25]:[Dec-25]],Table14[[#This Row],[Jan-26]:[Mar-26]])/COUNT(Table14[[#This Row],[Oct-25]:[Dec-25]],Table14[[#This Row],[Jan-26]:[Mar-26]]),0)</f>
        <v>0</v>
      </c>
      <c r="CL92" s="367"/>
      <c r="CM92" s="414">
        <f>Table14[[#This Row],[YTD 2024]]+Table14[[#This Row],[YTD 2025]]+Table14[[#This Row],[YTD 2026]]</f>
        <v>295500</v>
      </c>
      <c r="CN92" s="418">
        <v>13</v>
      </c>
      <c r="CO92" s="353">
        <f t="shared" si="20"/>
        <v>22730.76923076923</v>
      </c>
      <c r="CP92" s="353">
        <f>Table14[[#This Row],[Unit Cost]]-Table14[[#This Row],[Margin on Reagent sale]]</f>
        <v>2206227</v>
      </c>
      <c r="CQ92" s="367">
        <f>Table14[[#This Row],[Avg reagent Sales per month Actual]]-Table14[[#This Row],[Per Month Reagent Commitment]]</f>
        <v>-144097.23076923078</v>
      </c>
      <c r="CR92" s="403" t="s">
        <v>343</v>
      </c>
      <c r="CS92" s="367">
        <f>Table14[[#This Row],[On Track / (behind) (avg per month)]]/Table14[[#This Row],[Months]]</f>
        <v>-11084.402366863906</v>
      </c>
      <c r="CT92" s="446">
        <v>0.4</v>
      </c>
      <c r="CU92" s="367">
        <f>Table14[[#This Row],[Total Reagent Sales till date Actual]]*Table14[[#This Row],[Margin %]]</f>
        <v>118200</v>
      </c>
      <c r="CV92" s="371">
        <f t="shared" si="21"/>
        <v>0.4</v>
      </c>
      <c r="CX92" s="1"/>
      <c r="CZ92" s="135"/>
      <c r="DA92" s="1"/>
      <c r="DM92" s="244"/>
    </row>
    <row r="93" spans="1:117" ht="15" customHeight="1" x14ac:dyDescent="0.3">
      <c r="A93" s="399" t="s">
        <v>511</v>
      </c>
      <c r="B93" s="630" t="s">
        <v>345</v>
      </c>
      <c r="C93" s="399" t="s">
        <v>51</v>
      </c>
      <c r="D93" s="415" t="s">
        <v>439</v>
      </c>
      <c r="E93" s="403">
        <v>15003000</v>
      </c>
      <c r="F93" s="403" t="s">
        <v>403</v>
      </c>
      <c r="G93" s="449">
        <v>3002000069</v>
      </c>
      <c r="H93" s="666"/>
      <c r="I93" s="416">
        <v>1588</v>
      </c>
      <c r="J93" s="417"/>
      <c r="K93" s="417"/>
      <c r="L93" s="417" t="s">
        <v>859</v>
      </c>
      <c r="M93" s="417" t="s">
        <v>303</v>
      </c>
      <c r="N93" s="417"/>
      <c r="O93" s="418" t="s">
        <v>304</v>
      </c>
      <c r="P93" s="418" t="s">
        <v>15</v>
      </c>
      <c r="Q93" s="399" t="s">
        <v>305</v>
      </c>
      <c r="R93" s="435">
        <v>3020000845</v>
      </c>
      <c r="S93" s="419" t="s">
        <v>105</v>
      </c>
      <c r="T93" s="445"/>
      <c r="U93" s="403" t="s">
        <v>860</v>
      </c>
      <c r="V93" s="403" t="s">
        <v>861</v>
      </c>
      <c r="W93" s="399" t="s">
        <v>862</v>
      </c>
      <c r="X93" s="399" t="s">
        <v>863</v>
      </c>
      <c r="Y93" s="399"/>
      <c r="Z93" s="353">
        <v>5459835</v>
      </c>
      <c r="AA93" s="418">
        <v>37</v>
      </c>
      <c r="AB93" s="353">
        <v>742864</v>
      </c>
      <c r="AC93" s="409"/>
      <c r="AD93" s="410"/>
      <c r="AE93" s="399"/>
      <c r="AF93" s="399"/>
      <c r="AG93" s="399"/>
      <c r="AH93" s="399"/>
      <c r="AI93" s="403"/>
      <c r="AJ93" s="403"/>
      <c r="AK93" s="403"/>
      <c r="AL93" s="403"/>
      <c r="AM93" s="420"/>
      <c r="AN93" s="420"/>
      <c r="AO93" s="403"/>
      <c r="AP93" s="403"/>
      <c r="AQ93" s="403"/>
      <c r="AR93" s="403"/>
      <c r="AS93" s="403"/>
      <c r="AT93" s="403"/>
      <c r="AU93" s="399" t="e">
        <v>#N/A</v>
      </c>
      <c r="AV93" s="420"/>
      <c r="AW93" s="420"/>
      <c r="AX93" s="420"/>
      <c r="AY93" s="420"/>
      <c r="AZ93" s="420" t="s">
        <v>864</v>
      </c>
      <c r="BA93" s="420"/>
      <c r="BB93" s="420"/>
      <c r="BC93" s="415" t="s">
        <v>1493</v>
      </c>
      <c r="BD93" s="415" t="s">
        <v>1646</v>
      </c>
      <c r="BE93" s="420">
        <v>1</v>
      </c>
      <c r="BF93" s="402" t="s">
        <v>315</v>
      </c>
      <c r="BG93" s="370"/>
      <c r="BH93" s="370"/>
      <c r="BI93" s="370"/>
      <c r="BJ93" s="370"/>
      <c r="BK93" s="370"/>
      <c r="BL93" s="374"/>
      <c r="BM93" s="374"/>
      <c r="BN93" s="374"/>
      <c r="BO93" s="374"/>
      <c r="BP93" s="374">
        <v>479000</v>
      </c>
      <c r="BQ93" s="374">
        <v>0</v>
      </c>
      <c r="BR93" s="414">
        <v>977400</v>
      </c>
      <c r="BS93" s="362">
        <f>SUM(Table14[[#This Row],[Jan-24]:[Dec-24]])</f>
        <v>1456400</v>
      </c>
      <c r="BT93" s="362">
        <v>0</v>
      </c>
      <c r="BU93" s="362">
        <v>0</v>
      </c>
      <c r="BV93" s="414">
        <v>673200</v>
      </c>
      <c r="BW93" s="421">
        <v>0</v>
      </c>
      <c r="BX93" s="414">
        <v>852100</v>
      </c>
      <c r="BY93" s="367">
        <v>0</v>
      </c>
      <c r="BZ93" s="367">
        <v>1357800</v>
      </c>
      <c r="CA93" s="367">
        <v>-160800</v>
      </c>
      <c r="CB93" s="367">
        <v>0</v>
      </c>
      <c r="CC93" s="367"/>
      <c r="CD93" s="367"/>
      <c r="CE93" s="414">
        <v>5229900</v>
      </c>
      <c r="CF93" s="362">
        <f>SUM(Table14[[#This Row],[Jan-25]:[Dec-25]])</f>
        <v>7952200</v>
      </c>
      <c r="CG93" s="414">
        <v>0</v>
      </c>
      <c r="CH93" s="414">
        <v>0</v>
      </c>
      <c r="CI93" s="414">
        <v>0</v>
      </c>
      <c r="CJ93" s="414">
        <f>SUM(Table14[[#This Row],[Jan-26]:[Mar-26]])</f>
        <v>0</v>
      </c>
      <c r="CK93" s="531">
        <f>IFERROR(SUM(Table14[[#This Row],[Oct-25]:[Dec-25]],Table14[[#This Row],[Jan-26]:[Mar-26]])/COUNT(Table14[[#This Row],[Oct-25]:[Dec-25]],Table14[[#This Row],[Jan-26]:[Mar-26]]),0)</f>
        <v>1307475</v>
      </c>
      <c r="CL93" s="367"/>
      <c r="CM93" s="414">
        <f>Table14[[#This Row],[YTD 2024]]+Table14[[#This Row],[YTD 2025]]+Table14[[#This Row],[YTD 2026]]</f>
        <v>9408600</v>
      </c>
      <c r="CN93" s="366">
        <v>13</v>
      </c>
      <c r="CO93" s="353">
        <f t="shared" si="20"/>
        <v>723738.4615384615</v>
      </c>
      <c r="CP93" s="353">
        <f>Table14[[#This Row],[Unit Cost]]-Table14[[#This Row],[Margin on Reagent sale]]</f>
        <v>1696395</v>
      </c>
      <c r="CQ93" s="367">
        <f>Table14[[#This Row],[Avg reagent Sales per month Actual]]-Table14[[#This Row],[Per Month Reagent Commitment]]</f>
        <v>-19125.538461538497</v>
      </c>
      <c r="CR93" s="403" t="s">
        <v>343</v>
      </c>
      <c r="CS93" s="367">
        <f>Table14[[#This Row],[On Track / (behind) (avg per month)]]/Table14[[#This Row],[Months]]</f>
        <v>-1471.1952662721922</v>
      </c>
      <c r="CT93" s="368">
        <v>0.4</v>
      </c>
      <c r="CU93" s="367">
        <f>Table14[[#This Row],[Total Reagent Sales till date Actual]]*Table14[[#This Row],[Margin %]]</f>
        <v>3763440</v>
      </c>
      <c r="CV93" s="400">
        <f t="shared" si="21"/>
        <v>0.4</v>
      </c>
      <c r="CX93" s="1"/>
      <c r="CZ93" s="135"/>
      <c r="DA93" s="1"/>
      <c r="DM93" s="244"/>
    </row>
    <row r="94" spans="1:117" ht="15" customHeight="1" x14ac:dyDescent="0.3">
      <c r="A94" s="399" t="s">
        <v>438</v>
      </c>
      <c r="B94" s="630" t="s">
        <v>345</v>
      </c>
      <c r="C94" s="399" t="s">
        <v>52</v>
      </c>
      <c r="D94" s="415" t="s">
        <v>865</v>
      </c>
      <c r="E94" s="403">
        <v>15002705</v>
      </c>
      <c r="F94" s="403" t="s">
        <v>448</v>
      </c>
      <c r="G94" s="449">
        <v>3002000079</v>
      </c>
      <c r="H94" s="666"/>
      <c r="I94" s="416" t="s">
        <v>866</v>
      </c>
      <c r="J94" s="417"/>
      <c r="K94" s="417"/>
      <c r="L94" s="417" t="s">
        <v>867</v>
      </c>
      <c r="M94" s="417" t="s">
        <v>425</v>
      </c>
      <c r="N94" s="417"/>
      <c r="O94" s="418" t="s">
        <v>304</v>
      </c>
      <c r="P94" s="418" t="s">
        <v>17</v>
      </c>
      <c r="Q94" s="399" t="s">
        <v>440</v>
      </c>
      <c r="R94" s="399">
        <v>3020000881</v>
      </c>
      <c r="S94" s="403" t="s">
        <v>59</v>
      </c>
      <c r="T94" s="445"/>
      <c r="U94" s="403" t="s">
        <v>868</v>
      </c>
      <c r="V94" s="403" t="s">
        <v>869</v>
      </c>
      <c r="W94" s="399" t="s">
        <v>870</v>
      </c>
      <c r="X94" s="399" t="s">
        <v>871</v>
      </c>
      <c r="Y94" s="399" t="s">
        <v>299</v>
      </c>
      <c r="Z94" s="353">
        <v>2120000</v>
      </c>
      <c r="AA94" s="418">
        <v>28</v>
      </c>
      <c r="AB94" s="353">
        <v>270000</v>
      </c>
      <c r="AC94" s="409"/>
      <c r="AD94" s="410"/>
      <c r="AE94" s="399"/>
      <c r="AF94" s="399"/>
      <c r="AG94" s="399"/>
      <c r="AH94" s="399"/>
      <c r="AI94" s="403"/>
      <c r="AJ94" s="403"/>
      <c r="AK94" s="403"/>
      <c r="AL94" s="403"/>
      <c r="AM94" s="420"/>
      <c r="AN94" s="420"/>
      <c r="AO94" s="403"/>
      <c r="AP94" s="403"/>
      <c r="AQ94" s="403"/>
      <c r="AR94" s="403"/>
      <c r="AS94" s="403"/>
      <c r="AT94" s="403"/>
      <c r="AU94" s="399" t="e">
        <v>#N/A</v>
      </c>
      <c r="AV94" s="420"/>
      <c r="AW94" s="420"/>
      <c r="AX94" s="420"/>
      <c r="AY94" s="420"/>
      <c r="AZ94" s="420"/>
      <c r="BA94" s="370"/>
      <c r="BB94" s="370"/>
      <c r="BC94" s="597" t="s">
        <v>1505</v>
      </c>
      <c r="BD94" s="597" t="s">
        <v>1693</v>
      </c>
      <c r="BE94" s="375">
        <v>1</v>
      </c>
      <c r="BF94" s="403" t="s">
        <v>315</v>
      </c>
      <c r="BG94" s="370"/>
      <c r="BH94" s="370"/>
      <c r="BI94" s="370"/>
      <c r="BJ94" s="370"/>
      <c r="BK94" s="370"/>
      <c r="BL94" s="374"/>
      <c r="BM94" s="358"/>
      <c r="BN94" s="358"/>
      <c r="BO94" s="358"/>
      <c r="BP94" s="358"/>
      <c r="BQ94" s="358">
        <v>270000</v>
      </c>
      <c r="BR94" s="358">
        <v>100000</v>
      </c>
      <c r="BS94" s="362">
        <f>SUM(Table14[[#This Row],[Jan-24]:[Dec-24]])</f>
        <v>370000</v>
      </c>
      <c r="BT94" s="362">
        <v>710000</v>
      </c>
      <c r="BU94" s="414">
        <v>270000</v>
      </c>
      <c r="BV94" s="414">
        <v>0</v>
      </c>
      <c r="BW94" s="414">
        <v>0</v>
      </c>
      <c r="BX94" s="414">
        <v>0</v>
      </c>
      <c r="BY94" s="414">
        <v>345000</v>
      </c>
      <c r="BZ94" s="414">
        <v>270000</v>
      </c>
      <c r="CA94" s="414">
        <v>270000</v>
      </c>
      <c r="CB94" s="414">
        <v>270000</v>
      </c>
      <c r="CC94" s="414"/>
      <c r="CD94" s="414"/>
      <c r="CE94" s="414">
        <v>569000</v>
      </c>
      <c r="CF94" s="362">
        <f>SUM(Table14[[#This Row],[Jan-25]:[Dec-25]])</f>
        <v>2704000</v>
      </c>
      <c r="CG94" s="414">
        <v>0</v>
      </c>
      <c r="CH94" s="414">
        <v>170000</v>
      </c>
      <c r="CI94" s="414"/>
      <c r="CJ94" s="414">
        <f>SUM(Table14[[#This Row],[Jan-26]:[Mar-26]])</f>
        <v>170000</v>
      </c>
      <c r="CK94" s="531">
        <f>IFERROR(SUM(Table14[[#This Row],[Oct-25]:[Dec-25]],Table14[[#This Row],[Jan-26]:[Mar-26]])/COUNT(Table14[[#This Row],[Oct-25]:[Dec-25]],Table14[[#This Row],[Jan-26]:[Mar-26]]),0)</f>
        <v>246333.33333333334</v>
      </c>
      <c r="CL94" s="367"/>
      <c r="CM94" s="414">
        <f>Table14[[#This Row],[YTD 2024]]+Table14[[#This Row],[YTD 2025]]+Table14[[#This Row],[YTD 2026]]</f>
        <v>3244000</v>
      </c>
      <c r="CN94" s="366">
        <v>12</v>
      </c>
      <c r="CO94" s="351">
        <f t="shared" si="20"/>
        <v>270333.33333333331</v>
      </c>
      <c r="CP94" s="353">
        <f>Table14[[#This Row],[Unit Cost]]-Table14[[#This Row],[Margin on Reagent sale]]</f>
        <v>1309000</v>
      </c>
      <c r="CQ94" s="367">
        <f>Table14[[#This Row],[Avg reagent Sales per month Actual]]-Table14[[#This Row],[Per Month Reagent Commitment]]</f>
        <v>333.33333333331393</v>
      </c>
      <c r="CR94" s="403" t="s">
        <v>343</v>
      </c>
      <c r="CS94" s="367">
        <f>Table14[[#This Row],[On Track / (behind) (avg per month)]]/Table14[[#This Row],[Months]]</f>
        <v>27.777777777776162</v>
      </c>
      <c r="CT94" s="446">
        <v>0.25</v>
      </c>
      <c r="CU94" s="367">
        <f>Table14[[#This Row],[Total Reagent Sales till date Actual]]*Table14[[#This Row],[Margin %]]</f>
        <v>811000</v>
      </c>
      <c r="CV94" s="371">
        <f t="shared" si="21"/>
        <v>0.25</v>
      </c>
      <c r="CX94" s="1"/>
      <c r="CZ94" s="135"/>
      <c r="DA94" s="1"/>
      <c r="DM94" s="244"/>
    </row>
    <row r="95" spans="1:117" s="2" customFormat="1" ht="18.75" customHeight="1" x14ac:dyDescent="0.3">
      <c r="A95" s="399" t="s">
        <v>438</v>
      </c>
      <c r="B95" s="629" t="s">
        <v>345</v>
      </c>
      <c r="C95" s="399" t="s">
        <v>51</v>
      </c>
      <c r="D95" s="415" t="s">
        <v>439</v>
      </c>
      <c r="E95" s="403">
        <v>15003000</v>
      </c>
      <c r="F95" s="403" t="s">
        <v>403</v>
      </c>
      <c r="G95" s="449">
        <v>3002000101</v>
      </c>
      <c r="H95" s="666"/>
      <c r="I95" s="427">
        <v>1613</v>
      </c>
      <c r="J95" s="417"/>
      <c r="K95" s="417"/>
      <c r="L95" s="417" t="s">
        <v>437</v>
      </c>
      <c r="M95" s="417"/>
      <c r="N95" s="417"/>
      <c r="O95" s="418" t="s">
        <v>304</v>
      </c>
      <c r="P95" s="418" t="s">
        <v>17</v>
      </c>
      <c r="Q95" s="399" t="s">
        <v>440</v>
      </c>
      <c r="R95" s="399">
        <v>3020000881</v>
      </c>
      <c r="S95" s="419" t="s">
        <v>59</v>
      </c>
      <c r="T95" s="403"/>
      <c r="U95" s="403" t="s">
        <v>868</v>
      </c>
      <c r="V95" s="403" t="s">
        <v>869</v>
      </c>
      <c r="W95" s="382" t="s">
        <v>870</v>
      </c>
      <c r="X95" s="399" t="s">
        <v>871</v>
      </c>
      <c r="Y95" s="399" t="s">
        <v>299</v>
      </c>
      <c r="Z95" s="486">
        <v>3592655</v>
      </c>
      <c r="AA95" s="418">
        <v>36</v>
      </c>
      <c r="AB95" s="486">
        <v>314974</v>
      </c>
      <c r="AC95" s="409"/>
      <c r="AD95" s="410"/>
      <c r="AE95" s="399"/>
      <c r="AF95" s="399"/>
      <c r="AG95" s="399"/>
      <c r="AH95" s="399"/>
      <c r="AI95" s="403"/>
      <c r="AJ95" s="403"/>
      <c r="AK95" s="403"/>
      <c r="AL95" s="403"/>
      <c r="AM95" s="420"/>
      <c r="AN95" s="420"/>
      <c r="AO95" s="403"/>
      <c r="AP95" s="403"/>
      <c r="AQ95" s="403"/>
      <c r="AR95" s="403"/>
      <c r="AS95" s="403"/>
      <c r="AT95" s="403"/>
      <c r="AU95" s="399"/>
      <c r="AV95" s="420"/>
      <c r="AW95" s="420"/>
      <c r="AX95" s="420"/>
      <c r="AY95" s="420"/>
      <c r="AZ95" s="420"/>
      <c r="BA95" s="370"/>
      <c r="BB95" s="358"/>
      <c r="BC95" s="597" t="s">
        <v>1524</v>
      </c>
      <c r="BD95" s="597" t="s">
        <v>1697</v>
      </c>
      <c r="BE95" s="375">
        <v>1</v>
      </c>
      <c r="BF95" s="419" t="s">
        <v>315</v>
      </c>
      <c r="BG95" s="370"/>
      <c r="BH95" s="370"/>
      <c r="BI95" s="370"/>
      <c r="BJ95" s="370"/>
      <c r="BK95" s="487"/>
      <c r="BL95" s="488"/>
      <c r="BM95" s="358"/>
      <c r="BN95" s="358"/>
      <c r="BO95" s="370"/>
      <c r="BP95" s="487"/>
      <c r="BQ95" s="487"/>
      <c r="BR95" s="414">
        <v>234200</v>
      </c>
      <c r="BS95" s="362">
        <f>SUM(Table14[[#This Row],[Jan-24]:[Dec-24]])</f>
        <v>234200</v>
      </c>
      <c r="BT95" s="414">
        <v>470800</v>
      </c>
      <c r="BU95" s="414">
        <v>1920800</v>
      </c>
      <c r="BV95" s="376">
        <v>0</v>
      </c>
      <c r="BW95" s="367">
        <v>0</v>
      </c>
      <c r="BX95" s="376">
        <v>0</v>
      </c>
      <c r="BY95" s="414">
        <v>393800</v>
      </c>
      <c r="BZ95" s="414">
        <v>309500</v>
      </c>
      <c r="CA95" s="414">
        <v>455500</v>
      </c>
      <c r="CB95" s="414">
        <v>0</v>
      </c>
      <c r="CC95" s="414">
        <v>0</v>
      </c>
      <c r="CD95" s="414"/>
      <c r="CE95" s="414">
        <v>206000</v>
      </c>
      <c r="CF95" s="362">
        <f>SUM(Table14[[#This Row],[Jan-25]:[Dec-25]])</f>
        <v>3756400</v>
      </c>
      <c r="CG95" s="414">
        <v>0</v>
      </c>
      <c r="CH95" s="414">
        <v>189000</v>
      </c>
      <c r="CI95" s="414"/>
      <c r="CJ95" s="414">
        <f>SUM(Table14[[#This Row],[Jan-26]:[Mar-26]])</f>
        <v>189000</v>
      </c>
      <c r="CK95" s="531">
        <f>IFERROR(SUM(Table14[[#This Row],[Oct-25]:[Dec-25]],Table14[[#This Row],[Jan-26]:[Mar-26]])/COUNT(Table14[[#This Row],[Oct-25]:[Dec-25]],Table14[[#This Row],[Jan-26]:[Mar-26]]),0)</f>
        <v>98750</v>
      </c>
      <c r="CL95" s="367"/>
      <c r="CM95" s="414">
        <f>Table14[[#This Row],[YTD 2024]]+Table14[[#This Row],[YTD 2025]]+Table14[[#This Row],[YTD 2026]]</f>
        <v>4179600</v>
      </c>
      <c r="CN95" s="418">
        <v>12</v>
      </c>
      <c r="CO95" s="486">
        <f t="shared" si="20"/>
        <v>348300</v>
      </c>
      <c r="CP95" s="353">
        <f>Table14[[#This Row],[Unit Cost]]-Table14[[#This Row],[Margin on Reagent sale]]</f>
        <v>1920815</v>
      </c>
      <c r="CQ95" s="489">
        <f>Table14[[#This Row],[Avg reagent Sales per month Actual]]-Table14[[#This Row],[Per Month Reagent Commitment]]</f>
        <v>33326</v>
      </c>
      <c r="CR95" s="373" t="s">
        <v>316</v>
      </c>
      <c r="CS95" s="367">
        <f>Table14[[#This Row],[On Track / (behind) (avg per month)]]/Table14[[#This Row],[Months]]</f>
        <v>2777.1666666666665</v>
      </c>
      <c r="CT95" s="368">
        <v>0.4</v>
      </c>
      <c r="CU95" s="367">
        <f>Table14[[#This Row],[Total Reagent Sales till date Actual]]*Table14[[#This Row],[Margin %]]</f>
        <v>1671840</v>
      </c>
      <c r="CV95" s="371">
        <f t="shared" si="21"/>
        <v>0.4</v>
      </c>
      <c r="CW95" s="225"/>
      <c r="CX95" s="225"/>
      <c r="DA95" s="225"/>
      <c r="DC95" s="226"/>
      <c r="DM95" s="244"/>
    </row>
    <row r="96" spans="1:117" s="2" customFormat="1" ht="14.7" customHeight="1" x14ac:dyDescent="0.3">
      <c r="A96" s="399" t="s">
        <v>296</v>
      </c>
      <c r="B96" s="629" t="s">
        <v>297</v>
      </c>
      <c r="C96" s="399" t="s">
        <v>24</v>
      </c>
      <c r="D96" s="415" t="s">
        <v>35</v>
      </c>
      <c r="E96" s="403">
        <v>15002553</v>
      </c>
      <c r="F96" s="403" t="s">
        <v>298</v>
      </c>
      <c r="G96" s="449">
        <v>3002000013</v>
      </c>
      <c r="H96" s="403" t="s">
        <v>872</v>
      </c>
      <c r="I96" s="416" t="s">
        <v>873</v>
      </c>
      <c r="J96" s="417" t="s">
        <v>874</v>
      </c>
      <c r="K96" s="417" t="s">
        <v>875</v>
      </c>
      <c r="L96" s="417" t="s">
        <v>876</v>
      </c>
      <c r="M96" s="417" t="s">
        <v>303</v>
      </c>
      <c r="N96" s="417"/>
      <c r="O96" s="416" t="s">
        <v>348</v>
      </c>
      <c r="P96" s="418" t="s">
        <v>15</v>
      </c>
      <c r="Q96" s="399" t="s">
        <v>305</v>
      </c>
      <c r="R96" s="399">
        <v>3020000888</v>
      </c>
      <c r="S96" s="419" t="s">
        <v>158</v>
      </c>
      <c r="T96" s="403" t="s">
        <v>877</v>
      </c>
      <c r="U96" s="403" t="s">
        <v>878</v>
      </c>
      <c r="V96" s="403" t="s">
        <v>299</v>
      </c>
      <c r="W96" s="350" t="s">
        <v>879</v>
      </c>
      <c r="X96" s="399" t="s">
        <v>880</v>
      </c>
      <c r="Y96" s="399"/>
      <c r="Z96" s="353">
        <v>1700000</v>
      </c>
      <c r="AA96" s="366">
        <v>6</v>
      </c>
      <c r="AB96" s="353">
        <v>786668.28</v>
      </c>
      <c r="AC96" s="423" t="s">
        <v>711</v>
      </c>
      <c r="AD96" s="424" t="s">
        <v>603</v>
      </c>
      <c r="AE96" s="424" t="s">
        <v>713</v>
      </c>
      <c r="AF96" s="424" t="s">
        <v>881</v>
      </c>
      <c r="AG96" s="424" t="s">
        <v>606</v>
      </c>
      <c r="AH96" s="424" t="s">
        <v>607</v>
      </c>
      <c r="AI96" s="409" t="s">
        <v>882</v>
      </c>
      <c r="AJ96" s="409" t="s">
        <v>883</v>
      </c>
      <c r="AK96" s="409" t="s">
        <v>884</v>
      </c>
      <c r="AL96" s="409"/>
      <c r="AM96" s="425"/>
      <c r="AN96" s="425"/>
      <c r="AO96" s="409"/>
      <c r="AP96" s="409"/>
      <c r="AQ96" s="409"/>
      <c r="AR96" s="409"/>
      <c r="AS96" s="409" t="s">
        <v>885</v>
      </c>
      <c r="AT96" s="409" t="s">
        <v>886</v>
      </c>
      <c r="AU96" s="409" t="s">
        <v>887</v>
      </c>
      <c r="AV96" s="409"/>
      <c r="AW96" s="409" t="s">
        <v>888</v>
      </c>
      <c r="AX96" s="430"/>
      <c r="AY96" s="430"/>
      <c r="AZ96" s="430"/>
      <c r="BA96" s="430"/>
      <c r="BB96" s="430"/>
      <c r="BC96" s="415"/>
      <c r="BD96" s="415"/>
      <c r="BE96" s="430"/>
      <c r="BF96" s="419"/>
      <c r="BG96" s="359"/>
      <c r="BH96" s="359"/>
      <c r="BI96" s="359"/>
      <c r="BJ96" s="359"/>
      <c r="BK96" s="359"/>
      <c r="BL96" s="359"/>
      <c r="BM96" s="359"/>
      <c r="BN96" s="359"/>
      <c r="BO96" s="359"/>
      <c r="BP96" s="359"/>
      <c r="BQ96" s="359"/>
      <c r="BR96" s="359"/>
      <c r="BS96" s="362">
        <f>SUM(Table14[[#This Row],[Jan-24]:[Dec-24]])</f>
        <v>0</v>
      </c>
      <c r="BT96" s="362"/>
      <c r="BU96" s="362"/>
      <c r="BV96" s="362"/>
      <c r="BW96" s="362"/>
      <c r="BX96" s="362"/>
      <c r="BY96" s="362"/>
      <c r="BZ96" s="362"/>
      <c r="CA96" s="362"/>
      <c r="CB96" s="362"/>
      <c r="CC96" s="362"/>
      <c r="CD96" s="362">
        <v>0</v>
      </c>
      <c r="CE96" s="362"/>
      <c r="CF96" s="362">
        <f>SUM(Table14[[#This Row],[Jan-25]:[Dec-25]])</f>
        <v>0</v>
      </c>
      <c r="CG96" s="362"/>
      <c r="CH96" s="362"/>
      <c r="CI96" s="362"/>
      <c r="CJ96" s="414">
        <f>SUM(Table14[[#This Row],[Jan-26]:[Mar-26]])</f>
        <v>0</v>
      </c>
      <c r="CK96" s="531">
        <f>IFERROR(SUM(Table14[[#This Row],[Oct-25]:[Dec-25]],Table14[[#This Row],[Jan-26]:[Mar-26]])/COUNT(Table14[[#This Row],[Oct-25]:[Dec-25]],Table14[[#This Row],[Jan-26]:[Mar-26]]),0)</f>
        <v>0</v>
      </c>
      <c r="CL96" s="359" t="s">
        <v>889</v>
      </c>
      <c r="CM96" s="414">
        <f>Table14[[#This Row],[YTD 2024]]+Table14[[#This Row],[YTD 2025]]+Table14[[#This Row],[YTD 2026]]</f>
        <v>0</v>
      </c>
      <c r="CN96" s="366">
        <v>1</v>
      </c>
      <c r="CO96" s="353">
        <f t="shared" si="20"/>
        <v>0</v>
      </c>
      <c r="CP96" s="353">
        <f>Table14[[#This Row],[Unit Cost]]-Table14[[#This Row],[Margin on Reagent sale]]</f>
        <v>1700000</v>
      </c>
      <c r="CQ96" s="372">
        <f>Table14[[#This Row],[Avg reagent Sales per month Actual]]-Table14[[#This Row],[Per Month Reagent Commitment]]</f>
        <v>-786668.28</v>
      </c>
      <c r="CR96" s="403" t="s">
        <v>890</v>
      </c>
      <c r="CS96" s="367">
        <f>Table14[[#This Row],[On Track / (behind) (avg per month)]]/Table14[[#This Row],[Months]]</f>
        <v>-786668.28</v>
      </c>
      <c r="CT96" s="368">
        <v>0.4</v>
      </c>
      <c r="CU96" s="367">
        <f>Table14[[#This Row],[Total Reagent Sales till date Actual]]*Table14[[#This Row],[Margin %]]</f>
        <v>0</v>
      </c>
      <c r="CV96" s="400">
        <f t="shared" si="21"/>
        <v>0.4</v>
      </c>
      <c r="CW96" s="225"/>
      <c r="CX96" s="225"/>
      <c r="DA96" s="225"/>
      <c r="DM96" s="244"/>
    </row>
    <row r="97" spans="1:117" s="2" customFormat="1" ht="14.4" x14ac:dyDescent="0.3">
      <c r="A97" s="399" t="s">
        <v>511</v>
      </c>
      <c r="B97" s="629" t="s">
        <v>345</v>
      </c>
      <c r="C97" s="399" t="s">
        <v>21</v>
      </c>
      <c r="D97" s="415" t="s">
        <v>28</v>
      </c>
      <c r="E97" s="403">
        <v>15002760</v>
      </c>
      <c r="F97" s="403" t="s">
        <v>298</v>
      </c>
      <c r="G97" s="449">
        <v>3002000024</v>
      </c>
      <c r="H97" s="409" t="s">
        <v>299</v>
      </c>
      <c r="I97" s="416">
        <v>30006173</v>
      </c>
      <c r="J97" s="417" t="s">
        <v>891</v>
      </c>
      <c r="K97" s="417" t="s">
        <v>892</v>
      </c>
      <c r="L97" s="417" t="s">
        <v>892</v>
      </c>
      <c r="M97" s="417" t="s">
        <v>303</v>
      </c>
      <c r="N97" s="417"/>
      <c r="O97" s="416" t="s">
        <v>348</v>
      </c>
      <c r="P97" s="418" t="s">
        <v>15</v>
      </c>
      <c r="Q97" s="399" t="s">
        <v>305</v>
      </c>
      <c r="R97" s="399">
        <v>3020000888</v>
      </c>
      <c r="S97" s="419" t="s">
        <v>159</v>
      </c>
      <c r="T97" s="403" t="s">
        <v>893</v>
      </c>
      <c r="U97" s="403" t="s">
        <v>894</v>
      </c>
      <c r="V97" s="403" t="s">
        <v>895</v>
      </c>
      <c r="W97" s="350" t="s">
        <v>425</v>
      </c>
      <c r="X97" s="399" t="s">
        <v>896</v>
      </c>
      <c r="Y97" s="399"/>
      <c r="Z97" s="353">
        <v>9297200</v>
      </c>
      <c r="AA97" s="366">
        <v>31</v>
      </c>
      <c r="AB97" s="353">
        <v>967223</v>
      </c>
      <c r="AC97" s="423"/>
      <c r="AD97" s="424"/>
      <c r="AE97" s="424" t="s">
        <v>519</v>
      </c>
      <c r="AF97" s="424" t="s">
        <v>520</v>
      </c>
      <c r="AG97" s="424" t="s">
        <v>897</v>
      </c>
      <c r="AH97" s="424"/>
      <c r="AI97" s="409" t="s">
        <v>843</v>
      </c>
      <c r="AJ97" s="409" t="s">
        <v>844</v>
      </c>
      <c r="AK97" s="409" t="s">
        <v>898</v>
      </c>
      <c r="AL97" s="409" t="s">
        <v>899</v>
      </c>
      <c r="AM97" s="425" t="s">
        <v>524</v>
      </c>
      <c r="AN97" s="425" t="s">
        <v>900</v>
      </c>
      <c r="AO97" s="409"/>
      <c r="AP97" s="409"/>
      <c r="AQ97" s="409"/>
      <c r="AR97" s="409"/>
      <c r="AS97" s="409" t="s">
        <v>901</v>
      </c>
      <c r="AT97" s="409" t="s">
        <v>902</v>
      </c>
      <c r="AU97" s="409" t="s">
        <v>903</v>
      </c>
      <c r="AV97" s="409"/>
      <c r="AW97" s="409" t="s">
        <v>904</v>
      </c>
      <c r="AX97" s="430" t="s">
        <v>905</v>
      </c>
      <c r="AY97" s="430"/>
      <c r="AZ97" s="430" t="s">
        <v>906</v>
      </c>
      <c r="BA97" s="430"/>
      <c r="BB97" s="430"/>
      <c r="BC97" s="415"/>
      <c r="BD97" s="415"/>
      <c r="BE97" s="430"/>
      <c r="BF97" s="419"/>
      <c r="BG97" s="359">
        <v>422557.39</v>
      </c>
      <c r="BH97" s="359"/>
      <c r="BI97" s="359"/>
      <c r="BJ97" s="359">
        <v>422557.39</v>
      </c>
      <c r="BK97" s="359">
        <v>585934.43000000005</v>
      </c>
      <c r="BL97" s="359"/>
      <c r="BM97" s="359"/>
      <c r="BN97" s="359"/>
      <c r="BO97" s="359"/>
      <c r="BP97" s="359"/>
      <c r="BQ97" s="359"/>
      <c r="BR97" s="359"/>
      <c r="BS97" s="362">
        <f>SUM(Table14[[#This Row],[Jan-24]:[Dec-24]])</f>
        <v>1431049.21</v>
      </c>
      <c r="BT97" s="362"/>
      <c r="BU97" s="362"/>
      <c r="BV97" s="362"/>
      <c r="BW97" s="362"/>
      <c r="BX97" s="362"/>
      <c r="BY97" s="362"/>
      <c r="BZ97" s="362"/>
      <c r="CA97" s="362"/>
      <c r="CB97" s="362"/>
      <c r="CC97" s="362"/>
      <c r="CD97" s="362"/>
      <c r="CE97" s="362"/>
      <c r="CF97" s="362">
        <f>SUM(Table14[[#This Row],[Jan-25]:[Dec-25]])</f>
        <v>0</v>
      </c>
      <c r="CG97" s="362"/>
      <c r="CH97" s="362"/>
      <c r="CI97" s="362"/>
      <c r="CJ97" s="414">
        <f>SUM(Table14[[#This Row],[Jan-26]:[Mar-26]])</f>
        <v>0</v>
      </c>
      <c r="CK97" s="531">
        <f>IFERROR(SUM(Table14[[#This Row],[Oct-25]:[Dec-25]],Table14[[#This Row],[Jan-26]:[Mar-26]])/COUNT(Table14[[#This Row],[Oct-25]:[Dec-25]],Table14[[#This Row],[Jan-26]:[Mar-26]]),0)</f>
        <v>0</v>
      </c>
      <c r="CL97" s="359" t="s">
        <v>907</v>
      </c>
      <c r="CM97" s="414">
        <f>Table14[[#This Row],[YTD 2024]]+Table14[[#This Row],[YTD 2025]]+Table14[[#This Row],[YTD 2026]]</f>
        <v>1431049.21</v>
      </c>
      <c r="CN97" s="366">
        <v>19</v>
      </c>
      <c r="CO97" s="353">
        <f t="shared" si="20"/>
        <v>75318.37947368421</v>
      </c>
      <c r="CP97" s="353">
        <f>Table14[[#This Row],[Unit Cost]]-Table14[[#This Row],[Margin on Reagent sale]]</f>
        <v>8724780.3159999996</v>
      </c>
      <c r="CQ97" s="372">
        <f>Table14[[#This Row],[Avg reagent Sales per month Actual]]-Table14[[#This Row],[Per Month Reagent Commitment]]</f>
        <v>-891904.62052631576</v>
      </c>
      <c r="CR97" s="403" t="s">
        <v>343</v>
      </c>
      <c r="CS97" s="367">
        <f>Table14[[#This Row],[On Track / (behind) (avg per month)]]/Table14[[#This Row],[Months]]</f>
        <v>-46942.348448753459</v>
      </c>
      <c r="CT97" s="368">
        <v>0.4</v>
      </c>
      <c r="CU97" s="367">
        <f>Table14[[#This Row],[Total Reagent Sales till date Actual]]*Table14[[#This Row],[Margin %]]</f>
        <v>572419.68400000001</v>
      </c>
      <c r="CV97" s="442">
        <v>0.35</v>
      </c>
      <c r="CW97" s="225"/>
      <c r="CX97" s="225"/>
      <c r="DA97" s="225"/>
      <c r="DC97" s="226"/>
      <c r="DM97" s="244"/>
    </row>
    <row r="98" spans="1:117" s="2" customFormat="1" ht="16.5" customHeight="1" x14ac:dyDescent="0.3">
      <c r="A98" s="399" t="s">
        <v>296</v>
      </c>
      <c r="B98" s="629" t="s">
        <v>297</v>
      </c>
      <c r="C98" s="399" t="s">
        <v>24</v>
      </c>
      <c r="D98" s="415" t="s">
        <v>35</v>
      </c>
      <c r="E98" s="403">
        <v>15002553</v>
      </c>
      <c r="F98" s="403" t="s">
        <v>298</v>
      </c>
      <c r="G98" s="449">
        <v>3002000060</v>
      </c>
      <c r="H98" s="409" t="s">
        <v>299</v>
      </c>
      <c r="I98" s="460" t="s">
        <v>908</v>
      </c>
      <c r="J98" s="461" t="s">
        <v>909</v>
      </c>
      <c r="K98" s="417" t="s">
        <v>910</v>
      </c>
      <c r="L98" s="417" t="s">
        <v>911</v>
      </c>
      <c r="M98" s="417" t="s">
        <v>425</v>
      </c>
      <c r="N98" s="417"/>
      <c r="O98" s="418" t="s">
        <v>348</v>
      </c>
      <c r="P98" s="418" t="s">
        <v>15</v>
      </c>
      <c r="Q98" s="399" t="s">
        <v>305</v>
      </c>
      <c r="R98" s="431">
        <v>3020000917</v>
      </c>
      <c r="S98" s="419" t="s">
        <v>141</v>
      </c>
      <c r="T98" s="403"/>
      <c r="U98" s="462" t="s">
        <v>912</v>
      </c>
      <c r="V98" s="463" t="s">
        <v>913</v>
      </c>
      <c r="W98" s="350" t="s">
        <v>914</v>
      </c>
      <c r="X98" s="463" t="s">
        <v>915</v>
      </c>
      <c r="Y98" s="399"/>
      <c r="Z98" s="353">
        <v>2868545</v>
      </c>
      <c r="AA98" s="418">
        <v>19</v>
      </c>
      <c r="AB98" s="353">
        <v>702513</v>
      </c>
      <c r="AC98" s="409"/>
      <c r="AD98" s="410"/>
      <c r="AE98" s="399"/>
      <c r="AF98" s="399"/>
      <c r="AG98" s="399"/>
      <c r="AH98" s="399"/>
      <c r="AI98" s="403"/>
      <c r="AJ98" s="403"/>
      <c r="AK98" s="403"/>
      <c r="AL98" s="403"/>
      <c r="AM98" s="420"/>
      <c r="AN98" s="420"/>
      <c r="AO98" s="403"/>
      <c r="AP98" s="403"/>
      <c r="AQ98" s="403"/>
      <c r="AR98" s="403"/>
      <c r="AS98" s="403"/>
      <c r="AT98" s="403"/>
      <c r="AU98" s="409"/>
      <c r="AV98" s="409"/>
      <c r="AW98" s="409" t="s">
        <v>916</v>
      </c>
      <c r="AX98" s="430"/>
      <c r="AY98" s="430"/>
      <c r="AZ98" s="430"/>
      <c r="BA98" s="430"/>
      <c r="BB98" s="430"/>
      <c r="BC98" s="415" t="s">
        <v>1511</v>
      </c>
      <c r="BD98" s="415"/>
      <c r="BE98" s="430">
        <v>1</v>
      </c>
      <c r="BF98" s="419" t="s">
        <v>315</v>
      </c>
      <c r="BG98" s="359"/>
      <c r="BH98" s="359"/>
      <c r="BI98" s="359">
        <v>655500</v>
      </c>
      <c r="BJ98" s="359">
        <v>20900</v>
      </c>
      <c r="BK98" s="359">
        <v>17711.87</v>
      </c>
      <c r="BL98" s="359">
        <v>25000</v>
      </c>
      <c r="BM98" s="359">
        <v>90400</v>
      </c>
      <c r="BN98" s="359">
        <v>19800</v>
      </c>
      <c r="BO98" s="359">
        <v>0</v>
      </c>
      <c r="BP98" s="359">
        <v>68000</v>
      </c>
      <c r="BQ98" s="359">
        <v>0</v>
      </c>
      <c r="BR98" s="359">
        <v>586800</v>
      </c>
      <c r="BS98" s="362">
        <f>SUM(Table14[[#This Row],[Jan-24]:[Dec-24]])</f>
        <v>1484111.87</v>
      </c>
      <c r="BT98" s="362">
        <v>0</v>
      </c>
      <c r="BU98" s="414">
        <v>79200</v>
      </c>
      <c r="BV98" s="414">
        <v>0</v>
      </c>
      <c r="BW98" s="414">
        <v>0</v>
      </c>
      <c r="BX98" s="414">
        <v>0</v>
      </c>
      <c r="BY98" s="367">
        <v>0</v>
      </c>
      <c r="BZ98" s="367">
        <v>0</v>
      </c>
      <c r="CA98" s="367">
        <v>0</v>
      </c>
      <c r="CB98" s="367">
        <v>0</v>
      </c>
      <c r="CC98" s="367"/>
      <c r="CD98" s="367">
        <v>0</v>
      </c>
      <c r="CE98" s="367"/>
      <c r="CF98" s="362">
        <f>SUM(Table14[[#This Row],[Jan-25]:[Dec-25]])</f>
        <v>79200</v>
      </c>
      <c r="CG98" s="367"/>
      <c r="CH98" s="367">
        <v>79200</v>
      </c>
      <c r="CI98" s="367"/>
      <c r="CJ98" s="414">
        <f>SUM(Table14[[#This Row],[Jan-26]:[Mar-26]])</f>
        <v>79200</v>
      </c>
      <c r="CK98" s="531">
        <f>IFERROR(SUM(Table14[[#This Row],[Oct-25]:[Dec-25]],Table14[[#This Row],[Jan-26]:[Mar-26]])/COUNT(Table14[[#This Row],[Oct-25]:[Dec-25]],Table14[[#This Row],[Jan-26]:[Mar-26]]),0)</f>
        <v>39600</v>
      </c>
      <c r="CL98" s="359"/>
      <c r="CM98" s="414">
        <f>Table14[[#This Row],[YTD 2024]]+Table14[[#This Row],[YTD 2025]]+Table14[[#This Row],[YTD 2026]]</f>
        <v>1642511.87</v>
      </c>
      <c r="CN98" s="418">
        <v>17</v>
      </c>
      <c r="CO98" s="353">
        <f t="shared" si="20"/>
        <v>96618.345294117651</v>
      </c>
      <c r="CP98" s="353">
        <f>Table14[[#This Row],[Unit Cost]]-Table14[[#This Row],[Margin on Reagent sale]]</f>
        <v>2211540.2519999999</v>
      </c>
      <c r="CQ98" s="372">
        <f>Table14[[#This Row],[Avg reagent Sales per month Actual]]-Table14[[#This Row],[Per Month Reagent Commitment]]</f>
        <v>-605894.65470588231</v>
      </c>
      <c r="CR98" s="373" t="s">
        <v>343</v>
      </c>
      <c r="CS98" s="367">
        <f>Table14[[#This Row],[On Track / (behind) (avg per month)]]/Table14[[#This Row],[Months]]</f>
        <v>-35640.862041522487</v>
      </c>
      <c r="CT98" s="368">
        <v>0.4</v>
      </c>
      <c r="CU98" s="367">
        <f>Table14[[#This Row],[Total Reagent Sales till date Actual]]*Table14[[#This Row],[Margin %]]</f>
        <v>657004.74800000014</v>
      </c>
      <c r="CV98" s="400">
        <f>CT98</f>
        <v>0.4</v>
      </c>
      <c r="CW98" s="225"/>
      <c r="CX98" s="225"/>
      <c r="DA98" s="225"/>
      <c r="DC98" s="226"/>
      <c r="DM98" s="244"/>
    </row>
    <row r="99" spans="1:117" s="2" customFormat="1" ht="16.2" customHeight="1" x14ac:dyDescent="0.3">
      <c r="A99" s="399" t="s">
        <v>296</v>
      </c>
      <c r="B99" s="629" t="s">
        <v>297</v>
      </c>
      <c r="C99" s="399" t="s">
        <v>49</v>
      </c>
      <c r="D99" s="415" t="s">
        <v>36</v>
      </c>
      <c r="E99" s="403">
        <v>15002128</v>
      </c>
      <c r="F99" s="403" t="s">
        <v>317</v>
      </c>
      <c r="G99" s="449" t="s">
        <v>917</v>
      </c>
      <c r="H99" s="666"/>
      <c r="I99" s="416"/>
      <c r="J99" s="417"/>
      <c r="K99" s="417" t="s">
        <v>918</v>
      </c>
      <c r="L99" s="417" t="s">
        <v>919</v>
      </c>
      <c r="M99" s="417" t="s">
        <v>425</v>
      </c>
      <c r="N99" s="417"/>
      <c r="O99" s="418" t="s">
        <v>348</v>
      </c>
      <c r="P99" s="418" t="s">
        <v>15</v>
      </c>
      <c r="Q99" s="415" t="s">
        <v>920</v>
      </c>
      <c r="R99" s="431">
        <v>3020000917</v>
      </c>
      <c r="S99" s="419" t="s">
        <v>141</v>
      </c>
      <c r="T99" s="444" t="s">
        <v>921</v>
      </c>
      <c r="U99" s="465" t="s">
        <v>922</v>
      </c>
      <c r="V99" s="403" t="s">
        <v>913</v>
      </c>
      <c r="W99" s="350" t="s">
        <v>914</v>
      </c>
      <c r="X99" s="399" t="s">
        <v>915</v>
      </c>
      <c r="Y99" s="399"/>
      <c r="Z99" s="353">
        <v>4499722</v>
      </c>
      <c r="AA99" s="418">
        <v>36</v>
      </c>
      <c r="AB99" s="353">
        <v>399013</v>
      </c>
      <c r="AC99" s="409"/>
      <c r="AD99" s="410"/>
      <c r="AE99" s="399"/>
      <c r="AF99" s="399"/>
      <c r="AG99" s="399"/>
      <c r="AH99" s="399"/>
      <c r="AI99" s="403"/>
      <c r="AJ99" s="403"/>
      <c r="AK99" s="403"/>
      <c r="AL99" s="403"/>
      <c r="AM99" s="420"/>
      <c r="AN99" s="420"/>
      <c r="AO99" s="403"/>
      <c r="AP99" s="403"/>
      <c r="AQ99" s="403"/>
      <c r="AR99" s="403"/>
      <c r="AS99" s="403"/>
      <c r="AT99" s="403"/>
      <c r="AU99" s="399" t="s">
        <v>526</v>
      </c>
      <c r="AV99" s="420"/>
      <c r="AW99" s="420"/>
      <c r="AX99" s="420" t="s">
        <v>923</v>
      </c>
      <c r="AY99" s="420"/>
      <c r="AZ99" s="420"/>
      <c r="BA99" s="420"/>
      <c r="BB99" s="420"/>
      <c r="BC99" s="415"/>
      <c r="BD99" s="415"/>
      <c r="BE99" s="420"/>
      <c r="BF99" s="419"/>
      <c r="BG99" s="370"/>
      <c r="BH99" s="370"/>
      <c r="BI99" s="370">
        <v>616700</v>
      </c>
      <c r="BJ99" s="370">
        <v>0</v>
      </c>
      <c r="BK99" s="370">
        <v>681360</v>
      </c>
      <c r="BL99" s="370">
        <v>193000</v>
      </c>
      <c r="BM99" s="370">
        <v>50000</v>
      </c>
      <c r="BN99" s="370">
        <v>0</v>
      </c>
      <c r="BO99" s="370">
        <v>0</v>
      </c>
      <c r="BP99" s="370">
        <v>0</v>
      </c>
      <c r="BQ99" s="370">
        <v>0</v>
      </c>
      <c r="BR99" s="370">
        <v>0</v>
      </c>
      <c r="BS99" s="362">
        <f>SUM(Table14[[#This Row],[Jan-24]:[Dec-24]])</f>
        <v>1541060</v>
      </c>
      <c r="BT99" s="362">
        <v>0</v>
      </c>
      <c r="BU99" s="362">
        <v>0</v>
      </c>
      <c r="BV99" s="362">
        <v>0</v>
      </c>
      <c r="BW99" s="362">
        <v>0</v>
      </c>
      <c r="BX99" s="362">
        <v>0</v>
      </c>
      <c r="BY99" s="367">
        <v>0</v>
      </c>
      <c r="BZ99" s="367">
        <v>0</v>
      </c>
      <c r="CA99" s="367">
        <v>0</v>
      </c>
      <c r="CB99" s="367">
        <v>0</v>
      </c>
      <c r="CC99" s="367"/>
      <c r="CD99" s="367"/>
      <c r="CE99" s="367"/>
      <c r="CF99" s="362">
        <f>SUM(Table14[[#This Row],[Jan-25]:[Dec-25]])</f>
        <v>0</v>
      </c>
      <c r="CG99" s="367">
        <v>0</v>
      </c>
      <c r="CH99" s="367"/>
      <c r="CI99" s="367"/>
      <c r="CJ99" s="414">
        <f>SUM(Table14[[#This Row],[Jan-26]:[Mar-26]])</f>
        <v>0</v>
      </c>
      <c r="CK99" s="531">
        <f>IFERROR(SUM(Table14[[#This Row],[Oct-25]:[Dec-25]],Table14[[#This Row],[Jan-26]:[Mar-26]])/COUNT(Table14[[#This Row],[Oct-25]:[Dec-25]],Table14[[#This Row],[Jan-26]:[Mar-26]]),0)</f>
        <v>0</v>
      </c>
      <c r="CL99" s="367" t="s">
        <v>924</v>
      </c>
      <c r="CM99" s="414">
        <f>Table14[[#This Row],[YTD 2024]]+Table14[[#This Row],[YTD 2025]]+Table14[[#This Row],[YTD 2026]]</f>
        <v>1541060</v>
      </c>
      <c r="CN99" s="418">
        <v>15</v>
      </c>
      <c r="CO99" s="353">
        <f t="shared" si="20"/>
        <v>102737.33333333333</v>
      </c>
      <c r="CP99" s="353">
        <f>Table14[[#This Row],[Unit Cost]]-Table14[[#This Row],[Margin on Reagent sale]]</f>
        <v>3806245</v>
      </c>
      <c r="CQ99" s="372">
        <f>Table14[[#This Row],[Avg reagent Sales per month Actual]]-Table14[[#This Row],[Per Month Reagent Commitment]]</f>
        <v>-296275.66666666669</v>
      </c>
      <c r="CR99" s="403" t="s">
        <v>343</v>
      </c>
      <c r="CS99" s="367">
        <f>Table14[[#This Row],[On Track / (behind) (avg per month)]]/Table14[[#This Row],[Months]]</f>
        <v>-19751.711111111112</v>
      </c>
      <c r="CT99" s="368">
        <v>0.45</v>
      </c>
      <c r="CU99" s="367">
        <f>Table14[[#This Row],[Total Reagent Sales till date Actual]]*Table14[[#This Row],[Margin %]]</f>
        <v>693477</v>
      </c>
      <c r="CV99" s="442">
        <v>0.35</v>
      </c>
      <c r="CW99" s="225"/>
      <c r="CX99" s="225"/>
      <c r="DA99" s="225"/>
      <c r="DM99" s="244"/>
    </row>
    <row r="100" spans="1:117" s="2" customFormat="1" ht="15" customHeight="1" x14ac:dyDescent="0.3">
      <c r="A100" s="399" t="s">
        <v>511</v>
      </c>
      <c r="B100" s="629" t="s">
        <v>345</v>
      </c>
      <c r="C100" s="399" t="s">
        <v>21</v>
      </c>
      <c r="D100" s="415" t="s">
        <v>29</v>
      </c>
      <c r="E100" s="403">
        <v>15002758</v>
      </c>
      <c r="F100" s="403" t="s">
        <v>298</v>
      </c>
      <c r="G100" s="449">
        <v>3002000027</v>
      </c>
      <c r="H100" s="409" t="s">
        <v>299</v>
      </c>
      <c r="I100" s="416">
        <v>36001565</v>
      </c>
      <c r="J100" s="417" t="s">
        <v>925</v>
      </c>
      <c r="K100" s="417" t="s">
        <v>926</v>
      </c>
      <c r="L100" s="417" t="s">
        <v>926</v>
      </c>
      <c r="M100" s="417" t="s">
        <v>303</v>
      </c>
      <c r="N100" s="417"/>
      <c r="O100" s="416" t="s">
        <v>348</v>
      </c>
      <c r="P100" s="418" t="s">
        <v>15</v>
      </c>
      <c r="Q100" s="399" t="s">
        <v>927</v>
      </c>
      <c r="R100" s="399">
        <v>3020000917</v>
      </c>
      <c r="S100" s="419" t="s">
        <v>75</v>
      </c>
      <c r="T100" s="403" t="s">
        <v>299</v>
      </c>
      <c r="U100" s="403" t="s">
        <v>928</v>
      </c>
      <c r="V100" s="403" t="s">
        <v>913</v>
      </c>
      <c r="W100" s="350" t="s">
        <v>914</v>
      </c>
      <c r="X100" s="399" t="s">
        <v>915</v>
      </c>
      <c r="Y100" s="399"/>
      <c r="Z100" s="353">
        <v>16350883</v>
      </c>
      <c r="AA100" s="366">
        <v>29</v>
      </c>
      <c r="AB100" s="353">
        <v>1477881</v>
      </c>
      <c r="AC100" s="423"/>
      <c r="AD100" s="424"/>
      <c r="AE100" s="424"/>
      <c r="AF100" s="424"/>
      <c r="AG100" s="424" t="s">
        <v>929</v>
      </c>
      <c r="AH100" s="424"/>
      <c r="AI100" s="409" t="s">
        <v>930</v>
      </c>
      <c r="AJ100" s="409" t="s">
        <v>931</v>
      </c>
      <c r="AK100" s="409" t="s">
        <v>932</v>
      </c>
      <c r="AL100" s="409" t="s">
        <v>933</v>
      </c>
      <c r="AM100" s="425" t="s">
        <v>934</v>
      </c>
      <c r="AN100" s="425" t="s">
        <v>935</v>
      </c>
      <c r="AO100" s="409"/>
      <c r="AP100" s="409"/>
      <c r="AQ100" s="409"/>
      <c r="AR100" s="409"/>
      <c r="AS100" s="409" t="s">
        <v>936</v>
      </c>
      <c r="AT100" s="409" t="s">
        <v>937</v>
      </c>
      <c r="AU100" s="409" t="s">
        <v>938</v>
      </c>
      <c r="AV100" s="409"/>
      <c r="AW100" s="409" t="s">
        <v>939</v>
      </c>
      <c r="AX100" s="430"/>
      <c r="AY100" s="430"/>
      <c r="AZ100" s="430" t="s">
        <v>560</v>
      </c>
      <c r="BA100" s="430"/>
      <c r="BB100" s="430"/>
      <c r="BC100" s="415"/>
      <c r="BD100" s="415"/>
      <c r="BE100" s="430"/>
      <c r="BF100" s="419"/>
      <c r="BG100" s="359">
        <v>823288.59</v>
      </c>
      <c r="BH100" s="359">
        <v>0</v>
      </c>
      <c r="BI100" s="359">
        <v>743994.95</v>
      </c>
      <c r="BJ100" s="359">
        <v>607700</v>
      </c>
      <c r="BK100" s="359">
        <v>1827500</v>
      </c>
      <c r="BL100" s="359">
        <v>22100</v>
      </c>
      <c r="BM100" s="359">
        <v>0</v>
      </c>
      <c r="BN100" s="359">
        <v>1505200</v>
      </c>
      <c r="BO100" s="359">
        <v>0</v>
      </c>
      <c r="BP100" s="359">
        <v>0</v>
      </c>
      <c r="BQ100" s="359">
        <v>1092300</v>
      </c>
      <c r="BR100" s="359">
        <v>299700</v>
      </c>
      <c r="BS100" s="362">
        <f>SUM(Table14[[#This Row],[Jan-24]:[Dec-24]])</f>
        <v>6921783.54</v>
      </c>
      <c r="BT100" s="362">
        <v>0</v>
      </c>
      <c r="BU100" s="414">
        <v>441000</v>
      </c>
      <c r="BV100" s="414">
        <v>0</v>
      </c>
      <c r="BW100" s="414">
        <v>0</v>
      </c>
      <c r="BX100" s="414"/>
      <c r="BY100" s="414"/>
      <c r="BZ100" s="414"/>
      <c r="CA100" s="414"/>
      <c r="CB100" s="414"/>
      <c r="CC100" s="414"/>
      <c r="CD100" s="414"/>
      <c r="CE100" s="414"/>
      <c r="CF100" s="362">
        <f>SUM(Table14[[#This Row],[Jan-25]:[Dec-25]])</f>
        <v>441000</v>
      </c>
      <c r="CG100" s="414"/>
      <c r="CH100" s="414"/>
      <c r="CI100" s="414"/>
      <c r="CJ100" s="414">
        <f>SUM(Table14[[#This Row],[Jan-26]:[Mar-26]])</f>
        <v>0</v>
      </c>
      <c r="CK100" s="531">
        <f>IFERROR(SUM(Table14[[#This Row],[Oct-25]:[Dec-25]],Table14[[#This Row],[Jan-26]:[Mar-26]])/COUNT(Table14[[#This Row],[Oct-25]:[Dec-25]],Table14[[#This Row],[Jan-26]:[Mar-26]]),0)</f>
        <v>0</v>
      </c>
      <c r="CL100" s="359"/>
      <c r="CM100" s="414">
        <f>Table14[[#This Row],[YTD 2024]]+Table14[[#This Row],[YTD 2025]]+Table14[[#This Row],[YTD 2026]]</f>
        <v>7362783.54</v>
      </c>
      <c r="CN100" s="366">
        <v>17</v>
      </c>
      <c r="CO100" s="353">
        <f t="shared" si="20"/>
        <v>433104.91411764704</v>
      </c>
      <c r="CP100" s="353">
        <f>Table14[[#This Row],[Unit Cost]]-Table14[[#This Row],[Margin on Reagent sale]]</f>
        <v>13405769.583999999</v>
      </c>
      <c r="CQ100" s="372">
        <f>Table14[[#This Row],[Avg reagent Sales per month Actual]]-Table14[[#This Row],[Per Month Reagent Commitment]]</f>
        <v>-1044776.0858823529</v>
      </c>
      <c r="CR100" s="403" t="s">
        <v>640</v>
      </c>
      <c r="CS100" s="367">
        <f>Table14[[#This Row],[On Track / (behind) (avg per month)]]/Table14[[#This Row],[Months]]</f>
        <v>-61457.416816608995</v>
      </c>
      <c r="CT100" s="368">
        <v>0.4</v>
      </c>
      <c r="CU100" s="367">
        <f>Table14[[#This Row],[Total Reagent Sales till date Actual]]*Table14[[#This Row],[Margin %]]</f>
        <v>2945113.4160000002</v>
      </c>
      <c r="CV100" s="442">
        <v>0.35</v>
      </c>
      <c r="CW100" s="225"/>
      <c r="CX100" s="225"/>
      <c r="DA100" s="225"/>
      <c r="DM100" s="244"/>
    </row>
    <row r="101" spans="1:117" s="2" customFormat="1" ht="13.5" customHeight="1" x14ac:dyDescent="0.3">
      <c r="A101" s="399" t="s">
        <v>511</v>
      </c>
      <c r="B101" s="630" t="s">
        <v>345</v>
      </c>
      <c r="C101" s="399" t="s">
        <v>21</v>
      </c>
      <c r="D101" s="415" t="s">
        <v>29</v>
      </c>
      <c r="E101" s="403">
        <v>15002758</v>
      </c>
      <c r="F101" s="403" t="s">
        <v>298</v>
      </c>
      <c r="G101" s="449">
        <v>3002000027</v>
      </c>
      <c r="H101" s="409" t="s">
        <v>299</v>
      </c>
      <c r="I101" s="416">
        <v>36001565</v>
      </c>
      <c r="J101" s="417"/>
      <c r="K101" s="417"/>
      <c r="L101" s="417" t="s">
        <v>491</v>
      </c>
      <c r="M101" s="417" t="s">
        <v>303</v>
      </c>
      <c r="N101" s="417"/>
      <c r="O101" s="418" t="s">
        <v>529</v>
      </c>
      <c r="P101" s="418" t="s">
        <v>15</v>
      </c>
      <c r="Q101" s="399" t="s">
        <v>927</v>
      </c>
      <c r="R101" s="399">
        <v>3020000917</v>
      </c>
      <c r="S101" s="419" t="s">
        <v>75</v>
      </c>
      <c r="T101" s="403" t="s">
        <v>299</v>
      </c>
      <c r="U101" s="403" t="s">
        <v>928</v>
      </c>
      <c r="V101" s="403" t="s">
        <v>913</v>
      </c>
      <c r="W101" s="350" t="s">
        <v>914</v>
      </c>
      <c r="X101" s="399" t="s">
        <v>915</v>
      </c>
      <c r="Y101" s="399"/>
      <c r="Z101" s="486">
        <v>16465883</v>
      </c>
      <c r="AA101" s="418">
        <v>60</v>
      </c>
      <c r="AB101" s="486">
        <v>864628</v>
      </c>
      <c r="AC101" s="409"/>
      <c r="AD101" s="410"/>
      <c r="AE101" s="399"/>
      <c r="AF101" s="399"/>
      <c r="AG101" s="399"/>
      <c r="AH101" s="399"/>
      <c r="AI101" s="403"/>
      <c r="AJ101" s="403"/>
      <c r="AK101" s="403"/>
      <c r="AL101" s="403"/>
      <c r="AM101" s="420"/>
      <c r="AN101" s="420"/>
      <c r="AO101" s="403"/>
      <c r="AP101" s="403"/>
      <c r="AQ101" s="403"/>
      <c r="AR101" s="403"/>
      <c r="AS101" s="403"/>
      <c r="AT101" s="403"/>
      <c r="AU101" s="399"/>
      <c r="AV101" s="420"/>
      <c r="AW101" s="420"/>
      <c r="AX101" s="420"/>
      <c r="AY101" s="420"/>
      <c r="AZ101" s="420"/>
      <c r="BA101" s="370"/>
      <c r="BB101" s="358"/>
      <c r="BC101" s="415" t="s">
        <v>1511</v>
      </c>
      <c r="BD101" s="415" t="s">
        <v>1643</v>
      </c>
      <c r="BE101" s="375">
        <v>1</v>
      </c>
      <c r="BF101" s="419" t="s">
        <v>315</v>
      </c>
      <c r="BG101" s="359">
        <v>823288.59</v>
      </c>
      <c r="BH101" s="359">
        <v>0</v>
      </c>
      <c r="BI101" s="359">
        <v>743994.95</v>
      </c>
      <c r="BJ101" s="359">
        <v>607700</v>
      </c>
      <c r="BK101" s="359">
        <v>1827500</v>
      </c>
      <c r="BL101" s="359">
        <v>22100</v>
      </c>
      <c r="BM101" s="359">
        <v>0</v>
      </c>
      <c r="BN101" s="359">
        <v>1505200</v>
      </c>
      <c r="BO101" s="359">
        <v>0</v>
      </c>
      <c r="BP101" s="359">
        <v>0</v>
      </c>
      <c r="BQ101" s="359">
        <v>1092300</v>
      </c>
      <c r="BR101" s="359">
        <v>299700</v>
      </c>
      <c r="BS101" s="362">
        <f>SUM(Table14[[#This Row],[Jan-24]:[Dec-24]])</f>
        <v>6921783.54</v>
      </c>
      <c r="BT101" s="362">
        <v>0</v>
      </c>
      <c r="BU101" s="414">
        <v>441000</v>
      </c>
      <c r="BV101" s="414">
        <v>0</v>
      </c>
      <c r="BW101" s="414">
        <v>0</v>
      </c>
      <c r="BX101" s="414">
        <v>0</v>
      </c>
      <c r="BY101" s="414">
        <v>0</v>
      </c>
      <c r="BZ101" s="414">
        <v>0</v>
      </c>
      <c r="CA101" s="414">
        <v>0</v>
      </c>
      <c r="CB101" s="414">
        <v>0</v>
      </c>
      <c r="CC101" s="414">
        <v>0</v>
      </c>
      <c r="CD101" s="414">
        <v>0</v>
      </c>
      <c r="CE101" s="414"/>
      <c r="CF101" s="362">
        <f>SUM(Table14[[#This Row],[Jan-25]:[Dec-25]])</f>
        <v>441000</v>
      </c>
      <c r="CG101" s="414">
        <v>0</v>
      </c>
      <c r="CH101" s="414">
        <v>0</v>
      </c>
      <c r="CI101" s="414">
        <v>0</v>
      </c>
      <c r="CJ101" s="414">
        <f>SUM(Table14[[#This Row],[Jan-26]:[Mar-26]])</f>
        <v>0</v>
      </c>
      <c r="CK101" s="531">
        <f>IFERROR(SUM(Table14[[#This Row],[Oct-25]:[Dec-25]],Table14[[#This Row],[Jan-26]:[Mar-26]])/COUNT(Table14[[#This Row],[Oct-25]:[Dec-25]],Table14[[#This Row],[Jan-26]:[Mar-26]]),0)</f>
        <v>0</v>
      </c>
      <c r="CL101" s="367"/>
      <c r="CM101" s="414">
        <f>Table14[[#This Row],[YTD 2024]]+Table14[[#This Row],[YTD 2025]]+Table14[[#This Row],[YTD 2026]]</f>
        <v>7362783.54</v>
      </c>
      <c r="CN101" s="418">
        <v>20</v>
      </c>
      <c r="CO101" s="353">
        <f t="shared" si="20"/>
        <v>368139.17700000003</v>
      </c>
      <c r="CP101" s="353">
        <f>Table14[[#This Row],[Unit Cost]]-Table14[[#This Row],[Margin on Reagent sale]]</f>
        <v>13520769.583999999</v>
      </c>
      <c r="CQ101" s="489">
        <f>Table14[[#This Row],[Avg reagent Sales per month Actual]]-Table14[[#This Row],[Per Month Reagent Commitment]]</f>
        <v>-496488.82299999997</v>
      </c>
      <c r="CR101" s="403" t="s">
        <v>343</v>
      </c>
      <c r="CS101" s="367">
        <f>Table14[[#This Row],[On Track / (behind) (avg per month)]]/Table14[[#This Row],[Months]]</f>
        <v>-24824.441149999999</v>
      </c>
      <c r="CT101" s="368">
        <v>0.4</v>
      </c>
      <c r="CU101" s="367">
        <f>Table14[[#This Row],[Total Reagent Sales till date Actual]]*Table14[[#This Row],[Margin %]]</f>
        <v>2945113.4160000002</v>
      </c>
      <c r="CV101" s="371">
        <f>CT101</f>
        <v>0.4</v>
      </c>
      <c r="CW101" s="225"/>
      <c r="CX101" s="225"/>
      <c r="DA101" s="225"/>
      <c r="DC101" s="226"/>
      <c r="DM101" s="244"/>
    </row>
    <row r="102" spans="1:117" s="2" customFormat="1" ht="14.1" customHeight="1" x14ac:dyDescent="0.3">
      <c r="A102" s="399" t="s">
        <v>438</v>
      </c>
      <c r="B102" s="631" t="s">
        <v>345</v>
      </c>
      <c r="C102" s="401" t="s">
        <v>21</v>
      </c>
      <c r="D102" s="402" t="s">
        <v>485</v>
      </c>
      <c r="E102" s="403">
        <v>15002759</v>
      </c>
      <c r="F102" s="401" t="s">
        <v>298</v>
      </c>
      <c r="G102" s="449">
        <v>3002000087</v>
      </c>
      <c r="H102" s="667"/>
      <c r="I102" s="427">
        <v>30006188</v>
      </c>
      <c r="J102" s="405"/>
      <c r="K102" s="405">
        <v>45275</v>
      </c>
      <c r="L102" s="405" t="s">
        <v>772</v>
      </c>
      <c r="M102" s="417" t="s">
        <v>303</v>
      </c>
      <c r="N102" s="417"/>
      <c r="O102" s="404" t="s">
        <v>304</v>
      </c>
      <c r="P102" s="404" t="s">
        <v>17</v>
      </c>
      <c r="Q102" s="431" t="s">
        <v>440</v>
      </c>
      <c r="R102" s="529">
        <v>3020000936</v>
      </c>
      <c r="S102" s="402" t="s">
        <v>1546</v>
      </c>
      <c r="T102" s="401"/>
      <c r="U102" s="403" t="s">
        <v>941</v>
      </c>
      <c r="V102" s="403" t="s">
        <v>942</v>
      </c>
      <c r="W102" s="399" t="s">
        <v>943</v>
      </c>
      <c r="X102" s="399"/>
      <c r="Y102" s="399" t="s">
        <v>944</v>
      </c>
      <c r="Z102" s="351">
        <v>6818058</v>
      </c>
      <c r="AA102" s="352">
        <v>36</v>
      </c>
      <c r="AB102" s="353">
        <v>392516</v>
      </c>
      <c r="AC102" s="409"/>
      <c r="AD102" s="410"/>
      <c r="AE102" s="411"/>
      <c r="AF102" s="411"/>
      <c r="AG102" s="411"/>
      <c r="AH102" s="411"/>
      <c r="AI102" s="411"/>
      <c r="AJ102" s="411"/>
      <c r="AK102" s="411"/>
      <c r="AL102" s="411"/>
      <c r="AM102" s="412"/>
      <c r="AN102" s="412"/>
      <c r="AO102" s="411"/>
      <c r="AP102" s="411"/>
      <c r="AQ102" s="411"/>
      <c r="AR102" s="411"/>
      <c r="AS102" s="411"/>
      <c r="AT102" s="411"/>
      <c r="AU102" s="411"/>
      <c r="AV102" s="412"/>
      <c r="AW102" s="412"/>
      <c r="AX102" s="354"/>
      <c r="AY102" s="354"/>
      <c r="AZ102" s="354"/>
      <c r="BA102" s="354"/>
      <c r="BB102" s="413"/>
      <c r="BC102" s="597" t="s">
        <v>1524</v>
      </c>
      <c r="BD102" s="597" t="s">
        <v>1694</v>
      </c>
      <c r="BE102" s="375">
        <v>1</v>
      </c>
      <c r="BF102" s="402" t="s">
        <v>315</v>
      </c>
      <c r="BG102" s="387">
        <v>955655</v>
      </c>
      <c r="BH102" s="387">
        <v>0</v>
      </c>
      <c r="BI102" s="387">
        <v>61560</v>
      </c>
      <c r="BJ102" s="387">
        <v>880770</v>
      </c>
      <c r="BK102" s="388">
        <v>0</v>
      </c>
      <c r="BL102" s="389">
        <v>123080</v>
      </c>
      <c r="BM102" s="390">
        <v>188785</v>
      </c>
      <c r="BN102" s="390">
        <v>0</v>
      </c>
      <c r="BO102" s="359">
        <v>504101</v>
      </c>
      <c r="BP102" s="359">
        <v>573549</v>
      </c>
      <c r="BQ102" s="359">
        <v>472661</v>
      </c>
      <c r="BR102" s="359">
        <v>1172180</v>
      </c>
      <c r="BS102" s="362">
        <f>SUM(Table14[[#This Row],[Jan-24]:[Dec-24]])</f>
        <v>4932341</v>
      </c>
      <c r="BT102" s="414">
        <v>0</v>
      </c>
      <c r="BU102" s="414">
        <v>571455</v>
      </c>
      <c r="BV102" s="414">
        <v>0</v>
      </c>
      <c r="BW102" s="421">
        <v>500320</v>
      </c>
      <c r="BX102" s="414">
        <v>1132725</v>
      </c>
      <c r="BY102" s="414">
        <v>1368005</v>
      </c>
      <c r="BZ102" s="414">
        <v>895385</v>
      </c>
      <c r="CA102" s="414">
        <v>481310</v>
      </c>
      <c r="CB102" s="414">
        <v>15980</v>
      </c>
      <c r="CC102" s="414">
        <v>58140</v>
      </c>
      <c r="CD102" s="414"/>
      <c r="CE102" s="414"/>
      <c r="CF102" s="362">
        <f>SUM(Table14[[#This Row],[Jan-25]:[Dec-25]])</f>
        <v>5023320</v>
      </c>
      <c r="CG102" s="414">
        <v>511332</v>
      </c>
      <c r="CH102" s="414">
        <v>544884</v>
      </c>
      <c r="CI102" s="414">
        <v>245254</v>
      </c>
      <c r="CJ102" s="414">
        <f>SUM(Table14[[#This Row],[Jan-26]:[Mar-26]])</f>
        <v>1301470</v>
      </c>
      <c r="CK102" s="531">
        <f>IFERROR(SUM(Table14[[#This Row],[Oct-25]:[Dec-25]],Table14[[#This Row],[Jan-26]:[Mar-26]])/COUNT(Table14[[#This Row],[Oct-25]:[Dec-25]],Table14[[#This Row],[Jan-26]:[Mar-26]]),0)</f>
        <v>339902.5</v>
      </c>
      <c r="CL102" s="364"/>
      <c r="CM102" s="414">
        <f>Table14[[#This Row],[YTD 2024]]+Table14[[#This Row],[YTD 2025]]+Table14[[#This Row],[YTD 2026]]</f>
        <v>11257131</v>
      </c>
      <c r="CN102" s="381">
        <v>27</v>
      </c>
      <c r="CO102" s="353">
        <f t="shared" si="20"/>
        <v>416930.77777777775</v>
      </c>
      <c r="CP102" s="353">
        <f>Table14[[#This Row],[Unit Cost]]-Table14[[#This Row],[Margin on Reagent sale]]</f>
        <v>2315205.5999999996</v>
      </c>
      <c r="CQ102" s="367">
        <f>Table14[[#This Row],[Avg reagent Sales per month Actual]]-Table14[[#This Row],[Per Month Reagent Commitment]]</f>
        <v>24414.777777777752</v>
      </c>
      <c r="CR102" s="403" t="s">
        <v>777</v>
      </c>
      <c r="CS102" s="367">
        <f>Table14[[#This Row],[On Track / (behind) (avg per month)]]/Table14[[#This Row],[Months]]</f>
        <v>904.25102880658335</v>
      </c>
      <c r="CT102" s="368">
        <v>0.4</v>
      </c>
      <c r="CU102" s="367">
        <f>Table14[[#This Row],[Total Reagent Sales till date Actual]]*Table14[[#This Row],[Margin %]]</f>
        <v>4502852.4000000004</v>
      </c>
      <c r="CV102" s="442">
        <v>0.35</v>
      </c>
      <c r="CW102" s="225"/>
      <c r="CX102" s="225"/>
      <c r="DA102" s="225"/>
      <c r="DC102" s="226"/>
      <c r="DM102" s="244"/>
    </row>
    <row r="103" spans="1:117" s="2" customFormat="1" ht="14.1" customHeight="1" x14ac:dyDescent="0.3">
      <c r="A103" s="399" t="s">
        <v>787</v>
      </c>
      <c r="B103" s="631" t="s">
        <v>297</v>
      </c>
      <c r="C103" s="685" t="s">
        <v>24</v>
      </c>
      <c r="D103" s="686" t="s">
        <v>35</v>
      </c>
      <c r="E103" s="687">
        <v>15002553</v>
      </c>
      <c r="F103" s="687" t="s">
        <v>298</v>
      </c>
      <c r="G103" s="688">
        <v>3002000019</v>
      </c>
      <c r="H103" s="689" t="s">
        <v>299</v>
      </c>
      <c r="I103" s="690" t="s">
        <v>945</v>
      </c>
      <c r="J103" s="691" t="s">
        <v>946</v>
      </c>
      <c r="K103" s="417" t="s">
        <v>947</v>
      </c>
      <c r="L103" s="691" t="s">
        <v>948</v>
      </c>
      <c r="M103" s="417" t="s">
        <v>303</v>
      </c>
      <c r="N103" s="417"/>
      <c r="O103" s="690" t="s">
        <v>348</v>
      </c>
      <c r="P103" s="692" t="s">
        <v>17</v>
      </c>
      <c r="Q103" s="685" t="s">
        <v>949</v>
      </c>
      <c r="R103" s="685">
        <v>3020000943</v>
      </c>
      <c r="S103" s="693" t="s">
        <v>185</v>
      </c>
      <c r="T103" s="403" t="s">
        <v>950</v>
      </c>
      <c r="U103" s="403" t="s">
        <v>951</v>
      </c>
      <c r="V103" s="403" t="s">
        <v>952</v>
      </c>
      <c r="W103" s="350" t="s">
        <v>953</v>
      </c>
      <c r="X103" s="422" t="s">
        <v>954</v>
      </c>
      <c r="Y103" s="399"/>
      <c r="Z103" s="694">
        <v>2100000</v>
      </c>
      <c r="AA103" s="695">
        <v>12</v>
      </c>
      <c r="AB103" s="694">
        <v>490395</v>
      </c>
      <c r="AC103" s="423" t="s">
        <v>955</v>
      </c>
      <c r="AD103" s="424" t="s">
        <v>956</v>
      </c>
      <c r="AE103" s="424" t="s">
        <v>881</v>
      </c>
      <c r="AF103" s="424" t="s">
        <v>957</v>
      </c>
      <c r="AG103" s="424" t="s">
        <v>958</v>
      </c>
      <c r="AH103" s="424" t="s">
        <v>959</v>
      </c>
      <c r="AI103" s="409" t="s">
        <v>960</v>
      </c>
      <c r="AJ103" s="409" t="s">
        <v>960</v>
      </c>
      <c r="AK103" s="409" t="s">
        <v>961</v>
      </c>
      <c r="AL103" s="409" t="s">
        <v>962</v>
      </c>
      <c r="AM103" s="425" t="s">
        <v>963</v>
      </c>
      <c r="AN103" s="425" t="s">
        <v>964</v>
      </c>
      <c r="AO103" s="409"/>
      <c r="AP103" s="409" t="s">
        <v>964</v>
      </c>
      <c r="AQ103" s="409"/>
      <c r="AR103" s="409"/>
      <c r="AS103" s="409"/>
      <c r="AT103" s="409"/>
      <c r="AU103" s="409" t="s">
        <v>965</v>
      </c>
      <c r="AV103" s="409"/>
      <c r="AW103" s="409"/>
      <c r="AX103" s="409"/>
      <c r="AY103" s="409"/>
      <c r="AZ103" s="409"/>
      <c r="BA103" s="409"/>
      <c r="BB103" s="409"/>
      <c r="BC103" s="696" t="s">
        <v>1540</v>
      </c>
      <c r="BD103" s="696"/>
      <c r="BE103" s="689"/>
      <c r="BF103" s="693"/>
      <c r="BG103" s="363"/>
      <c r="BH103" s="363"/>
      <c r="BI103" s="363"/>
      <c r="BJ103" s="363"/>
      <c r="BK103" s="363">
        <v>1803278.69</v>
      </c>
      <c r="BL103" s="363"/>
      <c r="BM103" s="363"/>
      <c r="BN103" s="363">
        <v>-52359</v>
      </c>
      <c r="BO103" s="363"/>
      <c r="BP103" s="363"/>
      <c r="BQ103" s="363"/>
      <c r="BR103" s="363"/>
      <c r="BS103" s="697">
        <f>SUM(Table14[[#This Row],[Jan-24]:[Dec-24]])</f>
        <v>1750919.69</v>
      </c>
      <c r="BT103" s="362"/>
      <c r="BU103" s="362"/>
      <c r="BV103" s="414">
        <v>553215</v>
      </c>
      <c r="BW103" s="414"/>
      <c r="BX103" s="414"/>
      <c r="BY103" s="414"/>
      <c r="BZ103" s="414"/>
      <c r="CA103" s="414"/>
      <c r="CB103" s="414"/>
      <c r="CC103" s="414"/>
      <c r="CD103" s="414">
        <v>0</v>
      </c>
      <c r="CE103" s="414">
        <v>131275</v>
      </c>
      <c r="CF103" s="697">
        <f>SUM(Table14[[#This Row],[Jan-25]:[Dec-25]])</f>
        <v>684490</v>
      </c>
      <c r="CG103" s="698"/>
      <c r="CH103" s="698"/>
      <c r="CI103" s="698"/>
      <c r="CJ103" s="414">
        <f>SUM(Table14[[#This Row],[Jan-26]:[Mar-26]])</f>
        <v>0</v>
      </c>
      <c r="CK103" s="531">
        <f>IFERROR(SUM(Table14[[#This Row],[Oct-25]:[Dec-25]],Table14[[#This Row],[Jan-26]:[Mar-26]])/COUNT(Table14[[#This Row],[Oct-25]:[Dec-25]],Table14[[#This Row],[Jan-26]:[Mar-26]]),0)</f>
        <v>65637.5</v>
      </c>
      <c r="CL103" s="363"/>
      <c r="CM103" s="698">
        <f>Table14[[#This Row],[YTD 2024]]+Table14[[#This Row],[YTD 2025]]+Table14[[#This Row],[YTD 2026]]</f>
        <v>2435409.69</v>
      </c>
      <c r="CN103" s="695">
        <v>23</v>
      </c>
      <c r="CO103" s="694">
        <f t="shared" si="20"/>
        <v>105887.37782608696</v>
      </c>
      <c r="CP103" s="694">
        <f>Table14[[#This Row],[Unit Cost]]-Table14[[#This Row],[Margin on Reagent sale]]</f>
        <v>1125836.1239999998</v>
      </c>
      <c r="CQ103" s="699">
        <f>Table14[[#This Row],[Avg reagent Sales per month Actual]]-Table14[[#This Row],[Per Month Reagent Commitment]]</f>
        <v>-384507.62217391306</v>
      </c>
      <c r="CR103" s="687" t="s">
        <v>966</v>
      </c>
      <c r="CS103" s="700">
        <f>Table14[[#This Row],[On Track / (behind) (avg per month)]]/Table14[[#This Row],[Months]]</f>
        <v>-16717.722703213611</v>
      </c>
      <c r="CT103" s="701">
        <v>0.4</v>
      </c>
      <c r="CU103" s="700">
        <f>Table14[[#This Row],[Total Reagent Sales till date Actual]]*Table14[[#This Row],[Margin %]]</f>
        <v>974163.87600000005</v>
      </c>
      <c r="CV103" s="702">
        <f t="shared" ref="CV103:CV137" si="22">CT103</f>
        <v>0.4</v>
      </c>
      <c r="CW103" s="225"/>
      <c r="CX103" s="225"/>
      <c r="DA103" s="225"/>
      <c r="DM103" s="244"/>
    </row>
    <row r="104" spans="1:117" s="2" customFormat="1" ht="14.1" customHeight="1" x14ac:dyDescent="0.3">
      <c r="A104" s="401" t="s">
        <v>344</v>
      </c>
      <c r="B104" s="629" t="s">
        <v>345</v>
      </c>
      <c r="C104" s="401" t="s">
        <v>51</v>
      </c>
      <c r="D104" s="402" t="s">
        <v>439</v>
      </c>
      <c r="E104" s="403">
        <v>15003000</v>
      </c>
      <c r="F104" s="401" t="s">
        <v>403</v>
      </c>
      <c r="G104" s="449">
        <v>3002000114</v>
      </c>
      <c r="H104" s="667"/>
      <c r="I104" s="404">
        <v>1736</v>
      </c>
      <c r="J104" s="405"/>
      <c r="K104" s="405"/>
      <c r="L104" s="405" t="s">
        <v>967</v>
      </c>
      <c r="M104" s="443" t="s">
        <v>303</v>
      </c>
      <c r="N104" s="443"/>
      <c r="O104" s="404" t="s">
        <v>304</v>
      </c>
      <c r="P104" s="404" t="s">
        <v>16</v>
      </c>
      <c r="Q104" s="400" t="s">
        <v>349</v>
      </c>
      <c r="R104" s="399">
        <v>3020000960</v>
      </c>
      <c r="S104" s="402" t="s">
        <v>69</v>
      </c>
      <c r="T104" s="401"/>
      <c r="U104" s="401" t="s">
        <v>968</v>
      </c>
      <c r="V104" s="403" t="s">
        <v>969</v>
      </c>
      <c r="W104" s="350" t="s">
        <v>970</v>
      </c>
      <c r="X104" s="408" t="s">
        <v>971</v>
      </c>
      <c r="Y104" s="399"/>
      <c r="Z104" s="351">
        <v>3432757</v>
      </c>
      <c r="AA104" s="352">
        <v>36</v>
      </c>
      <c r="AB104" s="353">
        <v>214221</v>
      </c>
      <c r="AC104" s="409"/>
      <c r="AD104" s="410"/>
      <c r="AE104" s="411"/>
      <c r="AF104" s="411"/>
      <c r="AG104" s="411"/>
      <c r="AH104" s="411"/>
      <c r="AI104" s="411"/>
      <c r="AJ104" s="411"/>
      <c r="AK104" s="411"/>
      <c r="AL104" s="411"/>
      <c r="AM104" s="412"/>
      <c r="AN104" s="412"/>
      <c r="AO104" s="411"/>
      <c r="AP104" s="411"/>
      <c r="AQ104" s="411"/>
      <c r="AR104" s="411"/>
      <c r="AS104" s="411"/>
      <c r="AT104" s="411"/>
      <c r="AU104" s="411"/>
      <c r="AV104" s="412"/>
      <c r="AW104" s="412"/>
      <c r="AX104" s="354"/>
      <c r="AY104" s="354"/>
      <c r="AZ104" s="354"/>
      <c r="BA104" s="354"/>
      <c r="BB104" s="413"/>
      <c r="BC104" s="597" t="s">
        <v>1535</v>
      </c>
      <c r="BD104" s="597" t="s">
        <v>1682</v>
      </c>
      <c r="BE104" s="375"/>
      <c r="BF104" s="402"/>
      <c r="BG104" s="355"/>
      <c r="BH104" s="355"/>
      <c r="BI104" s="355"/>
      <c r="BJ104" s="355"/>
      <c r="BK104" s="356"/>
      <c r="BL104" s="357"/>
      <c r="BM104" s="358"/>
      <c r="BN104" s="358"/>
      <c r="BO104" s="359"/>
      <c r="BP104" s="414"/>
      <c r="BQ104" s="370"/>
      <c r="BR104" s="414"/>
      <c r="BS104" s="362">
        <f>SUM(Table14[[#This Row],[Jan-24]:[Dec-24]])</f>
        <v>0</v>
      </c>
      <c r="BT104" s="361"/>
      <c r="BU104" s="414">
        <v>482899.98000000004</v>
      </c>
      <c r="BV104" s="414">
        <v>41435.24</v>
      </c>
      <c r="BW104" s="414">
        <v>0</v>
      </c>
      <c r="BX104" s="414">
        <v>145894.42000000001</v>
      </c>
      <c r="BY104" s="414">
        <v>111684.1</v>
      </c>
      <c r="BZ104" s="414">
        <v>198298</v>
      </c>
      <c r="CA104" s="414">
        <v>0</v>
      </c>
      <c r="CB104" s="414">
        <v>126221.29999999999</v>
      </c>
      <c r="CC104" s="414">
        <v>52404</v>
      </c>
      <c r="CD104" s="414"/>
      <c r="CE104" s="414">
        <v>145891.79999999999</v>
      </c>
      <c r="CF104" s="362">
        <f>SUM(Table14[[#This Row],[Jan-25]:[Dec-25]])</f>
        <v>1304728.8400000001</v>
      </c>
      <c r="CG104" s="414"/>
      <c r="CH104" s="414"/>
      <c r="CI104" s="414"/>
      <c r="CJ104" s="414">
        <f>SUM(Table14[[#This Row],[Jan-26]:[Mar-26]])</f>
        <v>0</v>
      </c>
      <c r="CK104" s="531">
        <f>IFERROR(SUM(Table14[[#This Row],[Oct-25]:[Dec-25]],Table14[[#This Row],[Jan-26]:[Mar-26]])/COUNT(Table14[[#This Row],[Oct-25]:[Dec-25]],Table14[[#This Row],[Jan-26]:[Mar-26]]),0)</f>
        <v>99147.9</v>
      </c>
      <c r="CL104" s="364"/>
      <c r="CM104" s="414">
        <f>Table14[[#This Row],[YTD 2024]]+Table14[[#This Row],[YTD 2025]]+Table14[[#This Row],[YTD 2026]]</f>
        <v>1304728.8400000001</v>
      </c>
      <c r="CN104" s="381">
        <v>11</v>
      </c>
      <c r="CO104" s="353">
        <f t="shared" ref="CO104:CO135" si="23">CM104/CN104</f>
        <v>118611.71272727274</v>
      </c>
      <c r="CP104" s="353">
        <f>Table14[[#This Row],[Unit Cost]]-Table14[[#This Row],[Margin on Reagent sale]]</f>
        <v>2910865.4639999997</v>
      </c>
      <c r="CQ104" s="367">
        <f>Table14[[#This Row],[Avg reagent Sales per month Actual]]-Table14[[#This Row],[Per Month Reagent Commitment]]</f>
        <v>-95609.287272727262</v>
      </c>
      <c r="CR104" s="403" t="s">
        <v>343</v>
      </c>
      <c r="CS104" s="367">
        <f>Table14[[#This Row],[On Track / (behind) (avg per month)]]/Table14[[#This Row],[Months]]</f>
        <v>-8691.7533884297518</v>
      </c>
      <c r="CT104" s="368">
        <v>0.4</v>
      </c>
      <c r="CU104" s="367">
        <f>Table14[[#This Row],[Total Reagent Sales till date Actual]]*Table14[[#This Row],[Margin %]]</f>
        <v>521891.53600000008</v>
      </c>
      <c r="CV104" s="400">
        <f t="shared" si="22"/>
        <v>0.4</v>
      </c>
      <c r="CW104" s="225"/>
      <c r="CX104" s="225"/>
      <c r="DA104" s="225"/>
      <c r="DM104" s="244"/>
    </row>
    <row r="105" spans="1:117" s="2" customFormat="1" ht="14.1" customHeight="1" x14ac:dyDescent="0.3">
      <c r="A105" s="399" t="s">
        <v>423</v>
      </c>
      <c r="B105" s="630" t="s">
        <v>297</v>
      </c>
      <c r="C105" s="447" t="s">
        <v>49</v>
      </c>
      <c r="D105" s="415" t="s">
        <v>30</v>
      </c>
      <c r="E105" s="403">
        <v>15002463</v>
      </c>
      <c r="F105" s="403" t="s">
        <v>317</v>
      </c>
      <c r="G105" s="449">
        <v>3002000115</v>
      </c>
      <c r="H105" s="666"/>
      <c r="I105" s="416" t="s">
        <v>972</v>
      </c>
      <c r="J105" s="417"/>
      <c r="K105" s="417"/>
      <c r="L105" s="417" t="s">
        <v>491</v>
      </c>
      <c r="M105" s="417" t="s">
        <v>303</v>
      </c>
      <c r="N105" s="417"/>
      <c r="O105" s="418" t="s">
        <v>304</v>
      </c>
      <c r="P105" s="418" t="s">
        <v>16</v>
      </c>
      <c r="Q105" s="399" t="s">
        <v>973</v>
      </c>
      <c r="R105" s="399">
        <v>3020000979</v>
      </c>
      <c r="S105" s="419" t="s">
        <v>101</v>
      </c>
      <c r="T105" s="403" t="s">
        <v>299</v>
      </c>
      <c r="U105" s="403" t="s">
        <v>974</v>
      </c>
      <c r="V105" s="403" t="s">
        <v>975</v>
      </c>
      <c r="W105" s="350" t="s">
        <v>976</v>
      </c>
      <c r="X105" s="399" t="s">
        <v>977</v>
      </c>
      <c r="Y105" s="399"/>
      <c r="Z105" s="486">
        <v>7115000</v>
      </c>
      <c r="AA105" s="418">
        <v>62</v>
      </c>
      <c r="AB105" s="486">
        <v>624712</v>
      </c>
      <c r="AC105" s="409"/>
      <c r="AD105" s="410"/>
      <c r="AE105" s="399"/>
      <c r="AF105" s="399"/>
      <c r="AG105" s="399"/>
      <c r="AH105" s="399"/>
      <c r="AI105" s="403"/>
      <c r="AJ105" s="403"/>
      <c r="AK105" s="403"/>
      <c r="AL105" s="403"/>
      <c r="AM105" s="420"/>
      <c r="AN105" s="420"/>
      <c r="AO105" s="403"/>
      <c r="AP105" s="403"/>
      <c r="AQ105" s="403"/>
      <c r="AR105" s="403"/>
      <c r="AS105" s="403"/>
      <c r="AT105" s="403"/>
      <c r="AU105" s="399"/>
      <c r="AV105" s="420"/>
      <c r="AW105" s="420"/>
      <c r="AX105" s="420"/>
      <c r="AY105" s="420"/>
      <c r="AZ105" s="420"/>
      <c r="BA105" s="370"/>
      <c r="BB105" s="358"/>
      <c r="BC105" s="597" t="s">
        <v>1524</v>
      </c>
      <c r="BD105" s="597" t="s">
        <v>1524</v>
      </c>
      <c r="BE105" s="375">
        <v>1</v>
      </c>
      <c r="BF105" s="419" t="s">
        <v>315</v>
      </c>
      <c r="BG105" s="370"/>
      <c r="BH105" s="370"/>
      <c r="BI105" s="370"/>
      <c r="BJ105" s="370"/>
      <c r="BK105" s="487"/>
      <c r="BL105" s="488"/>
      <c r="BM105" s="358"/>
      <c r="BN105" s="358"/>
      <c r="BO105" s="370"/>
      <c r="BP105" s="487"/>
      <c r="BQ105" s="487"/>
      <c r="BR105" s="487"/>
      <c r="BS105" s="362">
        <f>SUM(Table14[[#This Row],[Jan-24]:[Dec-24]])</f>
        <v>0</v>
      </c>
      <c r="BT105" s="360"/>
      <c r="BU105" s="360"/>
      <c r="BV105" s="421">
        <v>718270</v>
      </c>
      <c r="BW105" s="376">
        <v>1074986</v>
      </c>
      <c r="BX105" s="414">
        <v>1023917</v>
      </c>
      <c r="BY105" s="414">
        <v>621068</v>
      </c>
      <c r="BZ105" s="376">
        <v>277731.5</v>
      </c>
      <c r="CA105" s="414">
        <v>764542.5</v>
      </c>
      <c r="CB105" s="414">
        <v>48840</v>
      </c>
      <c r="CC105" s="414">
        <v>703037.3</v>
      </c>
      <c r="CD105" s="414">
        <v>77975</v>
      </c>
      <c r="CE105" s="414">
        <v>207281.5</v>
      </c>
      <c r="CF105" s="362">
        <f>SUM(Table14[[#This Row],[Jan-25]:[Dec-25]])</f>
        <v>5517648.7999999998</v>
      </c>
      <c r="CG105" s="414">
        <f>620260.3/2</f>
        <v>310130.15000000002</v>
      </c>
      <c r="CH105" s="414">
        <f>932238/2</f>
        <v>466119</v>
      </c>
      <c r="CI105" s="414">
        <f>391783/2</f>
        <v>195891.5</v>
      </c>
      <c r="CJ105" s="414">
        <f>SUM(Table14[[#This Row],[Jan-26]:[Mar-26]])</f>
        <v>972140.65</v>
      </c>
      <c r="CK105" s="531">
        <f>IFERROR(SUM(Table14[[#This Row],[Oct-25]:[Dec-25]],Table14[[#This Row],[Jan-26]:[Mar-26]])/COUNT(Table14[[#This Row],[Oct-25]:[Dec-25]],Table14[[#This Row],[Jan-26]:[Mar-26]]),0)</f>
        <v>326739.07500000001</v>
      </c>
      <c r="CL105" s="367"/>
      <c r="CM105" s="414">
        <f>Table14[[#This Row],[YTD 2024]]+Table14[[#This Row],[YTD 2025]]+Table14[[#This Row],[YTD 2026]]</f>
        <v>6489789.4500000002</v>
      </c>
      <c r="CN105" s="418">
        <v>12</v>
      </c>
      <c r="CO105" s="353">
        <f t="shared" si="23"/>
        <v>540815.78749999998</v>
      </c>
      <c r="CP105" s="353">
        <f>Table14[[#This Row],[Unit Cost]]-Table14[[#This Row],[Margin on Reagent sale]]</f>
        <v>4194594.7475000005</v>
      </c>
      <c r="CQ105" s="489">
        <f>Table14[[#This Row],[Avg reagent Sales per month Actual]]-Table14[[#This Row],[Per Month Reagent Commitment]]</f>
        <v>-83896.212500000023</v>
      </c>
      <c r="CR105" s="403" t="s">
        <v>316</v>
      </c>
      <c r="CS105" s="367">
        <f>Table14[[#This Row],[On Track / (behind) (avg per month)]]/Table14[[#This Row],[Months]]</f>
        <v>-6991.3510416666686</v>
      </c>
      <c r="CT105" s="368">
        <v>0.45</v>
      </c>
      <c r="CU105" s="367">
        <f>Table14[[#This Row],[Total Reagent Sales till date Actual]]*Table14[[#This Row],[Margin %]]</f>
        <v>2920405.2524999999</v>
      </c>
      <c r="CV105" s="371">
        <f t="shared" si="22"/>
        <v>0.45</v>
      </c>
      <c r="CW105" s="225"/>
      <c r="CX105" s="225"/>
      <c r="DA105" s="225"/>
      <c r="DM105" s="244"/>
    </row>
    <row r="106" spans="1:117" s="2" customFormat="1" ht="14.1" customHeight="1" x14ac:dyDescent="0.3">
      <c r="A106" s="399" t="s">
        <v>423</v>
      </c>
      <c r="B106" s="630" t="s">
        <v>297</v>
      </c>
      <c r="C106" s="399" t="s">
        <v>49</v>
      </c>
      <c r="D106" s="415" t="s">
        <v>30</v>
      </c>
      <c r="E106" s="403">
        <v>15002463</v>
      </c>
      <c r="F106" s="403" t="s">
        <v>317</v>
      </c>
      <c r="G106" s="449">
        <v>3002000105</v>
      </c>
      <c r="H106" s="666" t="s">
        <v>978</v>
      </c>
      <c r="I106" s="429" t="s">
        <v>979</v>
      </c>
      <c r="J106" s="417"/>
      <c r="K106" s="417"/>
      <c r="L106" s="417" t="s">
        <v>980</v>
      </c>
      <c r="M106" s="417"/>
      <c r="N106" s="417" t="s">
        <v>782</v>
      </c>
      <c r="O106" s="418" t="s">
        <v>304</v>
      </c>
      <c r="P106" s="418" t="s">
        <v>16</v>
      </c>
      <c r="Q106" s="403" t="s">
        <v>973</v>
      </c>
      <c r="R106" s="399">
        <v>3020000979</v>
      </c>
      <c r="S106" s="419" t="s">
        <v>101</v>
      </c>
      <c r="T106" s="403"/>
      <c r="U106" s="426"/>
      <c r="V106" s="403"/>
      <c r="W106" s="399"/>
      <c r="X106" s="399"/>
      <c r="Y106" s="399"/>
      <c r="Z106" s="486">
        <v>7115000</v>
      </c>
      <c r="AA106" s="418">
        <v>38</v>
      </c>
      <c r="AB106" s="486">
        <v>554232</v>
      </c>
      <c r="AC106" s="409"/>
      <c r="AD106" s="410"/>
      <c r="AE106" s="399"/>
      <c r="AF106" s="399"/>
      <c r="AG106" s="399"/>
      <c r="AH106" s="399"/>
      <c r="AI106" s="403"/>
      <c r="AJ106" s="403"/>
      <c r="AK106" s="403"/>
      <c r="AL106" s="403"/>
      <c r="AM106" s="420"/>
      <c r="AN106" s="420"/>
      <c r="AO106" s="403"/>
      <c r="AP106" s="403"/>
      <c r="AQ106" s="403"/>
      <c r="AR106" s="403"/>
      <c r="AS106" s="403"/>
      <c r="AT106" s="403"/>
      <c r="AU106" s="399"/>
      <c r="AV106" s="420"/>
      <c r="AW106" s="420"/>
      <c r="AX106" s="420"/>
      <c r="AY106" s="420"/>
      <c r="AZ106" s="420"/>
      <c r="BA106" s="370"/>
      <c r="BB106" s="358"/>
      <c r="BC106" s="597" t="s">
        <v>1524</v>
      </c>
      <c r="BD106" s="597" t="s">
        <v>1667</v>
      </c>
      <c r="BE106" s="358">
        <v>1</v>
      </c>
      <c r="BF106" s="419" t="s">
        <v>315</v>
      </c>
      <c r="BG106" s="370"/>
      <c r="BH106" s="370"/>
      <c r="BI106" s="370"/>
      <c r="BJ106" s="370"/>
      <c r="BK106" s="487"/>
      <c r="BL106" s="488"/>
      <c r="BM106" s="358"/>
      <c r="BN106" s="358"/>
      <c r="BO106" s="370"/>
      <c r="BP106" s="487"/>
      <c r="BQ106" s="487"/>
      <c r="BR106" s="487"/>
      <c r="BS106" s="362">
        <f>SUM(Table14[[#This Row],[Jan-24]:[Dec-24]])</f>
        <v>0</v>
      </c>
      <c r="BT106" s="360"/>
      <c r="BU106" s="360"/>
      <c r="BV106" s="376"/>
      <c r="BW106" s="376"/>
      <c r="BX106" s="376"/>
      <c r="BY106" s="376"/>
      <c r="BZ106" s="376">
        <v>277731.5</v>
      </c>
      <c r="CA106" s="376">
        <v>764542.5</v>
      </c>
      <c r="CB106" s="376">
        <v>48840</v>
      </c>
      <c r="CC106" s="376">
        <v>703037.3</v>
      </c>
      <c r="CD106" s="376">
        <v>77975</v>
      </c>
      <c r="CE106" s="376">
        <v>207281.5</v>
      </c>
      <c r="CF106" s="362">
        <f>SUM(Table14[[#This Row],[Jan-25]:[Dec-25]])</f>
        <v>2079407.8</v>
      </c>
      <c r="CG106" s="376">
        <f>CG105</f>
        <v>310130.15000000002</v>
      </c>
      <c r="CH106" s="376">
        <v>466119</v>
      </c>
      <c r="CI106" s="376">
        <f>CI105</f>
        <v>195891.5</v>
      </c>
      <c r="CJ106" s="414">
        <f>SUM(Table14[[#This Row],[Jan-26]:[Mar-26]])</f>
        <v>972140.65</v>
      </c>
      <c r="CK106" s="531">
        <f>IFERROR(SUM(Table14[[#This Row],[Oct-25]:[Dec-25]],Table14[[#This Row],[Jan-26]:[Mar-26]])/COUNT(Table14[[#This Row],[Oct-25]:[Dec-25]],Table14[[#This Row],[Jan-26]:[Mar-26]]),0)</f>
        <v>326739.07500000001</v>
      </c>
      <c r="CL106" s="367"/>
      <c r="CM106" s="414">
        <f>Table14[[#This Row],[YTD 2024]]+Table14[[#This Row],[YTD 2025]]+Table14[[#This Row],[YTD 2026]]</f>
        <v>3051548.45</v>
      </c>
      <c r="CN106" s="418">
        <v>8</v>
      </c>
      <c r="CO106" s="486">
        <f t="shared" si="23"/>
        <v>381443.55625000002</v>
      </c>
      <c r="CP106" s="490"/>
      <c r="CQ106" s="489">
        <f>Table14[[#This Row],[Avg reagent Sales per month Actual]]-Table14[[#This Row],[Per Month Reagent Commitment]]</f>
        <v>-172788.44374999998</v>
      </c>
      <c r="CR106" s="373"/>
      <c r="CS106" s="367">
        <f>Table14[[#This Row],[On Track / (behind) (avg per month)]]/Table14[[#This Row],[Months]]</f>
        <v>-21598.555468749997</v>
      </c>
      <c r="CT106" s="491"/>
      <c r="CU106" s="367">
        <f>Table14[[#This Row],[Total Reagent Sales till date Actual]]*Table14[[#This Row],[Margin %]]</f>
        <v>0</v>
      </c>
      <c r="CV106" s="371">
        <f t="shared" si="22"/>
        <v>0</v>
      </c>
      <c r="CW106" s="225"/>
      <c r="CX106" s="225"/>
      <c r="DA106" s="225"/>
      <c r="DM106" s="244"/>
    </row>
    <row r="107" spans="1:117" s="2" customFormat="1" ht="14.1" customHeight="1" x14ac:dyDescent="0.3">
      <c r="A107" s="401" t="s">
        <v>344</v>
      </c>
      <c r="B107" s="629" t="s">
        <v>345</v>
      </c>
      <c r="C107" s="399" t="s">
        <v>21</v>
      </c>
      <c r="D107" s="415" t="s">
        <v>28</v>
      </c>
      <c r="E107" s="403">
        <v>15002760</v>
      </c>
      <c r="F107" s="403" t="s">
        <v>298</v>
      </c>
      <c r="G107" s="449"/>
      <c r="H107" s="666" t="s">
        <v>981</v>
      </c>
      <c r="I107" s="416">
        <v>30006181</v>
      </c>
      <c r="J107" s="417"/>
      <c r="K107" s="417"/>
      <c r="L107" s="417" t="s">
        <v>982</v>
      </c>
      <c r="M107" s="417"/>
      <c r="N107" s="417"/>
      <c r="O107" s="418" t="s">
        <v>304</v>
      </c>
      <c r="P107" s="418" t="s">
        <v>16</v>
      </c>
      <c r="Q107" s="399" t="s">
        <v>973</v>
      </c>
      <c r="R107" s="399">
        <v>3020000979</v>
      </c>
      <c r="S107" s="419" t="s">
        <v>100</v>
      </c>
      <c r="T107" s="403"/>
      <c r="U107" s="403" t="s">
        <v>983</v>
      </c>
      <c r="V107" s="403" t="s">
        <v>984</v>
      </c>
      <c r="W107" s="382" t="s">
        <v>976</v>
      </c>
      <c r="X107" s="399" t="s">
        <v>977</v>
      </c>
      <c r="Y107" s="399"/>
      <c r="Z107" s="353">
        <v>5415000</v>
      </c>
      <c r="AA107" s="418">
        <v>37</v>
      </c>
      <c r="AB107" s="353">
        <v>518873</v>
      </c>
      <c r="AC107" s="409"/>
      <c r="AD107" s="410"/>
      <c r="AE107" s="399"/>
      <c r="AF107" s="399"/>
      <c r="AG107" s="399"/>
      <c r="AH107" s="399"/>
      <c r="AI107" s="403"/>
      <c r="AJ107" s="403"/>
      <c r="AK107" s="403"/>
      <c r="AL107" s="403"/>
      <c r="AM107" s="420"/>
      <c r="AN107" s="420"/>
      <c r="AO107" s="403"/>
      <c r="AP107" s="403"/>
      <c r="AQ107" s="403"/>
      <c r="AR107" s="403"/>
      <c r="AS107" s="403"/>
      <c r="AT107" s="403"/>
      <c r="AU107" s="399" t="e">
        <v>#N/A</v>
      </c>
      <c r="AV107" s="420"/>
      <c r="AW107" s="420"/>
      <c r="AX107" s="420"/>
      <c r="AY107" s="420"/>
      <c r="AZ107" s="420"/>
      <c r="BA107" s="370"/>
      <c r="BB107" s="370"/>
      <c r="BC107" s="597" t="s">
        <v>1533</v>
      </c>
      <c r="BD107" s="597" t="s">
        <v>1680</v>
      </c>
      <c r="BE107" s="375">
        <v>1</v>
      </c>
      <c r="BF107" s="419"/>
      <c r="BG107" s="370"/>
      <c r="BH107" s="370"/>
      <c r="BI107" s="370"/>
      <c r="BJ107" s="370"/>
      <c r="BK107" s="370"/>
      <c r="BL107" s="374"/>
      <c r="BM107" s="358"/>
      <c r="BN107" s="358"/>
      <c r="BO107" s="370"/>
      <c r="BP107" s="370"/>
      <c r="BQ107" s="370"/>
      <c r="BR107" s="370">
        <v>1454603</v>
      </c>
      <c r="BS107" s="362">
        <f>SUM(Table14[[#This Row],[Jan-24]:[Dec-24]])</f>
        <v>1454603</v>
      </c>
      <c r="BT107" s="362">
        <v>0</v>
      </c>
      <c r="BU107" s="414">
        <v>802483</v>
      </c>
      <c r="BV107" s="414">
        <v>409692</v>
      </c>
      <c r="BW107" s="421">
        <v>411828</v>
      </c>
      <c r="BX107" s="414">
        <v>949897</v>
      </c>
      <c r="BY107" s="414">
        <v>278043</v>
      </c>
      <c r="BZ107" s="414">
        <v>1045122</v>
      </c>
      <c r="CA107" s="414">
        <v>522335</v>
      </c>
      <c r="CB107" s="414">
        <v>305569</v>
      </c>
      <c r="CC107" s="414">
        <v>176821</v>
      </c>
      <c r="CD107" s="414"/>
      <c r="CE107" s="414"/>
      <c r="CF107" s="362">
        <f>SUM(Table14[[#This Row],[Jan-25]:[Dec-25]])</f>
        <v>4901790</v>
      </c>
      <c r="CG107" s="414">
        <v>406749</v>
      </c>
      <c r="CH107" s="414">
        <v>245162</v>
      </c>
      <c r="CI107" s="414">
        <v>0</v>
      </c>
      <c r="CJ107" s="414">
        <f>SUM(Table14[[#This Row],[Jan-26]:[Mar-26]])</f>
        <v>651911</v>
      </c>
      <c r="CK107" s="531">
        <f>IFERROR(SUM(Table14[[#This Row],[Oct-25]:[Dec-25]],Table14[[#This Row],[Jan-26]:[Mar-26]])/COUNT(Table14[[#This Row],[Oct-25]:[Dec-25]],Table14[[#This Row],[Jan-26]:[Mar-26]]),0)</f>
        <v>207183</v>
      </c>
      <c r="CL107" s="367"/>
      <c r="CM107" s="414">
        <f>Table14[[#This Row],[YTD 2024]]+Table14[[#This Row],[YTD 2025]]+Table14[[#This Row],[YTD 2026]]</f>
        <v>7008304</v>
      </c>
      <c r="CN107" s="418">
        <v>12</v>
      </c>
      <c r="CO107" s="353">
        <f t="shared" si="23"/>
        <v>584025.33333333337</v>
      </c>
      <c r="CP107" s="353">
        <f>Table14[[#This Row],[Unit Cost]]-Table14[[#This Row],[Margin on Reagent sale]]</f>
        <v>2611678.4</v>
      </c>
      <c r="CQ107" s="367">
        <f>Table14[[#This Row],[Avg reagent Sales per month Actual]]-Table14[[#This Row],[Per Month Reagent Commitment]]</f>
        <v>65152.333333333372</v>
      </c>
      <c r="CR107" s="403" t="s">
        <v>777</v>
      </c>
      <c r="CS107" s="367">
        <f>Table14[[#This Row],[On Track / (behind) (avg per month)]]/Table14[[#This Row],[Months]]</f>
        <v>5429.361111111114</v>
      </c>
      <c r="CT107" s="368">
        <v>0.4</v>
      </c>
      <c r="CU107" s="367">
        <f>Table14[[#This Row],[Total Reagent Sales till date Actual]]*Table14[[#This Row],[Margin %]]</f>
        <v>2803321.6</v>
      </c>
      <c r="CV107" s="371">
        <f t="shared" si="22"/>
        <v>0.4</v>
      </c>
      <c r="CW107" s="225"/>
      <c r="CX107" s="225"/>
      <c r="DA107" s="225"/>
      <c r="DM107" s="244"/>
    </row>
    <row r="108" spans="1:117" s="2" customFormat="1" ht="14.1" customHeight="1" x14ac:dyDescent="0.3">
      <c r="A108" s="399" t="s">
        <v>590</v>
      </c>
      <c r="B108" s="630" t="s">
        <v>297</v>
      </c>
      <c r="C108" s="561" t="s">
        <v>24</v>
      </c>
      <c r="D108" s="555" t="s">
        <v>985</v>
      </c>
      <c r="E108" s="403">
        <v>15002462</v>
      </c>
      <c r="F108" s="403" t="s">
        <v>298</v>
      </c>
      <c r="G108" s="449"/>
      <c r="H108" s="666"/>
      <c r="I108" s="416"/>
      <c r="J108" s="562"/>
      <c r="K108" s="417"/>
      <c r="L108" s="417" t="s">
        <v>483</v>
      </c>
      <c r="M108" s="417"/>
      <c r="N108" s="417"/>
      <c r="O108" s="551" t="s">
        <v>348</v>
      </c>
      <c r="P108" s="551" t="s">
        <v>16</v>
      </c>
      <c r="Q108" s="561" t="s">
        <v>973</v>
      </c>
      <c r="R108" s="561">
        <v>3020000979</v>
      </c>
      <c r="S108" s="568" t="s">
        <v>101</v>
      </c>
      <c r="T108" s="403"/>
      <c r="U108" s="403" t="s">
        <v>974</v>
      </c>
      <c r="V108" s="403" t="s">
        <v>975</v>
      </c>
      <c r="W108" s="382" t="s">
        <v>976</v>
      </c>
      <c r="X108" s="399" t="s">
        <v>977</v>
      </c>
      <c r="Y108" s="399"/>
      <c r="Z108" s="556">
        <v>4910685</v>
      </c>
      <c r="AA108" s="551">
        <v>36</v>
      </c>
      <c r="AB108" s="556">
        <v>330776</v>
      </c>
      <c r="AC108" s="409"/>
      <c r="AD108" s="410"/>
      <c r="AE108" s="399"/>
      <c r="AF108" s="399"/>
      <c r="AG108" s="399"/>
      <c r="AH108" s="399"/>
      <c r="AI108" s="403"/>
      <c r="AJ108" s="403"/>
      <c r="AK108" s="403"/>
      <c r="AL108" s="403"/>
      <c r="AM108" s="420"/>
      <c r="AN108" s="420"/>
      <c r="AO108" s="403"/>
      <c r="AP108" s="403"/>
      <c r="AQ108" s="403"/>
      <c r="AR108" s="403"/>
      <c r="AS108" s="403"/>
      <c r="AT108" s="403"/>
      <c r="AU108" s="399"/>
      <c r="AV108" s="420"/>
      <c r="AW108" s="420"/>
      <c r="AX108" s="420"/>
      <c r="AY108" s="420"/>
      <c r="AZ108" s="420"/>
      <c r="BA108" s="370"/>
      <c r="BB108" s="358"/>
      <c r="BC108" s="599" t="s">
        <v>348</v>
      </c>
      <c r="BD108" s="599"/>
      <c r="BE108" s="358"/>
      <c r="BF108" s="543" t="s">
        <v>348</v>
      </c>
      <c r="BG108" s="370"/>
      <c r="BH108" s="370"/>
      <c r="BI108" s="370"/>
      <c r="BJ108" s="370"/>
      <c r="BK108" s="487"/>
      <c r="BL108" s="488"/>
      <c r="BM108" s="358"/>
      <c r="BN108" s="358"/>
      <c r="BO108" s="370"/>
      <c r="BP108" s="487"/>
      <c r="BQ108" s="487"/>
      <c r="BR108" s="487"/>
      <c r="BS108" s="362">
        <f>SUM(Table14[[#This Row],[Jan-24]:[Dec-24]])</f>
        <v>0</v>
      </c>
      <c r="BT108" s="360"/>
      <c r="BU108" s="360"/>
      <c r="BV108" s="376"/>
      <c r="BW108" s="376"/>
      <c r="BX108" s="376"/>
      <c r="BY108" s="376"/>
      <c r="BZ108" s="376"/>
      <c r="CA108" s="376"/>
      <c r="CB108" s="376"/>
      <c r="CC108" s="376"/>
      <c r="CD108" s="370"/>
      <c r="CE108" s="572"/>
      <c r="CF108" s="362">
        <f>SUM(Table14[[#This Row],[Jan-25]:[Dec-25]])</f>
        <v>0</v>
      </c>
      <c r="CG108" s="572"/>
      <c r="CH108" s="572"/>
      <c r="CI108" s="572"/>
      <c r="CJ108" s="414">
        <f>SUM(Table14[[#This Row],[Jan-26]:[Mar-26]])</f>
        <v>0</v>
      </c>
      <c r="CK108" s="531">
        <f>IFERROR(SUM(Table14[[#This Row],[Oct-25]:[Dec-25]],Table14[[#This Row],[Jan-26]:[Mar-26]])/COUNT(Table14[[#This Row],[Oct-25]:[Dec-25]],Table14[[#This Row],[Jan-26]:[Mar-26]]),0)</f>
        <v>0</v>
      </c>
      <c r="CL108" s="547"/>
      <c r="CM108" s="414">
        <f>Table14[[#This Row],[YTD 2024]]+Table14[[#This Row],[YTD 2025]]+Table14[[#This Row],[YTD 2026]]</f>
        <v>0</v>
      </c>
      <c r="CN108" s="551"/>
      <c r="CO108" s="556" t="e">
        <f t="shared" si="23"/>
        <v>#DIV/0!</v>
      </c>
      <c r="CP108" s="569"/>
      <c r="CQ108" s="559" t="e">
        <f>Table14[[#This Row],[Avg reagent Sales per month Actual]]-Table14[[#This Row],[Per Month Reagent Commitment]]</f>
        <v>#DIV/0!</v>
      </c>
      <c r="CR108" s="570"/>
      <c r="CS108" s="547" t="e">
        <f>Table14[[#This Row],[On Track / (behind) (avg per month)]]/Table14[[#This Row],[Months]]</f>
        <v>#DIV/0!</v>
      </c>
      <c r="CT108" s="560"/>
      <c r="CU108" s="547">
        <f>Table14[[#This Row],[Total Reagent Sales till date Actual]]*Table14[[#This Row],[Margin %]]</f>
        <v>0</v>
      </c>
      <c r="CV108" s="571">
        <f t="shared" si="22"/>
        <v>0</v>
      </c>
      <c r="CW108" s="225"/>
      <c r="CX108" s="225"/>
      <c r="DA108" s="225"/>
      <c r="DM108" s="244"/>
    </row>
    <row r="109" spans="1:117" s="2" customFormat="1" ht="14.1" customHeight="1" x14ac:dyDescent="0.3">
      <c r="A109" s="399" t="s">
        <v>787</v>
      </c>
      <c r="B109" s="629" t="s">
        <v>297</v>
      </c>
      <c r="C109" s="399" t="s">
        <v>24</v>
      </c>
      <c r="D109" s="415" t="s">
        <v>35</v>
      </c>
      <c r="E109" s="403">
        <v>15002553</v>
      </c>
      <c r="F109" s="403" t="s">
        <v>298</v>
      </c>
      <c r="G109" s="449">
        <v>3002000099</v>
      </c>
      <c r="H109" s="666"/>
      <c r="I109" s="427" t="s">
        <v>986</v>
      </c>
      <c r="J109" s="417"/>
      <c r="K109" s="417"/>
      <c r="L109" s="417" t="s">
        <v>437</v>
      </c>
      <c r="M109" s="417"/>
      <c r="N109" s="417"/>
      <c r="O109" s="418" t="s">
        <v>304</v>
      </c>
      <c r="P109" s="418" t="s">
        <v>17</v>
      </c>
      <c r="Q109" s="399" t="s">
        <v>987</v>
      </c>
      <c r="R109" s="399">
        <v>3020000987</v>
      </c>
      <c r="S109" s="419" t="s">
        <v>109</v>
      </c>
      <c r="T109" s="403"/>
      <c r="U109" s="426"/>
      <c r="V109" s="403"/>
      <c r="W109" s="399"/>
      <c r="X109" s="399"/>
      <c r="Y109" s="399"/>
      <c r="Z109" s="486">
        <v>2915000</v>
      </c>
      <c r="AA109" s="418">
        <v>36</v>
      </c>
      <c r="AB109" s="486">
        <v>307062</v>
      </c>
      <c r="AC109" s="409"/>
      <c r="AD109" s="410"/>
      <c r="AE109" s="399"/>
      <c r="AF109" s="399"/>
      <c r="AG109" s="399"/>
      <c r="AH109" s="399"/>
      <c r="AI109" s="403"/>
      <c r="AJ109" s="403"/>
      <c r="AK109" s="403"/>
      <c r="AL109" s="403"/>
      <c r="AM109" s="420"/>
      <c r="AN109" s="420"/>
      <c r="AO109" s="403"/>
      <c r="AP109" s="403"/>
      <c r="AQ109" s="403"/>
      <c r="AR109" s="403"/>
      <c r="AS109" s="403"/>
      <c r="AT109" s="403"/>
      <c r="AU109" s="399"/>
      <c r="AV109" s="420"/>
      <c r="AW109" s="420"/>
      <c r="AX109" s="420"/>
      <c r="AY109" s="420"/>
      <c r="AZ109" s="420"/>
      <c r="BA109" s="370"/>
      <c r="BB109" s="358"/>
      <c r="BC109" s="597" t="s">
        <v>1505</v>
      </c>
      <c r="BD109" s="597" t="s">
        <v>1690</v>
      </c>
      <c r="BE109" s="375">
        <v>1</v>
      </c>
      <c r="BF109" s="419" t="s">
        <v>315</v>
      </c>
      <c r="BG109" s="370"/>
      <c r="BH109" s="370"/>
      <c r="BI109" s="370"/>
      <c r="BJ109" s="370"/>
      <c r="BK109" s="487"/>
      <c r="BL109" s="488"/>
      <c r="BM109" s="358"/>
      <c r="BN109" s="358"/>
      <c r="BO109" s="370"/>
      <c r="BP109" s="487"/>
      <c r="BQ109" s="487"/>
      <c r="BR109" s="414">
        <v>703400</v>
      </c>
      <c r="BS109" s="362">
        <f>SUM(Table14[[#This Row],[Jan-24]:[Dec-24]])</f>
        <v>703400</v>
      </c>
      <c r="BT109" s="360"/>
      <c r="BU109" s="360"/>
      <c r="BV109" s="376"/>
      <c r="BW109" s="414">
        <v>568280</v>
      </c>
      <c r="BX109" s="367">
        <v>0</v>
      </c>
      <c r="BY109" s="367">
        <v>0</v>
      </c>
      <c r="BZ109" s="367">
        <v>0</v>
      </c>
      <c r="CA109" s="414">
        <v>271800</v>
      </c>
      <c r="CB109" s="414">
        <v>0</v>
      </c>
      <c r="CC109" s="414">
        <v>0</v>
      </c>
      <c r="CD109" s="414">
        <v>0</v>
      </c>
      <c r="CE109" s="414">
        <v>844820</v>
      </c>
      <c r="CF109" s="362">
        <f>SUM(Table14[[#This Row],[Jan-25]:[Dec-25]])</f>
        <v>1684900</v>
      </c>
      <c r="CG109" s="414">
        <v>174700</v>
      </c>
      <c r="CH109" s="414"/>
      <c r="CI109" s="414"/>
      <c r="CJ109" s="414">
        <f>SUM(Table14[[#This Row],[Jan-26]:[Mar-26]])</f>
        <v>174700</v>
      </c>
      <c r="CK109" s="531">
        <f>IFERROR(SUM(Table14[[#This Row],[Oct-25]:[Dec-25]],Table14[[#This Row],[Jan-26]:[Mar-26]])/COUNT(Table14[[#This Row],[Oct-25]:[Dec-25]],Table14[[#This Row],[Jan-26]:[Mar-26]]),0)</f>
        <v>254880</v>
      </c>
      <c r="CL109" s="367"/>
      <c r="CM109" s="414">
        <f>Table14[[#This Row],[YTD 2024]]+Table14[[#This Row],[YTD 2025]]+Table14[[#This Row],[YTD 2026]]</f>
        <v>2563000</v>
      </c>
      <c r="CN109" s="418">
        <v>10</v>
      </c>
      <c r="CO109" s="353">
        <f t="shared" si="23"/>
        <v>256300</v>
      </c>
      <c r="CP109" s="353">
        <f>Table14[[#This Row],[Unit Cost]]-Table14[[#This Row],[Margin on Reagent sale]]</f>
        <v>1889800</v>
      </c>
      <c r="CQ109" s="489">
        <f>Table14[[#This Row],[Avg reagent Sales per month Actual]]-Table14[[#This Row],[Per Month Reagent Commitment]]</f>
        <v>-50762</v>
      </c>
      <c r="CR109" s="403" t="s">
        <v>640</v>
      </c>
      <c r="CS109" s="367">
        <f>Table14[[#This Row],[On Track / (behind) (avg per month)]]/Table14[[#This Row],[Months]]</f>
        <v>-5076.2</v>
      </c>
      <c r="CT109" s="368">
        <v>0.4</v>
      </c>
      <c r="CU109" s="367">
        <f>Table14[[#This Row],[Total Reagent Sales till date Actual]]*Table14[[#This Row],[Margin %]]</f>
        <v>1025200</v>
      </c>
      <c r="CV109" s="371">
        <f t="shared" si="22"/>
        <v>0.4</v>
      </c>
      <c r="CW109" s="225"/>
      <c r="CX109" s="225"/>
      <c r="DA109" s="225"/>
      <c r="DM109" s="244"/>
    </row>
    <row r="110" spans="1:117" s="2" customFormat="1" ht="14.1" customHeight="1" x14ac:dyDescent="0.3">
      <c r="A110" s="399" t="s">
        <v>511</v>
      </c>
      <c r="B110" s="629" t="s">
        <v>345</v>
      </c>
      <c r="C110" s="399" t="s">
        <v>51</v>
      </c>
      <c r="D110" s="415" t="s">
        <v>988</v>
      </c>
      <c r="E110" s="403">
        <v>15003000</v>
      </c>
      <c r="F110" s="403" t="s">
        <v>403</v>
      </c>
      <c r="G110" s="449" t="s">
        <v>989</v>
      </c>
      <c r="H110" s="409" t="s">
        <v>299</v>
      </c>
      <c r="I110" s="416"/>
      <c r="J110" s="417"/>
      <c r="K110" s="417"/>
      <c r="L110" s="417" t="s">
        <v>559</v>
      </c>
      <c r="M110" s="417" t="s">
        <v>425</v>
      </c>
      <c r="N110" s="417"/>
      <c r="O110" s="418" t="s">
        <v>348</v>
      </c>
      <c r="P110" s="418" t="s">
        <v>15</v>
      </c>
      <c r="Q110" s="403" t="s">
        <v>305</v>
      </c>
      <c r="R110" s="399">
        <v>3020001019</v>
      </c>
      <c r="S110" s="419" t="s">
        <v>166</v>
      </c>
      <c r="T110" s="403" t="s">
        <v>299</v>
      </c>
      <c r="U110" s="403" t="s">
        <v>990</v>
      </c>
      <c r="V110" s="403" t="s">
        <v>991</v>
      </c>
      <c r="W110" s="399" t="s">
        <v>992</v>
      </c>
      <c r="X110" s="399" t="s">
        <v>993</v>
      </c>
      <c r="Y110" s="399"/>
      <c r="Z110" s="353">
        <v>4045003</v>
      </c>
      <c r="AA110" s="418">
        <v>36</v>
      </c>
      <c r="AB110" s="353">
        <v>465012</v>
      </c>
      <c r="AC110" s="409"/>
      <c r="AD110" s="410"/>
      <c r="AE110" s="399"/>
      <c r="AF110" s="399"/>
      <c r="AG110" s="399"/>
      <c r="AH110" s="399"/>
      <c r="AI110" s="403"/>
      <c r="AJ110" s="403"/>
      <c r="AK110" s="403"/>
      <c r="AL110" s="403"/>
      <c r="AM110" s="420"/>
      <c r="AN110" s="420"/>
      <c r="AO110" s="403"/>
      <c r="AP110" s="403"/>
      <c r="AQ110" s="403"/>
      <c r="AR110" s="403"/>
      <c r="AS110" s="403"/>
      <c r="AT110" s="403"/>
      <c r="AU110" s="399"/>
      <c r="AV110" s="420"/>
      <c r="AW110" s="420"/>
      <c r="AX110" s="420"/>
      <c r="AY110" s="420"/>
      <c r="AZ110" s="420"/>
      <c r="BA110" s="420"/>
      <c r="BB110" s="420"/>
      <c r="BC110" s="415" t="s">
        <v>348</v>
      </c>
      <c r="BD110" s="415"/>
      <c r="BE110" s="420"/>
      <c r="BF110" s="419"/>
      <c r="BG110" s="370"/>
      <c r="BH110" s="370"/>
      <c r="BI110" s="370"/>
      <c r="BJ110" s="370"/>
      <c r="BK110" s="370"/>
      <c r="BL110" s="370"/>
      <c r="BM110" s="370"/>
      <c r="BN110" s="370"/>
      <c r="BO110" s="370"/>
      <c r="BP110" s="370"/>
      <c r="BQ110" s="370"/>
      <c r="BR110" s="370"/>
      <c r="BS110" s="362">
        <f>SUM(Table14[[#This Row],[Jan-24]:[Dec-24]])</f>
        <v>0</v>
      </c>
      <c r="BT110" s="362"/>
      <c r="BU110" s="362"/>
      <c r="BV110" s="362"/>
      <c r="BW110" s="362"/>
      <c r="BX110" s="362"/>
      <c r="BY110" s="362"/>
      <c r="BZ110" s="362"/>
      <c r="CA110" s="362"/>
      <c r="CB110" s="362"/>
      <c r="CC110" s="362"/>
      <c r="CD110" s="362"/>
      <c r="CE110" s="362"/>
      <c r="CF110" s="362">
        <f>SUM(Table14[[#This Row],[Jan-25]:[Dec-25]])</f>
        <v>0</v>
      </c>
      <c r="CG110" s="362"/>
      <c r="CH110" s="362"/>
      <c r="CI110" s="362"/>
      <c r="CJ110" s="414">
        <f>SUM(Table14[[#This Row],[Jan-26]:[Mar-26]])</f>
        <v>0</v>
      </c>
      <c r="CK110" s="531">
        <f>IFERROR(SUM(Table14[[#This Row],[Oct-25]:[Dec-25]],Table14[[#This Row],[Jan-26]:[Mar-26]])/COUNT(Table14[[#This Row],[Oct-25]:[Dec-25]],Table14[[#This Row],[Jan-26]:[Mar-26]]),0)</f>
        <v>0</v>
      </c>
      <c r="CL110" s="367" t="s">
        <v>994</v>
      </c>
      <c r="CM110" s="414">
        <f>Table14[[#This Row],[YTD 2024]]+Table14[[#This Row],[YTD 2025]]+Table14[[#This Row],[YTD 2026]]</f>
        <v>0</v>
      </c>
      <c r="CN110" s="366" t="s">
        <v>733</v>
      </c>
      <c r="CO110" s="353" t="e">
        <f t="shared" si="23"/>
        <v>#VALUE!</v>
      </c>
      <c r="CP110" s="353">
        <f>Table14[[#This Row],[Unit Cost]]-Table14[[#This Row],[Margin on Reagent sale]]</f>
        <v>4045003</v>
      </c>
      <c r="CQ110" s="372" t="e">
        <f>Table14[[#This Row],[Avg reagent Sales per month Actual]]-Table14[[#This Row],[Per Month Reagent Commitment]]</f>
        <v>#VALUE!</v>
      </c>
      <c r="CR110" s="403" t="s">
        <v>995</v>
      </c>
      <c r="CS110" s="367" t="e">
        <f>Table14[[#This Row],[On Track / (behind) (avg per month)]]/Table14[[#This Row],[Months]]</f>
        <v>#VALUE!</v>
      </c>
      <c r="CT110" s="368">
        <v>0.4</v>
      </c>
      <c r="CU110" s="367">
        <f>Table14[[#This Row],[Total Reagent Sales till date Actual]]*Table14[[#This Row],[Margin %]]</f>
        <v>0</v>
      </c>
      <c r="CV110" s="400">
        <f t="shared" si="22"/>
        <v>0.4</v>
      </c>
      <c r="CW110" s="225"/>
      <c r="CX110" s="225"/>
      <c r="DA110" s="225"/>
      <c r="DM110" s="244"/>
    </row>
    <row r="111" spans="1:117" ht="15" customHeight="1" x14ac:dyDescent="0.3">
      <c r="A111" s="399" t="s">
        <v>296</v>
      </c>
      <c r="B111" s="629" t="s">
        <v>297</v>
      </c>
      <c r="C111" s="399" t="s">
        <v>49</v>
      </c>
      <c r="D111" s="415" t="s">
        <v>996</v>
      </c>
      <c r="E111" s="403">
        <v>15002128</v>
      </c>
      <c r="F111" s="403" t="s">
        <v>317</v>
      </c>
      <c r="G111" s="682" t="s">
        <v>1635</v>
      </c>
      <c r="H111" s="666" t="s">
        <v>570</v>
      </c>
      <c r="I111" s="429" t="s">
        <v>997</v>
      </c>
      <c r="J111" s="417"/>
      <c r="K111" s="417"/>
      <c r="L111" s="417" t="s">
        <v>998</v>
      </c>
      <c r="M111" s="417"/>
      <c r="N111" s="444" t="s">
        <v>999</v>
      </c>
      <c r="O111" s="418" t="s">
        <v>304</v>
      </c>
      <c r="P111" s="418" t="s">
        <v>16</v>
      </c>
      <c r="Q111" s="399" t="s">
        <v>1000</v>
      </c>
      <c r="R111" s="435">
        <v>3020001042</v>
      </c>
      <c r="S111" s="403" t="s">
        <v>67</v>
      </c>
      <c r="T111" s="403"/>
      <c r="U111" s="426" t="s">
        <v>1001</v>
      </c>
      <c r="V111" s="403" t="s">
        <v>1002</v>
      </c>
      <c r="W111" s="350" t="s">
        <v>1003</v>
      </c>
      <c r="X111" s="399" t="s">
        <v>569</v>
      </c>
      <c r="Y111" s="399"/>
      <c r="Z111" s="486">
        <v>4100000</v>
      </c>
      <c r="AA111" s="418">
        <v>37</v>
      </c>
      <c r="AB111" s="486">
        <v>163502</v>
      </c>
      <c r="AC111" s="409"/>
      <c r="AD111" s="410"/>
      <c r="AE111" s="399"/>
      <c r="AF111" s="399"/>
      <c r="AG111" s="399"/>
      <c r="AH111" s="399"/>
      <c r="AI111" s="403"/>
      <c r="AJ111" s="403"/>
      <c r="AK111" s="403"/>
      <c r="AL111" s="403"/>
      <c r="AM111" s="420"/>
      <c r="AN111" s="420"/>
      <c r="AO111" s="403"/>
      <c r="AP111" s="403"/>
      <c r="AQ111" s="403"/>
      <c r="AR111" s="403"/>
      <c r="AS111" s="403"/>
      <c r="AT111" s="403"/>
      <c r="AU111" s="399"/>
      <c r="AV111" s="420"/>
      <c r="AW111" s="420"/>
      <c r="AX111" s="420"/>
      <c r="AY111" s="420"/>
      <c r="AZ111" s="420"/>
      <c r="BA111" s="370"/>
      <c r="BB111" s="358"/>
      <c r="BC111" s="597" t="s">
        <v>1493</v>
      </c>
      <c r="BD111" s="597" t="s">
        <v>1493</v>
      </c>
      <c r="BE111" s="375">
        <v>1</v>
      </c>
      <c r="BF111" s="403" t="s">
        <v>315</v>
      </c>
      <c r="BG111" s="370"/>
      <c r="BH111" s="370">
        <v>1000000</v>
      </c>
      <c r="BI111" s="370">
        <v>5357692</v>
      </c>
      <c r="BJ111" s="370">
        <v>512300</v>
      </c>
      <c r="BK111" s="487"/>
      <c r="BL111" s="488"/>
      <c r="BM111" s="358">
        <v>693179</v>
      </c>
      <c r="BN111" s="358">
        <v>252622</v>
      </c>
      <c r="BO111" s="370"/>
      <c r="BP111" s="487"/>
      <c r="BQ111" s="487"/>
      <c r="BR111" s="487">
        <v>13540</v>
      </c>
      <c r="BS111" s="362">
        <f>SUM(Table14[[#This Row],[Jan-24]:[Dec-24]])</f>
        <v>7829333</v>
      </c>
      <c r="BT111" s="360"/>
      <c r="BU111" s="360">
        <v>0</v>
      </c>
      <c r="BV111" s="376">
        <v>0</v>
      </c>
      <c r="BW111" s="376">
        <v>0</v>
      </c>
      <c r="BX111" s="367">
        <v>0</v>
      </c>
      <c r="BY111" s="367">
        <v>530000</v>
      </c>
      <c r="BZ111" s="367">
        <v>0</v>
      </c>
      <c r="CA111" s="367">
        <v>629759</v>
      </c>
      <c r="CB111" s="367">
        <v>23244</v>
      </c>
      <c r="CC111" s="367"/>
      <c r="CD111" s="367">
        <v>1284379</v>
      </c>
      <c r="CE111" s="414">
        <v>500000</v>
      </c>
      <c r="CF111" s="362">
        <f>SUM(Table14[[#This Row],[Jan-25]:[Dec-25]])</f>
        <v>2967382</v>
      </c>
      <c r="CG111" s="414">
        <v>0</v>
      </c>
      <c r="CH111" s="414">
        <v>0</v>
      </c>
      <c r="CI111" s="414">
        <v>0</v>
      </c>
      <c r="CJ111" s="414">
        <f>SUM(Table14[[#This Row],[Jan-26]:[Mar-26]])</f>
        <v>0</v>
      </c>
      <c r="CK111" s="531">
        <f>IFERROR(SUM(Table14[[#This Row],[Oct-25]:[Dec-25]],Table14[[#This Row],[Jan-26]:[Mar-26]])/COUNT(Table14[[#This Row],[Oct-25]:[Dec-25]],Table14[[#This Row],[Jan-26]:[Mar-26]]),0)</f>
        <v>356875.8</v>
      </c>
      <c r="CL111" s="367"/>
      <c r="CM111" s="414">
        <f>Table14[[#This Row],[YTD 2024]]+Table14[[#This Row],[YTD 2025]]+Table14[[#This Row],[YTD 2026]]</f>
        <v>10796715</v>
      </c>
      <c r="CN111" s="418">
        <v>20</v>
      </c>
      <c r="CO111" s="353">
        <f t="shared" si="23"/>
        <v>539835.75</v>
      </c>
      <c r="CP111" s="353">
        <f>Table14[[#This Row],[Unit Cost]]-Table14[[#This Row],[Margin on Reagent sale]]</f>
        <v>-758521.75</v>
      </c>
      <c r="CQ111" s="489">
        <v>-582258.24076923076</v>
      </c>
      <c r="CR111" s="373" t="s">
        <v>343</v>
      </c>
      <c r="CS111" s="367">
        <f>Table14[[#This Row],[On Track / (behind) (avg per month)]]/Table14[[#This Row],[Months]]</f>
        <v>-29112.912038461538</v>
      </c>
      <c r="CT111" s="368">
        <v>0.45</v>
      </c>
      <c r="CU111" s="367">
        <f>Table14[[#This Row],[Total Reagent Sales till date Actual]]*Table14[[#This Row],[Margin %]]</f>
        <v>4858521.75</v>
      </c>
      <c r="CV111" s="371">
        <f t="shared" si="22"/>
        <v>0.45</v>
      </c>
      <c r="CW111" s="212">
        <f>CK111*36</f>
        <v>12847528.799999999</v>
      </c>
      <c r="CX111" s="212">
        <f>+CW111*CV111</f>
        <v>5781387.96</v>
      </c>
      <c r="CY111" s="223">
        <f>+Z111</f>
        <v>4100000</v>
      </c>
      <c r="CZ111" s="226">
        <f>+CX111-CY111</f>
        <v>1681387.96</v>
      </c>
      <c r="DA111" s="212">
        <f>CY111/(CX111/36)</f>
        <v>25.530201574640568</v>
      </c>
      <c r="DC111" s="101"/>
      <c r="DD111" s="101" t="s">
        <v>417</v>
      </c>
      <c r="DM111" s="244"/>
    </row>
    <row r="112" spans="1:117" ht="15" customHeight="1" x14ac:dyDescent="0.3">
      <c r="A112" s="399" t="s">
        <v>787</v>
      </c>
      <c r="B112" s="630" t="s">
        <v>297</v>
      </c>
      <c r="C112" s="399" t="s">
        <v>22</v>
      </c>
      <c r="D112" s="415" t="s">
        <v>489</v>
      </c>
      <c r="E112" s="683">
        <v>15002248</v>
      </c>
      <c r="F112" s="403" t="s">
        <v>397</v>
      </c>
      <c r="G112" s="682" t="s">
        <v>1004</v>
      </c>
      <c r="H112" s="666"/>
      <c r="I112" s="683" t="s">
        <v>1005</v>
      </c>
      <c r="J112" s="417"/>
      <c r="K112" s="417" t="s">
        <v>856</v>
      </c>
      <c r="L112" s="417"/>
      <c r="M112" s="417" t="s">
        <v>303</v>
      </c>
      <c r="N112" s="417"/>
      <c r="O112" s="416" t="s">
        <v>304</v>
      </c>
      <c r="P112" s="418" t="s">
        <v>17</v>
      </c>
      <c r="Q112" s="399" t="s">
        <v>1006</v>
      </c>
      <c r="R112" s="683">
        <v>3020001042</v>
      </c>
      <c r="S112" s="683" t="s">
        <v>1622</v>
      </c>
      <c r="T112" s="448"/>
      <c r="U112" s="403" t="s">
        <v>1007</v>
      </c>
      <c r="V112" s="403" t="s">
        <v>1008</v>
      </c>
      <c r="W112" s="382" t="s">
        <v>1009</v>
      </c>
      <c r="X112" s="399" t="s">
        <v>569</v>
      </c>
      <c r="Y112" s="399"/>
      <c r="Z112" s="353">
        <v>2059750</v>
      </c>
      <c r="AA112" s="418">
        <v>36</v>
      </c>
      <c r="AB112" s="353">
        <v>100802</v>
      </c>
      <c r="AC112" s="409"/>
      <c r="AD112" s="410"/>
      <c r="AE112" s="399"/>
      <c r="AF112" s="399"/>
      <c r="AG112" s="399"/>
      <c r="AH112" s="399"/>
      <c r="AI112" s="403"/>
      <c r="AJ112" s="403"/>
      <c r="AK112" s="403"/>
      <c r="AL112" s="403"/>
      <c r="AM112" s="420"/>
      <c r="AN112" s="420"/>
      <c r="AO112" s="403"/>
      <c r="AP112" s="403"/>
      <c r="AQ112" s="403"/>
      <c r="AR112" s="403"/>
      <c r="AS112" s="403"/>
      <c r="AT112" s="403"/>
      <c r="AU112" s="399" t="e">
        <v>#N/A</v>
      </c>
      <c r="AV112" s="420"/>
      <c r="AW112" s="420"/>
      <c r="AX112" s="420"/>
      <c r="AY112" s="420"/>
      <c r="AZ112" s="420"/>
      <c r="BA112" s="370"/>
      <c r="BB112" s="370"/>
      <c r="BC112" s="597" t="s">
        <v>1538</v>
      </c>
      <c r="BD112" s="597" t="s">
        <v>1645</v>
      </c>
      <c r="BE112" s="375">
        <v>1</v>
      </c>
      <c r="BF112" s="419" t="s">
        <v>315</v>
      </c>
      <c r="BG112" s="370"/>
      <c r="BH112" s="370"/>
      <c r="BI112" s="370">
        <v>1216000</v>
      </c>
      <c r="BJ112" s="370">
        <v>198000</v>
      </c>
      <c r="BK112" s="370">
        <v>0</v>
      </c>
      <c r="BL112" s="374">
        <v>0</v>
      </c>
      <c r="BM112" s="358">
        <v>0</v>
      </c>
      <c r="BN112" s="358">
        <v>99000</v>
      </c>
      <c r="BO112" s="358">
        <v>29000</v>
      </c>
      <c r="BP112" s="358">
        <v>0</v>
      </c>
      <c r="BQ112" s="358">
        <v>0</v>
      </c>
      <c r="BR112" s="358">
        <v>349000</v>
      </c>
      <c r="BS112" s="362">
        <f>SUM(Table14[[#This Row],[Jan-24]:[Dec-24]])</f>
        <v>1891000</v>
      </c>
      <c r="BT112" s="362">
        <v>0</v>
      </c>
      <c r="BU112" s="362">
        <v>0</v>
      </c>
      <c r="BV112" s="362">
        <v>0</v>
      </c>
      <c r="BW112" s="362">
        <v>0</v>
      </c>
      <c r="BX112" s="362">
        <v>0</v>
      </c>
      <c r="BY112" s="414">
        <v>0</v>
      </c>
      <c r="BZ112" s="414">
        <v>0</v>
      </c>
      <c r="CA112" s="414">
        <v>0</v>
      </c>
      <c r="CB112" s="414">
        <v>0</v>
      </c>
      <c r="CC112" s="414">
        <v>0</v>
      </c>
      <c r="CD112" s="414">
        <v>0</v>
      </c>
      <c r="CE112" s="414">
        <v>112250</v>
      </c>
      <c r="CF112" s="362">
        <f>SUM(Table14[[#This Row],[Jan-25]:[Dec-25]])</f>
        <v>112250</v>
      </c>
      <c r="CG112" s="414">
        <v>0</v>
      </c>
      <c r="CH112" s="414">
        <v>0</v>
      </c>
      <c r="CI112" s="414"/>
      <c r="CJ112" s="414">
        <f>SUM(Table14[[#This Row],[Jan-26]:[Mar-26]])</f>
        <v>0</v>
      </c>
      <c r="CK112" s="531">
        <f>IFERROR(SUM(Table14[[#This Row],[Oct-25]:[Dec-25]],Table14[[#This Row],[Jan-26]:[Mar-26]])/COUNT(Table14[[#This Row],[Oct-25]:[Dec-25]],Table14[[#This Row],[Jan-26]:[Mar-26]]),0)</f>
        <v>22450</v>
      </c>
      <c r="CL112" s="367"/>
      <c r="CM112" s="414">
        <f>Table14[[#This Row],[YTD 2024]]+Table14[[#This Row],[YTD 2025]]+Table14[[#This Row],[YTD 2026]]</f>
        <v>2003250</v>
      </c>
      <c r="CN112" s="366">
        <v>4</v>
      </c>
      <c r="CO112" s="353">
        <f t="shared" si="23"/>
        <v>500812.5</v>
      </c>
      <c r="CP112" s="353">
        <f>Table14[[#This Row],[Unit Cost]]-Table14[[#This Row],[Margin on Reagent sale]]</f>
        <v>1258450</v>
      </c>
      <c r="CQ112" s="367">
        <f>Table14[[#This Row],[Avg reagent Sales per month Actual]]-Table14[[#This Row],[Per Month Reagent Commitment]]</f>
        <v>400010.5</v>
      </c>
      <c r="CR112" s="403" t="s">
        <v>316</v>
      </c>
      <c r="CS112" s="367">
        <f>Table14[[#This Row],[On Track / (behind) (avg per month)]]/Table14[[#This Row],[Months]]</f>
        <v>100002.625</v>
      </c>
      <c r="CT112" s="368">
        <v>0.4</v>
      </c>
      <c r="CU112" s="367">
        <f>Table14[[#This Row],[Total Reagent Sales till date Actual]]*Table14[[#This Row],[Margin %]]</f>
        <v>801300</v>
      </c>
      <c r="CV112" s="371">
        <f t="shared" si="22"/>
        <v>0.4</v>
      </c>
      <c r="CW112" s="212">
        <f>CK112*36</f>
        <v>808200</v>
      </c>
      <c r="CX112" s="212">
        <f>+CW112*CV112</f>
        <v>323280</v>
      </c>
      <c r="CY112" s="223">
        <f>+Z112</f>
        <v>2059750</v>
      </c>
      <c r="CZ112" s="226">
        <f>+CX112-CY112</f>
        <v>-1736470</v>
      </c>
      <c r="DA112" s="212">
        <f>CY112/(CX112/36)</f>
        <v>229.37082405345211</v>
      </c>
      <c r="DC112" s="101"/>
      <c r="DM112" s="244"/>
    </row>
    <row r="113" spans="1:117" ht="15" customHeight="1" x14ac:dyDescent="0.3">
      <c r="A113" s="399" t="s">
        <v>296</v>
      </c>
      <c r="B113" s="629" t="s">
        <v>297</v>
      </c>
      <c r="C113" s="399" t="s">
        <v>49</v>
      </c>
      <c r="D113" s="415" t="s">
        <v>30</v>
      </c>
      <c r="E113" s="403">
        <v>15002463</v>
      </c>
      <c r="F113" s="403" t="s">
        <v>317</v>
      </c>
      <c r="G113" s="449">
        <v>3002000017</v>
      </c>
      <c r="H113" s="409"/>
      <c r="I113" s="416" t="s">
        <v>1010</v>
      </c>
      <c r="J113" s="417" t="s">
        <v>1011</v>
      </c>
      <c r="K113" s="417" t="s">
        <v>1012</v>
      </c>
      <c r="L113" s="417" t="s">
        <v>1013</v>
      </c>
      <c r="M113" s="417" t="s">
        <v>303</v>
      </c>
      <c r="N113" s="417"/>
      <c r="O113" s="416" t="s">
        <v>348</v>
      </c>
      <c r="P113" s="418" t="s">
        <v>15</v>
      </c>
      <c r="Q113" s="399" t="s">
        <v>305</v>
      </c>
      <c r="R113" s="399">
        <v>3020001047</v>
      </c>
      <c r="S113" s="419" t="s">
        <v>108</v>
      </c>
      <c r="T113" s="403" t="s">
        <v>1014</v>
      </c>
      <c r="U113" s="403" t="s">
        <v>1015</v>
      </c>
      <c r="V113" s="403" t="s">
        <v>1016</v>
      </c>
      <c r="W113" s="350" t="s">
        <v>578</v>
      </c>
      <c r="X113" s="399"/>
      <c r="Y113" s="399" t="s">
        <v>1017</v>
      </c>
      <c r="Z113" s="353"/>
      <c r="AA113" s="366"/>
      <c r="AB113" s="353"/>
      <c r="AC113" s="423" t="s">
        <v>711</v>
      </c>
      <c r="AD113" s="424" t="s">
        <v>1018</v>
      </c>
      <c r="AE113" s="424" t="s">
        <v>604</v>
      </c>
      <c r="AF113" s="424" t="s">
        <v>737</v>
      </c>
      <c r="AG113" s="424" t="s">
        <v>714</v>
      </c>
      <c r="AH113" s="424" t="s">
        <v>607</v>
      </c>
      <c r="AI113" s="409" t="s">
        <v>715</v>
      </c>
      <c r="AJ113" s="409" t="s">
        <v>716</v>
      </c>
      <c r="AK113" s="409" t="s">
        <v>1019</v>
      </c>
      <c r="AL113" s="409" t="s">
        <v>718</v>
      </c>
      <c r="AM113" s="425" t="s">
        <v>719</v>
      </c>
      <c r="AN113" s="425" t="s">
        <v>337</v>
      </c>
      <c r="AO113" s="409"/>
      <c r="AP113" s="409"/>
      <c r="AQ113" s="409"/>
      <c r="AR113" s="409"/>
      <c r="AS113" s="409" t="s">
        <v>1020</v>
      </c>
      <c r="AT113" s="409" t="s">
        <v>1021</v>
      </c>
      <c r="AU113" s="409" t="s">
        <v>745</v>
      </c>
      <c r="AV113" s="409"/>
      <c r="AW113" s="409" t="s">
        <v>746</v>
      </c>
      <c r="AX113" s="430"/>
      <c r="AY113" s="430"/>
      <c r="AZ113" s="430"/>
      <c r="BA113" s="430"/>
      <c r="BB113" s="430"/>
      <c r="BC113" s="415"/>
      <c r="BD113" s="415"/>
      <c r="BE113" s="430"/>
      <c r="BF113" s="419"/>
      <c r="BG113" s="414">
        <v>75305.23</v>
      </c>
      <c r="BH113" s="414">
        <v>162894.44500000001</v>
      </c>
      <c r="BI113" s="359">
        <v>0</v>
      </c>
      <c r="BJ113" s="359">
        <v>0</v>
      </c>
      <c r="BK113" s="414">
        <v>108085.85500000001</v>
      </c>
      <c r="BL113" s="414">
        <v>12500</v>
      </c>
      <c r="BM113" s="359">
        <v>0</v>
      </c>
      <c r="BN113" s="414">
        <v>245489</v>
      </c>
      <c r="BO113" s="414">
        <v>160439.5</v>
      </c>
      <c r="BP113" s="414">
        <v>0</v>
      </c>
      <c r="BQ113" s="359">
        <v>0</v>
      </c>
      <c r="BR113" s="359">
        <v>0</v>
      </c>
      <c r="BS113" s="362">
        <f>SUM(Table14[[#This Row],[Jan-24]:[Dec-24]])</f>
        <v>764714.03</v>
      </c>
      <c r="BT113" s="362">
        <v>0</v>
      </c>
      <c r="BU113" s="362"/>
      <c r="BV113" s="362">
        <v>0</v>
      </c>
      <c r="BW113" s="414"/>
      <c r="BX113" s="414"/>
      <c r="BY113" s="414"/>
      <c r="BZ113" s="414"/>
      <c r="CA113" s="414"/>
      <c r="CB113" s="414"/>
      <c r="CC113" s="414"/>
      <c r="CD113" s="414"/>
      <c r="CE113" s="414"/>
      <c r="CF113" s="362">
        <f>SUM(Table14[[#This Row],[Jan-25]:[Dec-25]])</f>
        <v>0</v>
      </c>
      <c r="CG113" s="414"/>
      <c r="CH113" s="414"/>
      <c r="CI113" s="414"/>
      <c r="CJ113" s="414">
        <f>SUM(Table14[[#This Row],[Jan-26]:[Mar-26]])</f>
        <v>0</v>
      </c>
      <c r="CK113" s="531">
        <f>IFERROR(SUM(Table14[[#This Row],[Oct-25]:[Dec-25]],Table14[[#This Row],[Jan-26]:[Mar-26]])/COUNT(Table14[[#This Row],[Oct-25]:[Dec-25]],Table14[[#This Row],[Jan-26]:[Mar-26]]),0)</f>
        <v>0</v>
      </c>
      <c r="CL113" s="359"/>
      <c r="CM113" s="414">
        <f>Table14[[#This Row],[YTD 2024]]+Table14[[#This Row],[YTD 2025]]+Table14[[#This Row],[YTD 2026]]</f>
        <v>764714.03</v>
      </c>
      <c r="CN113" s="366">
        <v>37</v>
      </c>
      <c r="CO113" s="353">
        <f t="shared" si="23"/>
        <v>20667.946756756759</v>
      </c>
      <c r="CP113" s="353">
        <f>Table14[[#This Row],[Unit Cost]]-Table14[[#This Row],[Margin on Reagent sale]]</f>
        <v>-344121.31350000005</v>
      </c>
      <c r="CQ113" s="372">
        <f>Table14[[#This Row],[Avg reagent Sales per month Actual]]-Table14[[#This Row],[Per Month Reagent Commitment]]</f>
        <v>20667.946756756759</v>
      </c>
      <c r="CR113" s="403" t="s">
        <v>648</v>
      </c>
      <c r="CS113" s="367">
        <f>Table14[[#This Row],[On Track / (behind) (avg per month)]]/Table14[[#This Row],[Months]]</f>
        <v>558.59315558802052</v>
      </c>
      <c r="CT113" s="368">
        <v>0.45</v>
      </c>
      <c r="CU113" s="367">
        <f>Table14[[#This Row],[Total Reagent Sales till date Actual]]*Table14[[#This Row],[Margin %]]</f>
        <v>344121.31350000005</v>
      </c>
      <c r="CV113" s="400">
        <f t="shared" si="22"/>
        <v>0.45</v>
      </c>
      <c r="CX113" s="1"/>
      <c r="CZ113" s="135"/>
      <c r="DA113" s="1"/>
      <c r="DM113" s="244"/>
    </row>
    <row r="114" spans="1:117" ht="15" customHeight="1" x14ac:dyDescent="0.3">
      <c r="A114" s="399" t="s">
        <v>296</v>
      </c>
      <c r="B114" s="629" t="s">
        <v>297</v>
      </c>
      <c r="C114" s="399" t="s">
        <v>49</v>
      </c>
      <c r="D114" s="415" t="s">
        <v>30</v>
      </c>
      <c r="E114" s="403">
        <v>15002463</v>
      </c>
      <c r="F114" s="403" t="s">
        <v>317</v>
      </c>
      <c r="G114" s="449">
        <v>3002000017</v>
      </c>
      <c r="H114" s="409" t="s">
        <v>299</v>
      </c>
      <c r="I114" s="416" t="s">
        <v>1010</v>
      </c>
      <c r="J114" s="417"/>
      <c r="K114" s="417"/>
      <c r="L114" s="417" t="s">
        <v>1022</v>
      </c>
      <c r="M114" s="417" t="s">
        <v>425</v>
      </c>
      <c r="N114" s="417"/>
      <c r="O114" s="416" t="s">
        <v>529</v>
      </c>
      <c r="P114" s="418" t="s">
        <v>15</v>
      </c>
      <c r="Q114" s="399" t="s">
        <v>305</v>
      </c>
      <c r="R114" s="399">
        <v>3020001047</v>
      </c>
      <c r="S114" s="415" t="s">
        <v>108</v>
      </c>
      <c r="T114" s="403" t="s">
        <v>1014</v>
      </c>
      <c r="U114" s="403" t="s">
        <v>1015</v>
      </c>
      <c r="V114" s="403" t="s">
        <v>1016</v>
      </c>
      <c r="W114" s="350" t="s">
        <v>578</v>
      </c>
      <c r="X114" s="399"/>
      <c r="Y114" s="399" t="s">
        <v>1017</v>
      </c>
      <c r="Z114" s="353">
        <v>4500000</v>
      </c>
      <c r="AA114" s="366">
        <v>37</v>
      </c>
      <c r="AB114" s="353">
        <v>404240</v>
      </c>
      <c r="AC114" s="423" t="s">
        <v>711</v>
      </c>
      <c r="AD114" s="424" t="s">
        <v>1018</v>
      </c>
      <c r="AE114" s="424" t="s">
        <v>604</v>
      </c>
      <c r="AF114" s="424" t="s">
        <v>737</v>
      </c>
      <c r="AG114" s="424" t="s">
        <v>714</v>
      </c>
      <c r="AH114" s="424" t="s">
        <v>607</v>
      </c>
      <c r="AI114" s="409" t="s">
        <v>715</v>
      </c>
      <c r="AJ114" s="409" t="s">
        <v>716</v>
      </c>
      <c r="AK114" s="409" t="s">
        <v>1019</v>
      </c>
      <c r="AL114" s="409" t="s">
        <v>718</v>
      </c>
      <c r="AM114" s="425" t="s">
        <v>719</v>
      </c>
      <c r="AN114" s="425" t="s">
        <v>337</v>
      </c>
      <c r="AO114" s="409"/>
      <c r="AP114" s="409"/>
      <c r="AQ114" s="409"/>
      <c r="AR114" s="409"/>
      <c r="AS114" s="409" t="s">
        <v>1020</v>
      </c>
      <c r="AT114" s="409" t="s">
        <v>1021</v>
      </c>
      <c r="AU114" s="409"/>
      <c r="AV114" s="409"/>
      <c r="AW114" s="420"/>
      <c r="AX114" s="409" t="s">
        <v>1023</v>
      </c>
      <c r="AY114" s="409"/>
      <c r="AZ114" s="409" t="s">
        <v>1024</v>
      </c>
      <c r="BA114" s="409"/>
      <c r="BB114" s="409"/>
      <c r="BC114" s="596" t="s">
        <v>1501</v>
      </c>
      <c r="BD114" s="596" t="s">
        <v>1640</v>
      </c>
      <c r="BE114" s="424">
        <v>1</v>
      </c>
      <c r="BF114" s="415" t="s">
        <v>315</v>
      </c>
      <c r="BG114" s="385">
        <v>75305.23</v>
      </c>
      <c r="BH114" s="385">
        <v>162894.44500000001</v>
      </c>
      <c r="BI114" s="385">
        <v>0</v>
      </c>
      <c r="BJ114" s="385">
        <v>0</v>
      </c>
      <c r="BK114" s="385">
        <v>108085.85500000001</v>
      </c>
      <c r="BL114" s="385">
        <v>12500</v>
      </c>
      <c r="BM114" s="363">
        <v>0</v>
      </c>
      <c r="BN114" s="385">
        <v>245489</v>
      </c>
      <c r="BO114" s="385">
        <v>160439.5</v>
      </c>
      <c r="BP114" s="363">
        <v>0</v>
      </c>
      <c r="BQ114" s="363">
        <v>0</v>
      </c>
      <c r="BR114" s="363">
        <v>0</v>
      </c>
      <c r="BS114" s="362">
        <f>SUM(Table14[[#This Row],[Jan-24]:[Dec-24]])</f>
        <v>764714.03</v>
      </c>
      <c r="BT114" s="362">
        <v>0</v>
      </c>
      <c r="BU114" s="362">
        <v>0</v>
      </c>
      <c r="BV114" s="362">
        <v>0</v>
      </c>
      <c r="BW114" s="362">
        <v>261520.54</v>
      </c>
      <c r="BX114" s="362">
        <v>90822.950000000012</v>
      </c>
      <c r="BY114" s="362">
        <v>149392</v>
      </c>
      <c r="BZ114" s="414">
        <v>0</v>
      </c>
      <c r="CA114" s="362">
        <v>204777</v>
      </c>
      <c r="CB114" s="362">
        <v>145376</v>
      </c>
      <c r="CC114" s="362">
        <v>181755</v>
      </c>
      <c r="CD114" s="414">
        <v>0</v>
      </c>
      <c r="CE114" s="414">
        <v>0</v>
      </c>
      <c r="CF114" s="362">
        <f>SUM(Table14[[#This Row],[Jan-25]:[Dec-25]])</f>
        <v>1033643.49</v>
      </c>
      <c r="CG114" s="414">
        <v>73919.67</v>
      </c>
      <c r="CH114" s="414">
        <v>0</v>
      </c>
      <c r="CI114" s="414">
        <v>0</v>
      </c>
      <c r="CJ114" s="414">
        <f>SUM(Table14[[#This Row],[Jan-26]:[Mar-26]])</f>
        <v>73919.67</v>
      </c>
      <c r="CK114" s="531">
        <f>IFERROR(SUM(Table14[[#This Row],[Oct-25]:[Dec-25]],Table14[[#This Row],[Jan-26]:[Mar-26]])/COUNT(Table14[[#This Row],[Oct-25]:[Dec-25]],Table14[[#This Row],[Jan-26]:[Mar-26]]),0)</f>
        <v>42612.445</v>
      </c>
      <c r="CL114" s="363" t="s">
        <v>1025</v>
      </c>
      <c r="CM114" s="414">
        <f>Table14[[#This Row],[YTD 2024]]+Table14[[#This Row],[YTD 2025]]+Table14[[#This Row],[YTD 2026]]</f>
        <v>1872277.19</v>
      </c>
      <c r="CN114" s="366">
        <v>20</v>
      </c>
      <c r="CO114" s="353">
        <f t="shared" si="23"/>
        <v>93613.859499999991</v>
      </c>
      <c r="CP114" s="353">
        <f>Table14[[#This Row],[Unit Cost]]-Table14[[#This Row],[Margin on Reagent sale]]</f>
        <v>3657475.2645</v>
      </c>
      <c r="CQ114" s="372">
        <f>Table14[[#This Row],[Avg reagent Sales per month Actual]]-Table14[[#This Row],[Per Month Reagent Commitment]]</f>
        <v>-310626.14049999998</v>
      </c>
      <c r="CR114" s="403" t="s">
        <v>640</v>
      </c>
      <c r="CS114" s="367">
        <f>Table14[[#This Row],[On Track / (behind) (avg per month)]]/Table14[[#This Row],[Months]]</f>
        <v>-15531.307024999998</v>
      </c>
      <c r="CT114" s="368">
        <v>0.45</v>
      </c>
      <c r="CU114" s="367">
        <f>Table14[[#This Row],[Total Reagent Sales till date Actual]]*Table14[[#This Row],[Margin %]]</f>
        <v>842524.73549999995</v>
      </c>
      <c r="CV114" s="400">
        <f t="shared" si="22"/>
        <v>0.45</v>
      </c>
      <c r="CW114" s="135" t="s">
        <v>1026</v>
      </c>
      <c r="CX114" s="1"/>
      <c r="CZ114" s="135"/>
      <c r="DA114" s="1"/>
    </row>
    <row r="115" spans="1:117" ht="15" customHeight="1" x14ac:dyDescent="0.3">
      <c r="A115" s="399" t="s">
        <v>511</v>
      </c>
      <c r="B115" s="631" t="s">
        <v>345</v>
      </c>
      <c r="C115" s="535" t="s">
        <v>51</v>
      </c>
      <c r="D115" s="536" t="s">
        <v>1027</v>
      </c>
      <c r="E115" s="403">
        <v>15003159</v>
      </c>
      <c r="F115" s="403" t="s">
        <v>403</v>
      </c>
      <c r="G115" s="449">
        <v>3002000096</v>
      </c>
      <c r="H115" s="667"/>
      <c r="I115" s="427">
        <v>8673</v>
      </c>
      <c r="J115" s="537"/>
      <c r="K115" s="405"/>
      <c r="L115" s="405" t="s">
        <v>1028</v>
      </c>
      <c r="M115" s="406"/>
      <c r="N115" s="406"/>
      <c r="O115" s="538" t="s">
        <v>304</v>
      </c>
      <c r="P115" s="538" t="s">
        <v>15</v>
      </c>
      <c r="Q115" s="539" t="s">
        <v>305</v>
      </c>
      <c r="R115" s="401">
        <v>3020001067</v>
      </c>
      <c r="S115" s="536" t="s">
        <v>107</v>
      </c>
      <c r="T115" s="401"/>
      <c r="U115" s="403" t="s">
        <v>1029</v>
      </c>
      <c r="V115" s="403" t="s">
        <v>1030</v>
      </c>
      <c r="W115" s="350" t="s">
        <v>1031</v>
      </c>
      <c r="X115" s="399" t="s">
        <v>1032</v>
      </c>
      <c r="Y115" s="401"/>
      <c r="Z115" s="540">
        <v>5741480.5</v>
      </c>
      <c r="AA115" s="541">
        <v>6</v>
      </c>
      <c r="AB115" s="542">
        <v>2106303.5</v>
      </c>
      <c r="AC115" s="409"/>
      <c r="AD115" s="410"/>
      <c r="AE115" s="411"/>
      <c r="AF115" s="411"/>
      <c r="AG115" s="411"/>
      <c r="AH115" s="411"/>
      <c r="AI115" s="411"/>
      <c r="AJ115" s="411"/>
      <c r="AK115" s="411"/>
      <c r="AL115" s="411"/>
      <c r="AM115" s="412"/>
      <c r="AN115" s="412"/>
      <c r="AO115" s="411"/>
      <c r="AP115" s="411"/>
      <c r="AQ115" s="411"/>
      <c r="AR115" s="411"/>
      <c r="AS115" s="411"/>
      <c r="AT115" s="411"/>
      <c r="AU115" s="411" t="e">
        <v>#REF!</v>
      </c>
      <c r="AV115" s="412"/>
      <c r="AW115" s="412"/>
      <c r="AX115" s="354"/>
      <c r="AY115" s="354"/>
      <c r="AZ115" s="354"/>
      <c r="BA115" s="354"/>
      <c r="BB115" s="413"/>
      <c r="BC115" s="600" t="s">
        <v>1493</v>
      </c>
      <c r="BD115" s="600" t="s">
        <v>1647</v>
      </c>
      <c r="BE115" s="375">
        <v>1</v>
      </c>
      <c r="BF115" s="536" t="s">
        <v>315</v>
      </c>
      <c r="BG115" s="355"/>
      <c r="BH115" s="355"/>
      <c r="BI115" s="355"/>
      <c r="BJ115" s="355"/>
      <c r="BK115" s="356"/>
      <c r="BL115" s="357"/>
      <c r="BM115" s="358"/>
      <c r="BN115" s="358"/>
      <c r="BO115" s="359"/>
      <c r="BP115" s="359">
        <v>10851396</v>
      </c>
      <c r="BQ115" s="359">
        <v>1239776</v>
      </c>
      <c r="BR115" s="359">
        <v>4030196</v>
      </c>
      <c r="BS115" s="362">
        <f>SUM(Table14[[#This Row],[Jan-24]:[Dec-24]])</f>
        <v>16121368</v>
      </c>
      <c r="BT115" s="361">
        <v>0</v>
      </c>
      <c r="BU115" s="414">
        <v>246892</v>
      </c>
      <c r="BV115" s="414">
        <v>2964712</v>
      </c>
      <c r="BW115" s="414">
        <v>0</v>
      </c>
      <c r="BX115" s="414">
        <v>0</v>
      </c>
      <c r="BY115" s="414">
        <v>2600500</v>
      </c>
      <c r="BZ115" s="414">
        <v>0</v>
      </c>
      <c r="CA115" s="414">
        <v>0</v>
      </c>
      <c r="CB115" s="414">
        <v>3437600</v>
      </c>
      <c r="CC115" s="414">
        <v>2287400</v>
      </c>
      <c r="CD115" s="414">
        <v>2865200</v>
      </c>
      <c r="CE115" s="544">
        <v>244000</v>
      </c>
      <c r="CF115" s="362">
        <f>SUM(Table14[[#This Row],[Jan-25]:[Dec-25]])</f>
        <v>14646304</v>
      </c>
      <c r="CG115" s="544"/>
      <c r="CH115" s="544">
        <v>23200</v>
      </c>
      <c r="CI115" s="544">
        <f>1944800/2</f>
        <v>972400</v>
      </c>
      <c r="CJ115" s="414">
        <f>SUM(Table14[[#This Row],[Jan-26]:[Mar-26]])</f>
        <v>995600</v>
      </c>
      <c r="CK115" s="531">
        <f>IFERROR(SUM(Table14[[#This Row],[Oct-25]:[Dec-25]],Table14[[#This Row],[Jan-26]:[Mar-26]])/COUNT(Table14[[#This Row],[Oct-25]:[Dec-25]],Table14[[#This Row],[Jan-26]:[Mar-26]]),0)</f>
        <v>1278440</v>
      </c>
      <c r="CL115" s="545"/>
      <c r="CM115" s="414">
        <f>Table14[[#This Row],[YTD 2024]]+Table14[[#This Row],[YTD 2025]]+Table14[[#This Row],[YTD 2026]]</f>
        <v>31763272</v>
      </c>
      <c r="CN115" s="567">
        <v>15</v>
      </c>
      <c r="CO115" s="542">
        <f t="shared" si="23"/>
        <v>2117551.4666666668</v>
      </c>
      <c r="CP115" s="542">
        <f>Table14[[#This Row],[Unit Cost]]-Table14[[#This Row],[Margin on Reagent sale]]</f>
        <v>-6963828.3000000007</v>
      </c>
      <c r="CQ115" s="547">
        <f>Table14[[#This Row],[Avg reagent Sales per month Actual]]-Table14[[#This Row],[Per Month Reagent Commitment]]</f>
        <v>11247.966666666791</v>
      </c>
      <c r="CR115" s="548" t="s">
        <v>640</v>
      </c>
      <c r="CS115" s="547">
        <f>Table14[[#This Row],[On Track / (behind) (avg per month)]]/Table14[[#This Row],[Months]]</f>
        <v>749.86444444445272</v>
      </c>
      <c r="CT115" s="549">
        <v>0.4</v>
      </c>
      <c r="CU115" s="547">
        <f>Table14[[#This Row],[Total Reagent Sales till date Actual]]*Table14[[#This Row],[Margin %]]</f>
        <v>12705308.800000001</v>
      </c>
      <c r="CV115" s="539">
        <f t="shared" si="22"/>
        <v>0.4</v>
      </c>
      <c r="CX115" s="1"/>
      <c r="CZ115" s="135"/>
      <c r="DA115" s="1"/>
    </row>
    <row r="116" spans="1:117" ht="15" customHeight="1" x14ac:dyDescent="0.3">
      <c r="A116" s="399" t="s">
        <v>296</v>
      </c>
      <c r="B116" s="629" t="s">
        <v>297</v>
      </c>
      <c r="C116" s="399" t="s">
        <v>22</v>
      </c>
      <c r="D116" s="435" t="s">
        <v>1042</v>
      </c>
      <c r="E116" s="432">
        <v>15001968</v>
      </c>
      <c r="F116" s="403" t="s">
        <v>392</v>
      </c>
      <c r="G116" s="449">
        <v>3002000041</v>
      </c>
      <c r="H116" s="409" t="s">
        <v>299</v>
      </c>
      <c r="I116" s="416">
        <v>120754</v>
      </c>
      <c r="J116" s="417" t="s">
        <v>1034</v>
      </c>
      <c r="K116" s="417" t="s">
        <v>1035</v>
      </c>
      <c r="L116" s="417" t="s">
        <v>1036</v>
      </c>
      <c r="M116" s="417" t="s">
        <v>303</v>
      </c>
      <c r="N116" s="417"/>
      <c r="O116" s="416" t="s">
        <v>304</v>
      </c>
      <c r="P116" s="418" t="s">
        <v>15</v>
      </c>
      <c r="Q116" s="399" t="s">
        <v>305</v>
      </c>
      <c r="R116" s="399">
        <v>3020001067</v>
      </c>
      <c r="S116" s="419" t="s">
        <v>107</v>
      </c>
      <c r="T116" s="403" t="s">
        <v>299</v>
      </c>
      <c r="U116" s="403" t="s">
        <v>1029</v>
      </c>
      <c r="V116" s="403" t="s">
        <v>1030</v>
      </c>
      <c r="W116" s="350" t="s">
        <v>1031</v>
      </c>
      <c r="X116" s="399" t="s">
        <v>1032</v>
      </c>
      <c r="Y116" s="399"/>
      <c r="Z116" s="353">
        <v>1954396</v>
      </c>
      <c r="AA116" s="366">
        <v>36</v>
      </c>
      <c r="AB116" s="353">
        <v>323047</v>
      </c>
      <c r="AC116" s="423"/>
      <c r="AD116" s="424"/>
      <c r="AE116" s="424"/>
      <c r="AF116" s="424"/>
      <c r="AG116" s="424"/>
      <c r="AH116" s="424"/>
      <c r="AI116" s="409"/>
      <c r="AJ116" s="409"/>
      <c r="AK116" s="409"/>
      <c r="AL116" s="409"/>
      <c r="AM116" s="425"/>
      <c r="AN116" s="425"/>
      <c r="AO116" s="409"/>
      <c r="AP116" s="409"/>
      <c r="AQ116" s="409"/>
      <c r="AR116" s="409"/>
      <c r="AS116" s="409" t="s">
        <v>1037</v>
      </c>
      <c r="AT116" s="409" t="s">
        <v>1038</v>
      </c>
      <c r="AU116" s="409" t="s">
        <v>1039</v>
      </c>
      <c r="AV116" s="409"/>
      <c r="AW116" s="409" t="s">
        <v>1040</v>
      </c>
      <c r="AX116" s="430" t="s">
        <v>703</v>
      </c>
      <c r="AY116" s="430"/>
      <c r="AZ116" s="430"/>
      <c r="BA116" s="430"/>
      <c r="BB116" s="430"/>
      <c r="BC116" s="597" t="s">
        <v>1493</v>
      </c>
      <c r="BD116" s="597" t="s">
        <v>1493</v>
      </c>
      <c r="BE116" s="430">
        <v>1</v>
      </c>
      <c r="BF116" s="419" t="s">
        <v>315</v>
      </c>
      <c r="BG116" s="359">
        <v>0</v>
      </c>
      <c r="BH116" s="359">
        <v>0</v>
      </c>
      <c r="BI116" s="359">
        <f>792000/2</f>
        <v>396000</v>
      </c>
      <c r="BJ116" s="359">
        <v>0</v>
      </c>
      <c r="BK116" s="359">
        <f>280500/2</f>
        <v>140250</v>
      </c>
      <c r="BL116" s="359">
        <v>0</v>
      </c>
      <c r="BM116" s="359">
        <f>396000/2</f>
        <v>198000</v>
      </c>
      <c r="BN116" s="359">
        <f>660000/2</f>
        <v>330000</v>
      </c>
      <c r="BO116" s="359">
        <v>0</v>
      </c>
      <c r="BP116" s="414">
        <f>940500/2</f>
        <v>470250</v>
      </c>
      <c r="BQ116" s="414">
        <v>0</v>
      </c>
      <c r="BR116" s="414">
        <f>750803.62/2</f>
        <v>375401.81</v>
      </c>
      <c r="BS116" s="362">
        <f>SUM(Table14[[#This Row],[Jan-24]:[Dec-24]])</f>
        <v>1909901.81</v>
      </c>
      <c r="BT116" s="414">
        <f>794813.6/2</f>
        <v>397406.8</v>
      </c>
      <c r="BU116" s="414">
        <v>0</v>
      </c>
      <c r="BV116" s="414">
        <f>1239666.75/2</f>
        <v>619833.375</v>
      </c>
      <c r="BW116" s="414">
        <v>0</v>
      </c>
      <c r="BX116" s="414">
        <v>0</v>
      </c>
      <c r="BY116" s="414">
        <v>600607</v>
      </c>
      <c r="BZ116" s="414">
        <v>0</v>
      </c>
      <c r="CA116" s="414">
        <v>0</v>
      </c>
      <c r="CB116" s="414">
        <f>750803.62/2</f>
        <v>375401.81</v>
      </c>
      <c r="CC116" s="527">
        <v>0</v>
      </c>
      <c r="CD116" s="414">
        <f>1292669/2</f>
        <v>646334.5</v>
      </c>
      <c r="CE116" s="414">
        <v>0</v>
      </c>
      <c r="CF116" s="362">
        <f>SUM(Table14[[#This Row],[Jan-25]:[Dec-25]])</f>
        <v>2639583.4850000003</v>
      </c>
      <c r="CG116" s="414">
        <v>0</v>
      </c>
      <c r="CH116" s="414">
        <f>526366.68/2</f>
        <v>263183.34000000003</v>
      </c>
      <c r="CI116" s="414">
        <f>1261672/2</f>
        <v>630836</v>
      </c>
      <c r="CJ116" s="414">
        <f>SUM(Table14[[#This Row],[Jan-26]:[Mar-26]])</f>
        <v>894019.34000000008</v>
      </c>
      <c r="CK116" s="531">
        <f>IFERROR(SUM(Table14[[#This Row],[Oct-25]:[Dec-25]],Table14[[#This Row],[Jan-26]:[Mar-26]])/COUNT(Table14[[#This Row],[Oct-25]:[Dec-25]],Table14[[#This Row],[Jan-26]:[Mar-26]]),0)</f>
        <v>256725.64</v>
      </c>
      <c r="CL116" s="359"/>
      <c r="CM116" s="414">
        <f>Table14[[#This Row],[YTD 2024]]+Table14[[#This Row],[YTD 2025]]+Table14[[#This Row],[YTD 2026]]</f>
        <v>5443504.6349999998</v>
      </c>
      <c r="CN116" s="366">
        <v>37</v>
      </c>
      <c r="CO116" s="353">
        <f t="shared" si="23"/>
        <v>147121.74689189187</v>
      </c>
      <c r="CP116" s="353">
        <f>Table14[[#This Row],[Unit Cost]]-Table14[[#This Row],[Margin on Reagent sale]]</f>
        <v>-223005.85399999982</v>
      </c>
      <c r="CQ116" s="372">
        <f>Table14[[#This Row],[Avg reagent Sales per month Actual]]-Table14[[#This Row],[Per Month Reagent Commitment]]</f>
        <v>-175925.25310810813</v>
      </c>
      <c r="CR116" s="403" t="s">
        <v>640</v>
      </c>
      <c r="CS116" s="367">
        <f>Table14[[#This Row],[On Track / (behind) (avg per month)]]/Table14[[#This Row],[Months]]</f>
        <v>-4754.7365704894091</v>
      </c>
      <c r="CT116" s="368">
        <v>0.4</v>
      </c>
      <c r="CU116" s="367">
        <f>Table14[[#This Row],[Total Reagent Sales till date Actual]]*Table14[[#This Row],[Margin %]]</f>
        <v>2177401.8539999998</v>
      </c>
      <c r="CV116" s="400">
        <f t="shared" si="22"/>
        <v>0.4</v>
      </c>
      <c r="CX116" s="1"/>
      <c r="CZ116" s="135"/>
      <c r="DA116" s="1"/>
    </row>
    <row r="117" spans="1:117" ht="15" customHeight="1" x14ac:dyDescent="0.3">
      <c r="A117" s="399" t="s">
        <v>511</v>
      </c>
      <c r="B117" s="631" t="s">
        <v>345</v>
      </c>
      <c r="C117" s="535" t="s">
        <v>51</v>
      </c>
      <c r="D117" s="536" t="s">
        <v>1027</v>
      </c>
      <c r="E117" s="403">
        <v>15003159</v>
      </c>
      <c r="F117" s="403" t="s">
        <v>403</v>
      </c>
      <c r="G117" s="449"/>
      <c r="H117" s="667"/>
      <c r="I117" s="404"/>
      <c r="J117" s="537"/>
      <c r="K117" s="405"/>
      <c r="L117" s="405" t="s">
        <v>1041</v>
      </c>
      <c r="M117" s="406"/>
      <c r="N117" s="406"/>
      <c r="O117" s="551" t="s">
        <v>858</v>
      </c>
      <c r="P117" s="538" t="s">
        <v>15</v>
      </c>
      <c r="Q117" s="539" t="s">
        <v>305</v>
      </c>
      <c r="R117" s="401">
        <v>3020001067</v>
      </c>
      <c r="S117" s="536" t="s">
        <v>107</v>
      </c>
      <c r="T117" s="401"/>
      <c r="U117" s="403" t="s">
        <v>1029</v>
      </c>
      <c r="V117" s="403" t="s">
        <v>1030</v>
      </c>
      <c r="W117" s="350" t="s">
        <v>1031</v>
      </c>
      <c r="X117" s="399" t="s">
        <v>1032</v>
      </c>
      <c r="Y117" s="401"/>
      <c r="Z117" s="540">
        <v>5557031</v>
      </c>
      <c r="AA117" s="541">
        <v>6</v>
      </c>
      <c r="AB117" s="542">
        <v>2106303.5</v>
      </c>
      <c r="AC117" s="409"/>
      <c r="AD117" s="410"/>
      <c r="AE117" s="411"/>
      <c r="AF117" s="411"/>
      <c r="AG117" s="411"/>
      <c r="AH117" s="411"/>
      <c r="AI117" s="411"/>
      <c r="AJ117" s="411"/>
      <c r="AK117" s="411"/>
      <c r="AL117" s="411"/>
      <c r="AM117" s="412"/>
      <c r="AN117" s="412"/>
      <c r="AO117" s="411"/>
      <c r="AP117" s="411"/>
      <c r="AQ117" s="411"/>
      <c r="AR117" s="411"/>
      <c r="AS117" s="411"/>
      <c r="AT117" s="411"/>
      <c r="AU117" s="411" t="e">
        <v>#REF!</v>
      </c>
      <c r="AV117" s="412"/>
      <c r="AW117" s="412"/>
      <c r="AX117" s="354"/>
      <c r="AY117" s="354"/>
      <c r="AZ117" s="354"/>
      <c r="BA117" s="354"/>
      <c r="BB117" s="413"/>
      <c r="BC117" s="600" t="s">
        <v>1507</v>
      </c>
      <c r="BD117" s="600" t="s">
        <v>1647</v>
      </c>
      <c r="BE117" s="375">
        <v>1</v>
      </c>
      <c r="BF117" s="536" t="s">
        <v>561</v>
      </c>
      <c r="BG117" s="355"/>
      <c r="BH117" s="355"/>
      <c r="BI117" s="355"/>
      <c r="BJ117" s="355"/>
      <c r="BK117" s="356"/>
      <c r="BL117" s="357"/>
      <c r="BM117" s="358"/>
      <c r="BN117" s="358"/>
      <c r="BO117" s="359"/>
      <c r="BP117" s="414"/>
      <c r="BQ117" s="370"/>
      <c r="BR117" s="414"/>
      <c r="BS117" s="362">
        <f>SUM(Table14[[#This Row],[Jan-24]:[Dec-24]])</f>
        <v>0</v>
      </c>
      <c r="BT117" s="361"/>
      <c r="BU117" s="414"/>
      <c r="BV117" s="414"/>
      <c r="BW117" s="414"/>
      <c r="BX117" s="414"/>
      <c r="BY117" s="414"/>
      <c r="BZ117" s="414"/>
      <c r="CA117" s="414"/>
      <c r="CB117" s="414"/>
      <c r="CC117" s="414"/>
      <c r="CD117" s="414"/>
      <c r="CE117" s="544"/>
      <c r="CF117" s="362">
        <f>SUM(Table14[[#This Row],[Jan-25]:[Dec-25]])</f>
        <v>0</v>
      </c>
      <c r="CG117" s="544"/>
      <c r="CH117" s="544">
        <v>0</v>
      </c>
      <c r="CI117" s="544">
        <f>CI115</f>
        <v>972400</v>
      </c>
      <c r="CJ117" s="414">
        <f>SUM(Table14[[#This Row],[Jan-26]:[Mar-26]])</f>
        <v>972400</v>
      </c>
      <c r="CK117" s="531">
        <f>IFERROR(SUM(Table14[[#This Row],[Oct-25]:[Dec-25]],Table14[[#This Row],[Jan-26]:[Mar-26]])/COUNT(Table14[[#This Row],[Oct-25]:[Dec-25]],Table14[[#This Row],[Jan-26]:[Mar-26]]),0)</f>
        <v>486200</v>
      </c>
      <c r="CL117" s="545"/>
      <c r="CM117" s="414">
        <f>Table14[[#This Row],[YTD 2024]]+Table14[[#This Row],[YTD 2025]]+Table14[[#This Row],[YTD 2026]]</f>
        <v>972400</v>
      </c>
      <c r="CN117" s="567"/>
      <c r="CO117" s="542" t="e">
        <f t="shared" si="23"/>
        <v>#DIV/0!</v>
      </c>
      <c r="CP117" s="542">
        <f>Table14[[#This Row],[Unit Cost]]-Table14[[#This Row],[Margin on Reagent sale]]</f>
        <v>5168071</v>
      </c>
      <c r="CQ117" s="547" t="e">
        <f>Table14[[#This Row],[Avg reagent Sales per month Actual]]-Table14[[#This Row],[Per Month Reagent Commitment]]</f>
        <v>#DIV/0!</v>
      </c>
      <c r="CR117" s="548" t="s">
        <v>640</v>
      </c>
      <c r="CS117" s="547" t="e">
        <f>Table14[[#This Row],[On Track / (behind) (avg per month)]]/Table14[[#This Row],[Months]]</f>
        <v>#DIV/0!</v>
      </c>
      <c r="CT117" s="549">
        <v>0.4</v>
      </c>
      <c r="CU117" s="547">
        <f>Table14[[#This Row],[Total Reagent Sales till date Actual]]*Table14[[#This Row],[Margin %]]</f>
        <v>388960</v>
      </c>
      <c r="CV117" s="539">
        <f t="shared" si="22"/>
        <v>0.4</v>
      </c>
      <c r="CX117" s="1"/>
      <c r="CZ117" s="135"/>
      <c r="DA117" s="1"/>
    </row>
    <row r="118" spans="1:117" ht="15" customHeight="1" x14ac:dyDescent="0.3">
      <c r="A118" s="399" t="s">
        <v>296</v>
      </c>
      <c r="B118" s="629" t="s">
        <v>297</v>
      </c>
      <c r="C118" s="399" t="s">
        <v>22</v>
      </c>
      <c r="D118" s="435" t="s">
        <v>1042</v>
      </c>
      <c r="E118" s="483">
        <v>15001968</v>
      </c>
      <c r="F118" s="403" t="s">
        <v>392</v>
      </c>
      <c r="G118" s="682">
        <v>3002000041</v>
      </c>
      <c r="H118" s="409" t="s">
        <v>299</v>
      </c>
      <c r="I118" s="682">
        <v>120751</v>
      </c>
      <c r="J118" s="417"/>
      <c r="K118" s="417"/>
      <c r="L118" s="417" t="s">
        <v>385</v>
      </c>
      <c r="M118" s="417"/>
      <c r="N118" s="417"/>
      <c r="O118" s="418" t="s">
        <v>529</v>
      </c>
      <c r="P118" s="418" t="s">
        <v>15</v>
      </c>
      <c r="Q118" s="399" t="s">
        <v>305</v>
      </c>
      <c r="R118" s="399">
        <v>3020001067</v>
      </c>
      <c r="S118" s="419" t="s">
        <v>107</v>
      </c>
      <c r="T118" s="403"/>
      <c r="U118" s="403" t="s">
        <v>1029</v>
      </c>
      <c r="V118" s="403" t="s">
        <v>1030</v>
      </c>
      <c r="W118" s="350" t="s">
        <v>1031</v>
      </c>
      <c r="X118" s="399" t="s">
        <v>1032</v>
      </c>
      <c r="Y118" s="399"/>
      <c r="Z118" s="353">
        <v>1071000</v>
      </c>
      <c r="AA118" s="514">
        <v>60</v>
      </c>
      <c r="AB118" s="353">
        <v>111305</v>
      </c>
      <c r="AC118" s="409"/>
      <c r="AD118" s="410"/>
      <c r="AE118" s="399"/>
      <c r="AF118" s="399"/>
      <c r="AG118" s="399"/>
      <c r="AH118" s="399"/>
      <c r="AI118" s="403"/>
      <c r="AJ118" s="403"/>
      <c r="AK118" s="403"/>
      <c r="AL118" s="403"/>
      <c r="AM118" s="420"/>
      <c r="AN118" s="420"/>
      <c r="AO118" s="403"/>
      <c r="AP118" s="403"/>
      <c r="AQ118" s="403"/>
      <c r="AR118" s="403"/>
      <c r="AS118" s="403"/>
      <c r="AT118" s="403"/>
      <c r="AU118" s="399" t="e">
        <v>#REF!</v>
      </c>
      <c r="AV118" s="420"/>
      <c r="AW118" s="420"/>
      <c r="AX118" s="420"/>
      <c r="AY118" s="420"/>
      <c r="AZ118" s="420"/>
      <c r="BA118" s="370"/>
      <c r="BB118" s="370"/>
      <c r="BC118" s="597" t="s">
        <v>1493</v>
      </c>
      <c r="BD118" s="597" t="s">
        <v>1493</v>
      </c>
      <c r="BE118" s="375">
        <v>1</v>
      </c>
      <c r="BF118" s="419" t="s">
        <v>315</v>
      </c>
      <c r="BG118" s="359">
        <v>0</v>
      </c>
      <c r="BH118" s="359">
        <v>0</v>
      </c>
      <c r="BI118" s="359">
        <f>792000/2</f>
        <v>396000</v>
      </c>
      <c r="BJ118" s="359">
        <v>0</v>
      </c>
      <c r="BK118" s="359">
        <f>280500/2</f>
        <v>140250</v>
      </c>
      <c r="BL118" s="359">
        <v>0</v>
      </c>
      <c r="BM118" s="359">
        <f>396000/2</f>
        <v>198000</v>
      </c>
      <c r="BN118" s="359">
        <f>660000/2</f>
        <v>330000</v>
      </c>
      <c r="BO118" s="359">
        <v>0</v>
      </c>
      <c r="BP118" s="414">
        <f>940500/2</f>
        <v>470250</v>
      </c>
      <c r="BQ118" s="370">
        <v>0</v>
      </c>
      <c r="BR118" s="414">
        <f>750803.62/2</f>
        <v>375401.81</v>
      </c>
      <c r="BS118" s="362">
        <f>SUM(Table14[[#This Row],[Jan-24]:[Dec-24]])</f>
        <v>1909901.81</v>
      </c>
      <c r="BT118" s="414">
        <f>794813.6/2</f>
        <v>397406.8</v>
      </c>
      <c r="BU118" s="414">
        <v>0</v>
      </c>
      <c r="BV118" s="414">
        <f>1239666.75/2</f>
        <v>619833.375</v>
      </c>
      <c r="BW118" s="414">
        <v>0</v>
      </c>
      <c r="BX118" s="414">
        <v>0</v>
      </c>
      <c r="BY118" s="414">
        <v>600607</v>
      </c>
      <c r="BZ118" s="414">
        <v>0</v>
      </c>
      <c r="CA118" s="414">
        <v>0</v>
      </c>
      <c r="CB118" s="414">
        <f>750803.62/2</f>
        <v>375401.81</v>
      </c>
      <c r="CC118" s="527">
        <v>0</v>
      </c>
      <c r="CD118" s="414">
        <f>1292669/2</f>
        <v>646334.5</v>
      </c>
      <c r="CE118" s="414">
        <v>0</v>
      </c>
      <c r="CF118" s="362">
        <f>SUM(Table14[[#This Row],[Jan-25]:[Dec-25]])</f>
        <v>2639583.4850000003</v>
      </c>
      <c r="CG118" s="414">
        <v>0</v>
      </c>
      <c r="CH118" s="414">
        <f>526366.68/2</f>
        <v>263183.34000000003</v>
      </c>
      <c r="CI118" s="414">
        <f>CI116</f>
        <v>630836</v>
      </c>
      <c r="CJ118" s="414">
        <f>SUM(Table14[[#This Row],[Jan-26]:[Mar-26]])</f>
        <v>894019.34000000008</v>
      </c>
      <c r="CK118" s="531">
        <f>IFERROR(SUM(Table14[[#This Row],[Oct-25]:[Dec-25]],Table14[[#This Row],[Jan-26]:[Mar-26]])/COUNT(Table14[[#This Row],[Oct-25]:[Dec-25]],Table14[[#This Row],[Jan-26]:[Mar-26]]),0)</f>
        <v>256725.64</v>
      </c>
      <c r="CL118" s="367"/>
      <c r="CM118" s="414">
        <f>Table14[[#This Row],[YTD 2024]]+Table14[[#This Row],[YTD 2025]]+Table14[[#This Row],[YTD 2026]]</f>
        <v>5443504.6349999998</v>
      </c>
      <c r="CN118" s="418">
        <v>37</v>
      </c>
      <c r="CO118" s="353">
        <f t="shared" si="23"/>
        <v>147121.74689189187</v>
      </c>
      <c r="CP118" s="353">
        <f>Table14[[#This Row],[Unit Cost]]-Table14[[#This Row],[Margin on Reagent sale]]</f>
        <v>-1106401.8539999998</v>
      </c>
      <c r="CQ118" s="367">
        <f>Table14[[#This Row],[Avg reagent Sales per month Actual]]-Table14[[#This Row],[Per Month Reagent Commitment]]</f>
        <v>35816.746891891875</v>
      </c>
      <c r="CR118" s="373" t="s">
        <v>316</v>
      </c>
      <c r="CS118" s="367">
        <f>Table14[[#This Row],[On Track / (behind) (avg per month)]]/Table14[[#This Row],[Months]]</f>
        <v>968.02018626734798</v>
      </c>
      <c r="CT118" s="368">
        <v>0.4</v>
      </c>
      <c r="CU118" s="367">
        <f>Table14[[#This Row],[Total Reagent Sales till date Actual]]*Table14[[#This Row],[Margin %]]</f>
        <v>2177401.8539999998</v>
      </c>
      <c r="CV118" s="371">
        <f t="shared" si="22"/>
        <v>0.4</v>
      </c>
      <c r="CX118" s="1"/>
      <c r="CZ118" s="135"/>
      <c r="DA118" s="1"/>
    </row>
    <row r="119" spans="1:117" ht="15" customHeight="1" x14ac:dyDescent="0.3">
      <c r="A119" s="399" t="s">
        <v>296</v>
      </c>
      <c r="B119" s="631" t="s">
        <v>297</v>
      </c>
      <c r="C119" s="399" t="s">
        <v>22</v>
      </c>
      <c r="D119" s="399" t="s">
        <v>1042</v>
      </c>
      <c r="E119" s="403">
        <v>15001967</v>
      </c>
      <c r="F119" s="403" t="s">
        <v>397</v>
      </c>
      <c r="G119" s="682" t="s">
        <v>1625</v>
      </c>
      <c r="H119" s="666"/>
      <c r="I119" s="458">
        <v>127707</v>
      </c>
      <c r="J119" s="417"/>
      <c r="K119" s="417"/>
      <c r="L119" s="417" t="s">
        <v>1045</v>
      </c>
      <c r="M119" s="417"/>
      <c r="N119" s="444" t="s">
        <v>1046</v>
      </c>
      <c r="O119" s="418" t="s">
        <v>304</v>
      </c>
      <c r="P119" s="418" t="s">
        <v>15</v>
      </c>
      <c r="Q119" s="399" t="s">
        <v>305</v>
      </c>
      <c r="R119" s="399">
        <v>3020001074</v>
      </c>
      <c r="S119" s="419" t="s">
        <v>94</v>
      </c>
      <c r="T119" s="403"/>
      <c r="U119" s="403" t="s">
        <v>1047</v>
      </c>
      <c r="V119" s="403" t="s">
        <v>1048</v>
      </c>
      <c r="W119" s="350" t="s">
        <v>1049</v>
      </c>
      <c r="X119" s="399" t="s">
        <v>1050</v>
      </c>
      <c r="Y119" s="399"/>
      <c r="Z119" s="486">
        <v>1515000</v>
      </c>
      <c r="AA119" s="418">
        <v>36</v>
      </c>
      <c r="AB119" s="486">
        <v>109047</v>
      </c>
      <c r="AC119" s="409"/>
      <c r="AD119" s="410"/>
      <c r="AE119" s="399"/>
      <c r="AF119" s="399"/>
      <c r="AG119" s="399"/>
      <c r="AH119" s="399"/>
      <c r="AI119" s="403"/>
      <c r="AJ119" s="403"/>
      <c r="AK119" s="403"/>
      <c r="AL119" s="403"/>
      <c r="AM119" s="420"/>
      <c r="AN119" s="420"/>
      <c r="AO119" s="403"/>
      <c r="AP119" s="403"/>
      <c r="AQ119" s="403"/>
      <c r="AR119" s="403"/>
      <c r="AS119" s="403"/>
      <c r="AT119" s="403"/>
      <c r="AU119" s="399"/>
      <c r="AV119" s="420"/>
      <c r="AW119" s="420"/>
      <c r="AX119" s="420"/>
      <c r="AY119" s="420"/>
      <c r="AZ119" s="420"/>
      <c r="BA119" s="370"/>
      <c r="BB119" s="358"/>
      <c r="BC119" s="597" t="s">
        <v>1493</v>
      </c>
      <c r="BD119" s="597" t="s">
        <v>1658</v>
      </c>
      <c r="BE119" s="375">
        <v>1</v>
      </c>
      <c r="BF119" s="419" t="s">
        <v>315</v>
      </c>
      <c r="BG119" s="370"/>
      <c r="BH119" s="370"/>
      <c r="BI119" s="370"/>
      <c r="BJ119" s="370"/>
      <c r="BK119" s="487"/>
      <c r="BL119" s="488"/>
      <c r="BM119" s="358"/>
      <c r="BN119" s="358"/>
      <c r="BO119" s="370"/>
      <c r="BP119" s="487"/>
      <c r="BQ119" s="487"/>
      <c r="BR119" s="487"/>
      <c r="BS119" s="362">
        <f>SUM(Table14[[#This Row],[Jan-24]:[Dec-24]])</f>
        <v>0</v>
      </c>
      <c r="BT119" s="360"/>
      <c r="BU119" s="360"/>
      <c r="BV119" s="376"/>
      <c r="BW119" s="376"/>
      <c r="BX119" s="414">
        <v>635200</v>
      </c>
      <c r="BY119" s="414">
        <v>0</v>
      </c>
      <c r="BZ119" s="414">
        <v>0</v>
      </c>
      <c r="CA119" s="414">
        <v>0</v>
      </c>
      <c r="CB119" s="414">
        <v>144340</v>
      </c>
      <c r="CC119" s="414"/>
      <c r="CD119" s="414"/>
      <c r="CE119" s="414"/>
      <c r="CF119" s="362">
        <f>SUM(Table14[[#This Row],[Jan-25]:[Dec-25]])</f>
        <v>779540</v>
      </c>
      <c r="CG119" s="414">
        <v>0</v>
      </c>
      <c r="CH119" s="414">
        <v>0</v>
      </c>
      <c r="CI119" s="414">
        <v>0</v>
      </c>
      <c r="CJ119" s="414">
        <f>SUM(Table14[[#This Row],[Jan-26]:[Mar-26]])</f>
        <v>0</v>
      </c>
      <c r="CK119" s="531">
        <f>IFERROR(SUM(Table14[[#This Row],[Oct-25]:[Dec-25]],Table14[[#This Row],[Jan-26]:[Mar-26]])/COUNT(Table14[[#This Row],[Oct-25]:[Dec-25]],Table14[[#This Row],[Jan-26]:[Mar-26]]),0)</f>
        <v>0</v>
      </c>
      <c r="CL119" s="367"/>
      <c r="CM119" s="414">
        <f>Table14[[#This Row],[YTD 2024]]+Table14[[#This Row],[YTD 2025]]+Table14[[#This Row],[YTD 2026]]</f>
        <v>779540</v>
      </c>
      <c r="CN119" s="418">
        <v>5</v>
      </c>
      <c r="CO119" s="353">
        <f t="shared" si="23"/>
        <v>155908</v>
      </c>
      <c r="CP119" s="353">
        <f>Table14[[#This Row],[Unit Cost]]-Table14[[#This Row],[Margin on Reagent sale]]</f>
        <v>1203184</v>
      </c>
      <c r="CQ119" s="489">
        <v>-223571</v>
      </c>
      <c r="CR119" s="403" t="s">
        <v>343</v>
      </c>
      <c r="CS119" s="367">
        <f>Table14[[#This Row],[On Track / (behind) (avg per month)]]/Table14[[#This Row],[Months]]</f>
        <v>-44714.2</v>
      </c>
      <c r="CT119" s="368">
        <v>0.4</v>
      </c>
      <c r="CU119" s="367">
        <f>Table14[[#This Row],[Total Reagent Sales till date Actual]]*Table14[[#This Row],[Margin %]]</f>
        <v>311816</v>
      </c>
      <c r="CV119" s="371">
        <f t="shared" si="22"/>
        <v>0.4</v>
      </c>
      <c r="CX119" s="1"/>
      <c r="CZ119" s="135"/>
      <c r="DA119" s="1"/>
    </row>
    <row r="120" spans="1:117" ht="15" customHeight="1" x14ac:dyDescent="0.3">
      <c r="A120" s="399" t="s">
        <v>296</v>
      </c>
      <c r="B120" s="631" t="s">
        <v>297</v>
      </c>
      <c r="C120" s="399" t="s">
        <v>24</v>
      </c>
      <c r="D120" s="415" t="s">
        <v>31</v>
      </c>
      <c r="E120" s="403">
        <v>15002462</v>
      </c>
      <c r="F120" s="403" t="s">
        <v>298</v>
      </c>
      <c r="G120" s="449">
        <v>3002000009</v>
      </c>
      <c r="H120" s="669" t="s">
        <v>1051</v>
      </c>
      <c r="I120" s="416" t="s">
        <v>531</v>
      </c>
      <c r="J120" s="418" t="s">
        <v>1052</v>
      </c>
      <c r="K120" s="417" t="s">
        <v>1053</v>
      </c>
      <c r="L120" s="417" t="s">
        <v>1053</v>
      </c>
      <c r="M120" s="417" t="s">
        <v>303</v>
      </c>
      <c r="N120" s="417"/>
      <c r="O120" s="417" t="s">
        <v>1054</v>
      </c>
      <c r="P120" s="416" t="s">
        <v>15</v>
      </c>
      <c r="Q120" s="399" t="s">
        <v>1000</v>
      </c>
      <c r="R120" s="399">
        <v>3020001083</v>
      </c>
      <c r="S120" s="466" t="s">
        <v>167</v>
      </c>
      <c r="T120" s="431" t="s">
        <v>535</v>
      </c>
      <c r="U120" s="473" t="s">
        <v>536</v>
      </c>
      <c r="V120" s="474" t="s">
        <v>537</v>
      </c>
      <c r="W120" s="395" t="s">
        <v>538</v>
      </c>
      <c r="X120" s="471"/>
      <c r="Y120" s="475" t="s">
        <v>539</v>
      </c>
      <c r="Z120" s="476">
        <v>2675000</v>
      </c>
      <c r="AA120" s="428">
        <v>14</v>
      </c>
      <c r="AB120" s="477">
        <v>690432</v>
      </c>
      <c r="AC120" s="477"/>
      <c r="AD120" s="471"/>
      <c r="AE120" s="478"/>
      <c r="AF120" s="478"/>
      <c r="AG120" s="477"/>
      <c r="AH120" s="477"/>
      <c r="AI120" s="479"/>
      <c r="AJ120" s="479"/>
      <c r="AK120" s="479"/>
      <c r="AL120" s="479"/>
      <c r="AM120" s="479"/>
      <c r="AN120" s="479"/>
      <c r="AO120" s="471"/>
      <c r="AP120" s="471"/>
      <c r="AQ120" s="471"/>
      <c r="AR120" s="471"/>
      <c r="AS120" s="471"/>
      <c r="AT120" s="471"/>
      <c r="AU120" s="480"/>
      <c r="AV120" s="471"/>
      <c r="AW120" s="496" t="s">
        <v>1055</v>
      </c>
      <c r="AX120" s="430"/>
      <c r="AY120" s="430"/>
      <c r="AZ120" s="430"/>
      <c r="BA120" s="430"/>
      <c r="BB120" s="430"/>
      <c r="BC120" s="415"/>
      <c r="BD120" s="415"/>
      <c r="BE120" s="430"/>
      <c r="BF120" s="466"/>
      <c r="BG120" s="359"/>
      <c r="BH120" s="359"/>
      <c r="BI120" s="359"/>
      <c r="BJ120" s="359"/>
      <c r="BK120" s="359"/>
      <c r="BL120" s="359"/>
      <c r="BM120" s="359"/>
      <c r="BN120" s="359"/>
      <c r="BO120" s="359"/>
      <c r="BP120" s="359"/>
      <c r="BQ120" s="359"/>
      <c r="BR120" s="359"/>
      <c r="BS120" s="362">
        <f>SUM(Table14[[#This Row],[Jan-24]:[Dec-24]])</f>
        <v>0</v>
      </c>
      <c r="BT120" s="362"/>
      <c r="BU120" s="362"/>
      <c r="BV120" s="362"/>
      <c r="BW120" s="362"/>
      <c r="BX120" s="362"/>
      <c r="BY120" s="362"/>
      <c r="BZ120" s="362"/>
      <c r="CA120" s="362"/>
      <c r="CB120" s="362">
        <v>0</v>
      </c>
      <c r="CC120" s="362"/>
      <c r="CD120" s="362">
        <v>0</v>
      </c>
      <c r="CE120" s="362"/>
      <c r="CF120" s="362">
        <f>SUM(Table14[[#This Row],[Jan-25]:[Dec-25]])</f>
        <v>0</v>
      </c>
      <c r="CG120" s="362"/>
      <c r="CH120" s="362"/>
      <c r="CI120" s="362"/>
      <c r="CJ120" s="414">
        <f>SUM(Table14[[#This Row],[Jan-26]:[Mar-26]])</f>
        <v>0</v>
      </c>
      <c r="CK120" s="531">
        <f>IFERROR(SUM(Table14[[#This Row],[Oct-25]:[Dec-25]],Table14[[#This Row],[Jan-26]:[Mar-26]])/COUNT(Table14[[#This Row],[Oct-25]:[Dec-25]],Table14[[#This Row],[Jan-26]:[Mar-26]]),0)</f>
        <v>0</v>
      </c>
      <c r="CL120" s="359" t="s">
        <v>1056</v>
      </c>
      <c r="CM120" s="414">
        <f>Table14[[#This Row],[YTD 2024]]+Table14[[#This Row],[YTD 2025]]+Table14[[#This Row],[YTD 2026]]</f>
        <v>0</v>
      </c>
      <c r="CN120" s="366">
        <v>10</v>
      </c>
      <c r="CO120" s="353">
        <f t="shared" si="23"/>
        <v>0</v>
      </c>
      <c r="CP120" s="353">
        <f>Table14[[#This Row],[Unit Cost]]-Table14[[#This Row],[Margin on Reagent sale]]</f>
        <v>2675000</v>
      </c>
      <c r="CQ120" s="372">
        <f>Table14[[#This Row],[Avg reagent Sales per month Actual]]-Table14[[#This Row],[Per Month Reagent Commitment]]</f>
        <v>-690432</v>
      </c>
      <c r="CR120" s="403" t="s">
        <v>343</v>
      </c>
      <c r="CS120" s="367">
        <f>Table14[[#This Row],[On Track / (behind) (avg per month)]]/Table14[[#This Row],[Months]]</f>
        <v>-69043.199999999997</v>
      </c>
      <c r="CT120" s="368">
        <v>0.4</v>
      </c>
      <c r="CU120" s="367">
        <f>Table14[[#This Row],[Total Reagent Sales till date Actual]]*Table14[[#This Row],[Margin %]]</f>
        <v>0</v>
      </c>
      <c r="CV120" s="400">
        <f t="shared" si="22"/>
        <v>0.4</v>
      </c>
      <c r="CX120" s="1"/>
      <c r="CZ120" s="135"/>
      <c r="DA120" s="1"/>
    </row>
    <row r="121" spans="1:117" ht="15" customHeight="1" x14ac:dyDescent="0.3">
      <c r="A121" s="399" t="s">
        <v>344</v>
      </c>
      <c r="B121" s="630" t="s">
        <v>345</v>
      </c>
      <c r="C121" s="399" t="s">
        <v>52</v>
      </c>
      <c r="D121" s="415" t="s">
        <v>848</v>
      </c>
      <c r="E121" s="403">
        <v>15002705</v>
      </c>
      <c r="F121" s="403" t="s">
        <v>448</v>
      </c>
      <c r="G121" s="449"/>
      <c r="H121" s="666"/>
      <c r="I121" s="416"/>
      <c r="J121" s="417"/>
      <c r="K121" s="417"/>
      <c r="L121" s="417" t="s">
        <v>1057</v>
      </c>
      <c r="M121" s="417"/>
      <c r="N121" s="417"/>
      <c r="O121" s="418" t="s">
        <v>858</v>
      </c>
      <c r="P121" s="418" t="s">
        <v>16</v>
      </c>
      <c r="Q121" s="403" t="s">
        <v>1058</v>
      </c>
      <c r="R121" s="399">
        <v>3020001092</v>
      </c>
      <c r="S121" s="419" t="s">
        <v>137</v>
      </c>
      <c r="T121" s="403"/>
      <c r="U121" s="426"/>
      <c r="V121" s="403"/>
      <c r="W121" s="399"/>
      <c r="X121" s="399"/>
      <c r="Y121" s="399"/>
      <c r="Z121" s="353">
        <v>1904821</v>
      </c>
      <c r="AA121" s="418">
        <v>30</v>
      </c>
      <c r="AB121" s="353">
        <v>299183</v>
      </c>
      <c r="AC121" s="409"/>
      <c r="AD121" s="410"/>
      <c r="AE121" s="399"/>
      <c r="AF121" s="399"/>
      <c r="AG121" s="399"/>
      <c r="AH121" s="399"/>
      <c r="AI121" s="403"/>
      <c r="AJ121" s="403"/>
      <c r="AK121" s="403"/>
      <c r="AL121" s="403"/>
      <c r="AM121" s="420"/>
      <c r="AN121" s="420"/>
      <c r="AO121" s="403"/>
      <c r="AP121" s="403"/>
      <c r="AQ121" s="403"/>
      <c r="AR121" s="403"/>
      <c r="AS121" s="403"/>
      <c r="AT121" s="403"/>
      <c r="AU121" s="399"/>
      <c r="AV121" s="420"/>
      <c r="AW121" s="420"/>
      <c r="AX121" s="420"/>
      <c r="AY121" s="420"/>
      <c r="AZ121" s="420"/>
      <c r="BA121" s="370"/>
      <c r="BB121" s="358"/>
      <c r="BC121" s="595" t="s">
        <v>1531</v>
      </c>
      <c r="BD121" s="595" t="s">
        <v>1531</v>
      </c>
      <c r="BE121" s="358"/>
      <c r="BF121" s="419" t="s">
        <v>315</v>
      </c>
      <c r="BG121" s="370"/>
      <c r="BH121" s="370"/>
      <c r="BI121" s="370"/>
      <c r="BJ121" s="370"/>
      <c r="BK121" s="370"/>
      <c r="BL121" s="374"/>
      <c r="BM121" s="358"/>
      <c r="BN121" s="358"/>
      <c r="BO121" s="370"/>
      <c r="BP121" s="370"/>
      <c r="BQ121" s="370"/>
      <c r="BR121" s="370"/>
      <c r="BS121" s="362">
        <f>SUM(Table14[[#This Row],[Jan-24]:[Dec-24]])</f>
        <v>0</v>
      </c>
      <c r="BT121" s="360"/>
      <c r="BU121" s="360"/>
      <c r="BV121" s="376"/>
      <c r="BW121" s="376"/>
      <c r="BX121" s="376"/>
      <c r="BY121" s="376"/>
      <c r="BZ121" s="376"/>
      <c r="CA121" s="376"/>
      <c r="CB121" s="376"/>
      <c r="CC121" s="376"/>
      <c r="CD121" s="376"/>
      <c r="CE121" s="376"/>
      <c r="CF121" s="362">
        <f>SUM(Table14[[#This Row],[Jan-25]:[Dec-25]])</f>
        <v>0</v>
      </c>
      <c r="CG121" s="376">
        <v>368850</v>
      </c>
      <c r="CH121" s="376"/>
      <c r="CI121" s="376"/>
      <c r="CJ121" s="414">
        <f>SUM(Table14[[#This Row],[Jan-26]:[Mar-26]])</f>
        <v>368850</v>
      </c>
      <c r="CK121" s="531">
        <f>IFERROR(SUM(Table14[[#This Row],[Oct-25]:[Dec-25]],Table14[[#This Row],[Jan-26]:[Mar-26]])/COUNT(Table14[[#This Row],[Oct-25]:[Dec-25]],Table14[[#This Row],[Jan-26]:[Mar-26]]),0)</f>
        <v>368850</v>
      </c>
      <c r="CL121" s="367"/>
      <c r="CM121" s="414">
        <f>Table14[[#This Row],[YTD 2024]]+Table14[[#This Row],[YTD 2025]]+Table14[[#This Row],[YTD 2026]]</f>
        <v>368850</v>
      </c>
      <c r="CN121" s="418">
        <v>1</v>
      </c>
      <c r="CO121" s="353">
        <f t="shared" si="23"/>
        <v>368850</v>
      </c>
      <c r="CP121" s="353">
        <f>Table14[[#This Row],[Unit Cost]]-Table14[[#This Row],[Margin on Reagent sale]]</f>
        <v>1904821</v>
      </c>
      <c r="CQ121" s="367">
        <f>Table14[[#This Row],[Avg reagent Sales per month Actual]]-Table14[[#This Row],[Per Month Reagent Commitment]]</f>
        <v>69667</v>
      </c>
      <c r="CR121" s="373"/>
      <c r="CS121" s="367">
        <f>Table14[[#This Row],[On Track / (behind) (avg per month)]]/Table14[[#This Row],[Months]]</f>
        <v>69667</v>
      </c>
      <c r="CT121" s="399"/>
      <c r="CU121" s="367">
        <f>Table14[[#This Row],[Total Reagent Sales till date Actual]]*Table14[[#This Row],[Margin %]]</f>
        <v>0</v>
      </c>
      <c r="CV121" s="371">
        <f t="shared" si="22"/>
        <v>0</v>
      </c>
      <c r="CX121" s="1"/>
      <c r="CZ121" s="135"/>
      <c r="DA121" s="1"/>
    </row>
    <row r="122" spans="1:117" ht="15" customHeight="1" x14ac:dyDescent="0.3">
      <c r="A122" s="399" t="s">
        <v>693</v>
      </c>
      <c r="B122" s="630" t="s">
        <v>345</v>
      </c>
      <c r="C122" s="399" t="s">
        <v>25</v>
      </c>
      <c r="D122" s="415" t="s">
        <v>507</v>
      </c>
      <c r="E122" s="403">
        <v>15002673</v>
      </c>
      <c r="F122" s="403" t="s">
        <v>508</v>
      </c>
      <c r="G122" s="449"/>
      <c r="H122" s="666"/>
      <c r="I122" s="416"/>
      <c r="J122" s="417"/>
      <c r="K122" s="417"/>
      <c r="L122" s="417" t="s">
        <v>1059</v>
      </c>
      <c r="M122" s="417"/>
      <c r="N122" s="417"/>
      <c r="O122" s="418" t="s">
        <v>858</v>
      </c>
      <c r="P122" s="418" t="s">
        <v>15</v>
      </c>
      <c r="Q122" s="403" t="s">
        <v>305</v>
      </c>
      <c r="R122" s="399">
        <v>3020000135</v>
      </c>
      <c r="S122" s="419" t="s">
        <v>1510</v>
      </c>
      <c r="T122" s="403"/>
      <c r="U122" s="426"/>
      <c r="V122" s="403"/>
      <c r="W122" s="399"/>
      <c r="X122" s="399"/>
      <c r="Y122" s="399"/>
      <c r="Z122" s="486">
        <v>6101141</v>
      </c>
      <c r="AA122" s="418">
        <v>37</v>
      </c>
      <c r="AB122" s="486">
        <v>432965</v>
      </c>
      <c r="AC122" s="409"/>
      <c r="AD122" s="410"/>
      <c r="AE122" s="399"/>
      <c r="AF122" s="399"/>
      <c r="AG122" s="399"/>
      <c r="AH122" s="399"/>
      <c r="AI122" s="403"/>
      <c r="AJ122" s="403"/>
      <c r="AK122" s="403"/>
      <c r="AL122" s="403"/>
      <c r="AM122" s="420"/>
      <c r="AN122" s="420"/>
      <c r="AO122" s="403"/>
      <c r="AP122" s="403"/>
      <c r="AQ122" s="403"/>
      <c r="AR122" s="403"/>
      <c r="AS122" s="403"/>
      <c r="AT122" s="403"/>
      <c r="AU122" s="399"/>
      <c r="AV122" s="420"/>
      <c r="AW122" s="420"/>
      <c r="AX122" s="420"/>
      <c r="AY122" s="420"/>
      <c r="AZ122" s="420"/>
      <c r="BA122" s="370"/>
      <c r="BB122" s="358"/>
      <c r="BC122" s="595" t="s">
        <v>1505</v>
      </c>
      <c r="BD122" s="595" t="s">
        <v>1651</v>
      </c>
      <c r="BE122" s="358"/>
      <c r="BF122" s="358" t="s">
        <v>315</v>
      </c>
      <c r="BG122" s="370"/>
      <c r="BH122" s="370"/>
      <c r="BI122" s="370"/>
      <c r="BJ122" s="370"/>
      <c r="BK122" s="487"/>
      <c r="BL122" s="488"/>
      <c r="BM122" s="358"/>
      <c r="BN122" s="358"/>
      <c r="BO122" s="370"/>
      <c r="BP122" s="487"/>
      <c r="BQ122" s="487"/>
      <c r="BR122" s="487"/>
      <c r="BS122" s="362">
        <f>SUM(Table14[[#This Row],[Jan-24]:[Dec-24]])</f>
        <v>0</v>
      </c>
      <c r="BT122" s="360"/>
      <c r="BU122" s="360"/>
      <c r="BV122" s="376"/>
      <c r="BW122" s="376"/>
      <c r="BX122" s="376"/>
      <c r="BY122" s="376"/>
      <c r="BZ122" s="376"/>
      <c r="CA122" s="376"/>
      <c r="CB122" s="376"/>
      <c r="CC122" s="376"/>
      <c r="CD122" s="370"/>
      <c r="CE122" s="370"/>
      <c r="CF122" s="362">
        <f>SUM(Table14[[#This Row],[Jan-25]:[Dec-25]])</f>
        <v>0</v>
      </c>
      <c r="CG122" s="414">
        <v>404200</v>
      </c>
      <c r="CH122" s="414">
        <v>111800</v>
      </c>
      <c r="CI122" s="414">
        <v>725400</v>
      </c>
      <c r="CJ122" s="414">
        <f>SUM(Table14[[#This Row],[Jan-26]:[Mar-26]])</f>
        <v>1241400</v>
      </c>
      <c r="CK122" s="531">
        <f>IFERROR(SUM(Table14[[#This Row],[Oct-25]:[Dec-25]],Table14[[#This Row],[Jan-26]:[Mar-26]])/COUNT(Table14[[#This Row],[Oct-25]:[Dec-25]],Table14[[#This Row],[Jan-26]:[Mar-26]]),0)</f>
        <v>413800</v>
      </c>
      <c r="CL122" s="367"/>
      <c r="CM122" s="414">
        <f>Table14[[#This Row],[YTD 2024]]+Table14[[#This Row],[YTD 2025]]+Table14[[#This Row],[YTD 2026]]</f>
        <v>1241400</v>
      </c>
      <c r="CN122" s="418"/>
      <c r="CO122" s="486" t="e">
        <f t="shared" si="23"/>
        <v>#DIV/0!</v>
      </c>
      <c r="CP122" s="490"/>
      <c r="CQ122" s="489" t="e">
        <f>Table14[[#This Row],[Avg reagent Sales per month Actual]]-Table14[[#This Row],[Per Month Reagent Commitment]]</f>
        <v>#DIV/0!</v>
      </c>
      <c r="CR122" s="373"/>
      <c r="CS122" s="367" t="e">
        <f>Table14[[#This Row],[On Track / (behind) (avg per month)]]/Table14[[#This Row],[Months]]</f>
        <v>#DIV/0!</v>
      </c>
      <c r="CT122" s="491"/>
      <c r="CU122" s="367">
        <f>Table14[[#This Row],[Total Reagent Sales till date Actual]]*Table14[[#This Row],[Margin %]]</f>
        <v>0</v>
      </c>
      <c r="CV122" s="371">
        <f t="shared" si="22"/>
        <v>0</v>
      </c>
      <c r="CX122" s="1"/>
      <c r="CZ122" s="135"/>
      <c r="DA122" s="1"/>
    </row>
    <row r="123" spans="1:117" ht="15" customHeight="1" x14ac:dyDescent="0.3">
      <c r="A123" s="399" t="s">
        <v>693</v>
      </c>
      <c r="B123" s="630" t="s">
        <v>345</v>
      </c>
      <c r="C123" s="561" t="s">
        <v>51</v>
      </c>
      <c r="D123" s="555" t="s">
        <v>1060</v>
      </c>
      <c r="E123" s="403">
        <v>15003001</v>
      </c>
      <c r="F123" s="403" t="s">
        <v>508</v>
      </c>
      <c r="G123" s="449"/>
      <c r="H123" s="666"/>
      <c r="I123" s="416"/>
      <c r="J123" s="562"/>
      <c r="K123" s="417"/>
      <c r="L123" s="417" t="s">
        <v>1061</v>
      </c>
      <c r="M123" s="417"/>
      <c r="N123" s="417"/>
      <c r="O123" s="551" t="s">
        <v>400</v>
      </c>
      <c r="P123" s="551" t="s">
        <v>15</v>
      </c>
      <c r="Q123" s="548" t="s">
        <v>305</v>
      </c>
      <c r="R123" s="399">
        <v>3020001115</v>
      </c>
      <c r="S123" s="568" t="s">
        <v>135</v>
      </c>
      <c r="T123" s="403"/>
      <c r="U123" s="426"/>
      <c r="V123" s="403"/>
      <c r="W123" s="399"/>
      <c r="X123" s="399"/>
      <c r="Y123" s="399"/>
      <c r="Z123" s="556">
        <v>7395308</v>
      </c>
      <c r="AA123" s="551">
        <v>40</v>
      </c>
      <c r="AB123" s="556">
        <v>688873</v>
      </c>
      <c r="AC123" s="409"/>
      <c r="AD123" s="410"/>
      <c r="AE123" s="399"/>
      <c r="AF123" s="399"/>
      <c r="AG123" s="399"/>
      <c r="AH123" s="399"/>
      <c r="AI123" s="403"/>
      <c r="AJ123" s="403"/>
      <c r="AK123" s="403"/>
      <c r="AL123" s="403"/>
      <c r="AM123" s="420"/>
      <c r="AN123" s="420"/>
      <c r="AO123" s="403"/>
      <c r="AP123" s="403"/>
      <c r="AQ123" s="403"/>
      <c r="AR123" s="403"/>
      <c r="AS123" s="403"/>
      <c r="AT123" s="403"/>
      <c r="AU123" s="399"/>
      <c r="AV123" s="420"/>
      <c r="AW123" s="420"/>
      <c r="AX123" s="420"/>
      <c r="AY123" s="420"/>
      <c r="AZ123" s="420"/>
      <c r="BA123" s="370"/>
      <c r="BB123" s="358"/>
      <c r="BC123" s="599" t="s">
        <v>1496</v>
      </c>
      <c r="BD123" s="600" t="s">
        <v>1647</v>
      </c>
      <c r="BE123" s="358"/>
      <c r="BF123" s="543" t="s">
        <v>315</v>
      </c>
      <c r="BG123" s="370"/>
      <c r="BH123" s="370"/>
      <c r="BI123" s="370"/>
      <c r="BJ123" s="370"/>
      <c r="BK123" s="487"/>
      <c r="BL123" s="488"/>
      <c r="BM123" s="358"/>
      <c r="BN123" s="358"/>
      <c r="BO123" s="370"/>
      <c r="BP123" s="487"/>
      <c r="BQ123" s="487"/>
      <c r="BR123" s="487"/>
      <c r="BS123" s="362">
        <f>SUM(Table14[[#This Row],[Jan-24]:[Dec-24]])</f>
        <v>0</v>
      </c>
      <c r="BT123" s="360"/>
      <c r="BU123" s="360"/>
      <c r="BV123" s="376"/>
      <c r="BW123" s="376"/>
      <c r="BX123" s="376"/>
      <c r="BY123" s="376"/>
      <c r="BZ123" s="376"/>
      <c r="CA123" s="376"/>
      <c r="CB123" s="376"/>
      <c r="CC123" s="376"/>
      <c r="CD123" s="370"/>
      <c r="CE123" s="572"/>
      <c r="CF123" s="362">
        <f>SUM(Table14[[#This Row],[Jan-25]:[Dec-25]])</f>
        <v>0</v>
      </c>
      <c r="CG123" s="572"/>
      <c r="CH123" s="572"/>
      <c r="CI123" s="572"/>
      <c r="CJ123" s="414">
        <f>SUM(Table14[[#This Row],[Jan-26]:[Mar-26]])</f>
        <v>0</v>
      </c>
      <c r="CK123" s="531">
        <f>IFERROR(SUM(Table14[[#This Row],[Oct-25]:[Dec-25]],Table14[[#This Row],[Jan-26]:[Mar-26]])/COUNT(Table14[[#This Row],[Oct-25]:[Dec-25]],Table14[[#This Row],[Jan-26]:[Mar-26]]),0)</f>
        <v>0</v>
      </c>
      <c r="CL123" s="547"/>
      <c r="CM123" s="414">
        <f>Table14[[#This Row],[YTD 2024]]+Table14[[#This Row],[YTD 2025]]+Table14[[#This Row],[YTD 2026]]</f>
        <v>0</v>
      </c>
      <c r="CN123" s="551"/>
      <c r="CO123" s="556" t="e">
        <f t="shared" si="23"/>
        <v>#DIV/0!</v>
      </c>
      <c r="CP123" s="569"/>
      <c r="CQ123" s="559" t="e">
        <f>Table14[[#This Row],[Avg reagent Sales per month Actual]]-Table14[[#This Row],[Per Month Reagent Commitment]]</f>
        <v>#DIV/0!</v>
      </c>
      <c r="CR123" s="570"/>
      <c r="CS123" s="547" t="e">
        <f>Table14[[#This Row],[On Track / (behind) (avg per month)]]/Table14[[#This Row],[Months]]</f>
        <v>#DIV/0!</v>
      </c>
      <c r="CT123" s="560"/>
      <c r="CU123" s="547">
        <f>Table14[[#This Row],[Total Reagent Sales till date Actual]]*Table14[[#This Row],[Margin %]]</f>
        <v>0</v>
      </c>
      <c r="CV123" s="571">
        <f t="shared" si="22"/>
        <v>0</v>
      </c>
      <c r="CX123" s="1"/>
      <c r="CZ123" s="135"/>
      <c r="DA123" s="1"/>
    </row>
    <row r="124" spans="1:117" ht="15" customHeight="1" x14ac:dyDescent="0.3">
      <c r="A124" s="399" t="s">
        <v>344</v>
      </c>
      <c r="B124" s="630" t="s">
        <v>345</v>
      </c>
      <c r="C124" s="399" t="s">
        <v>21</v>
      </c>
      <c r="D124" s="415" t="s">
        <v>485</v>
      </c>
      <c r="E124" s="403">
        <v>15002760</v>
      </c>
      <c r="F124" s="403" t="s">
        <v>298</v>
      </c>
      <c r="G124" s="682">
        <v>3002000080</v>
      </c>
      <c r="H124" s="666"/>
      <c r="I124" s="682">
        <v>30006375</v>
      </c>
      <c r="J124" s="417"/>
      <c r="K124" s="417"/>
      <c r="L124" s="417"/>
      <c r="M124" s="417"/>
      <c r="N124" s="417"/>
      <c r="O124" s="418" t="s">
        <v>304</v>
      </c>
      <c r="P124" s="418" t="s">
        <v>16</v>
      </c>
      <c r="Q124" s="403" t="s">
        <v>349</v>
      </c>
      <c r="R124" s="399">
        <v>3020001124</v>
      </c>
      <c r="S124" s="419" t="s">
        <v>111</v>
      </c>
      <c r="T124" s="403"/>
      <c r="U124" s="426"/>
      <c r="V124" s="403"/>
      <c r="W124" s="399"/>
      <c r="X124" s="399"/>
      <c r="Y124" s="399"/>
      <c r="Z124" s="486">
        <v>18808000</v>
      </c>
      <c r="AA124" s="418"/>
      <c r="AB124" s="486">
        <v>3123750</v>
      </c>
      <c r="AC124" s="409"/>
      <c r="AD124" s="410"/>
      <c r="AE124" s="399"/>
      <c r="AF124" s="399"/>
      <c r="AG124" s="399"/>
      <c r="AH124" s="399"/>
      <c r="AI124" s="403"/>
      <c r="AJ124" s="403"/>
      <c r="AK124" s="403"/>
      <c r="AL124" s="403"/>
      <c r="AM124" s="420"/>
      <c r="AN124" s="420"/>
      <c r="AO124" s="403"/>
      <c r="AP124" s="403"/>
      <c r="AQ124" s="403"/>
      <c r="AR124" s="403"/>
      <c r="AS124" s="403"/>
      <c r="AT124" s="403"/>
      <c r="AU124" s="399"/>
      <c r="AV124" s="420"/>
      <c r="AW124" s="420"/>
      <c r="AX124" s="420"/>
      <c r="AY124" s="420"/>
      <c r="AZ124" s="420"/>
      <c r="BA124" s="370"/>
      <c r="BB124" s="358"/>
      <c r="BC124" s="595" t="s">
        <v>1534</v>
      </c>
      <c r="BD124" s="595" t="s">
        <v>1681</v>
      </c>
      <c r="BE124" s="358">
        <v>1</v>
      </c>
      <c r="BF124" s="419"/>
      <c r="BG124" s="370"/>
      <c r="BH124" s="370"/>
      <c r="BI124" s="370"/>
      <c r="BJ124" s="370"/>
      <c r="BK124" s="487"/>
      <c r="BL124" s="488"/>
      <c r="BM124" s="358"/>
      <c r="BN124" s="358"/>
      <c r="BO124" s="370"/>
      <c r="BP124" s="487"/>
      <c r="BQ124" s="487"/>
      <c r="BR124" s="487"/>
      <c r="BS124" s="362">
        <f>SUM(Table14[[#This Row],[Jan-24]:[Dec-24]])</f>
        <v>0</v>
      </c>
      <c r="BT124" s="360"/>
      <c r="BU124" s="360"/>
      <c r="BV124" s="376">
        <v>0</v>
      </c>
      <c r="BW124" s="376">
        <v>6230153</v>
      </c>
      <c r="BX124" s="376">
        <v>3749491.8000000003</v>
      </c>
      <c r="BY124" s="376">
        <v>19000</v>
      </c>
      <c r="BZ124" s="376">
        <v>0</v>
      </c>
      <c r="CA124" s="376">
        <v>0</v>
      </c>
      <c r="CB124" s="376">
        <v>0</v>
      </c>
      <c r="CC124" s="376">
        <v>0</v>
      </c>
      <c r="CD124" s="376"/>
      <c r="CE124" s="376"/>
      <c r="CF124" s="362">
        <f>SUM(Table14[[#This Row],[Jan-25]:[Dec-25]])</f>
        <v>9998644.8000000007</v>
      </c>
      <c r="CG124" s="376">
        <v>0</v>
      </c>
      <c r="CH124" s="376">
        <v>0</v>
      </c>
      <c r="CI124" s="376">
        <v>0</v>
      </c>
      <c r="CJ124" s="414">
        <f>SUM(Table14[[#This Row],[Jan-26]:[Mar-26]])</f>
        <v>0</v>
      </c>
      <c r="CK124" s="531">
        <f>IFERROR(SUM(Table14[[#This Row],[Oct-25]:[Dec-25]],Table14[[#This Row],[Jan-26]:[Mar-26]])/COUNT(Table14[[#This Row],[Oct-25]:[Dec-25]],Table14[[#This Row],[Jan-26]:[Mar-26]]),0)</f>
        <v>0</v>
      </c>
      <c r="CL124" s="367"/>
      <c r="CM124" s="414">
        <f>Table14[[#This Row],[YTD 2024]]+Table14[[#This Row],[YTD 2025]]+Table14[[#This Row],[YTD 2026]]</f>
        <v>9998644.8000000007</v>
      </c>
      <c r="CN124" s="418">
        <v>10</v>
      </c>
      <c r="CO124" s="486">
        <f t="shared" si="23"/>
        <v>999864.4800000001</v>
      </c>
      <c r="CP124" s="490"/>
      <c r="CQ124" s="489">
        <f>Table14[[#This Row],[Avg reagent Sales per month Actual]]-Table14[[#This Row],[Per Month Reagent Commitment]]</f>
        <v>-2123885.52</v>
      </c>
      <c r="CR124" s="373"/>
      <c r="CS124" s="367">
        <f>Table14[[#This Row],[On Track / (behind) (avg per month)]]/Table14[[#This Row],[Months]]</f>
        <v>-212388.552</v>
      </c>
      <c r="CT124" s="491"/>
      <c r="CU124" s="367">
        <f>Table14[[#This Row],[Total Reagent Sales till date Actual]]*Table14[[#This Row],[Margin %]]</f>
        <v>0</v>
      </c>
      <c r="CV124" s="371">
        <f t="shared" si="22"/>
        <v>0</v>
      </c>
      <c r="CX124" s="1"/>
      <c r="CZ124" s="135"/>
      <c r="DA124" s="1"/>
    </row>
    <row r="125" spans="1:117" ht="15" customHeight="1" x14ac:dyDescent="0.3">
      <c r="A125" s="399" t="s">
        <v>344</v>
      </c>
      <c r="B125" s="630" t="s">
        <v>345</v>
      </c>
      <c r="C125" s="399" t="s">
        <v>51</v>
      </c>
      <c r="D125" s="415" t="s">
        <v>1060</v>
      </c>
      <c r="E125" s="403">
        <v>15003001</v>
      </c>
      <c r="F125" s="403" t="s">
        <v>1062</v>
      </c>
      <c r="G125" s="449"/>
      <c r="H125" s="666"/>
      <c r="I125" s="416"/>
      <c r="J125" s="417"/>
      <c r="K125" s="417"/>
      <c r="L125" s="417" t="s">
        <v>1063</v>
      </c>
      <c r="M125" s="417"/>
      <c r="N125" s="417"/>
      <c r="O125" s="418" t="s">
        <v>858</v>
      </c>
      <c r="P125" s="418" t="s">
        <v>16</v>
      </c>
      <c r="Q125" s="403" t="s">
        <v>349</v>
      </c>
      <c r="R125" s="399">
        <v>3020001124</v>
      </c>
      <c r="S125" s="403" t="s">
        <v>171</v>
      </c>
      <c r="T125" s="403" t="s">
        <v>1064</v>
      </c>
      <c r="U125" s="426" t="s">
        <v>1065</v>
      </c>
      <c r="V125" s="403" t="s">
        <v>1066</v>
      </c>
      <c r="W125" s="382" t="s">
        <v>1067</v>
      </c>
      <c r="X125" s="399" t="s">
        <v>1068</v>
      </c>
      <c r="Y125" s="399" t="s">
        <v>1069</v>
      </c>
      <c r="Z125" s="353">
        <v>15492667</v>
      </c>
      <c r="AA125" s="418">
        <v>23</v>
      </c>
      <c r="AB125" s="353">
        <v>4804146</v>
      </c>
      <c r="AC125" s="409"/>
      <c r="AD125" s="410"/>
      <c r="AE125" s="399"/>
      <c r="AF125" s="399"/>
      <c r="AG125" s="399"/>
      <c r="AH125" s="399"/>
      <c r="AI125" s="403"/>
      <c r="AJ125" s="403"/>
      <c r="AK125" s="403"/>
      <c r="AL125" s="403"/>
      <c r="AM125" s="420"/>
      <c r="AN125" s="420"/>
      <c r="AO125" s="403"/>
      <c r="AP125" s="403"/>
      <c r="AQ125" s="403"/>
      <c r="AR125" s="403"/>
      <c r="AS125" s="403"/>
      <c r="AT125" s="403"/>
      <c r="AU125" s="399"/>
      <c r="AV125" s="420"/>
      <c r="AW125" s="420"/>
      <c r="AX125" s="420"/>
      <c r="AY125" s="420"/>
      <c r="AZ125" s="420"/>
      <c r="BA125" s="370"/>
      <c r="BB125" s="358"/>
      <c r="BC125" s="595" t="s">
        <v>1524</v>
      </c>
      <c r="BD125" s="595" t="s">
        <v>1493</v>
      </c>
      <c r="BE125" s="358">
        <v>1</v>
      </c>
      <c r="BF125" s="403" t="s">
        <v>1070</v>
      </c>
      <c r="BG125" s="370"/>
      <c r="BH125" s="370"/>
      <c r="BI125" s="370"/>
      <c r="BJ125" s="370"/>
      <c r="BK125" s="370"/>
      <c r="BL125" s="374"/>
      <c r="BM125" s="358"/>
      <c r="BN125" s="358"/>
      <c r="BO125" s="370"/>
      <c r="BP125" s="370"/>
      <c r="BQ125" s="370"/>
      <c r="BR125" s="370"/>
      <c r="BS125" s="362">
        <f>SUM(Table14[[#This Row],[Jan-24]:[Dec-24]])</f>
        <v>0</v>
      </c>
      <c r="BT125" s="360"/>
      <c r="BU125" s="360"/>
      <c r="BV125" s="376"/>
      <c r="BW125" s="376"/>
      <c r="BX125" s="376"/>
      <c r="BY125" s="376"/>
      <c r="BZ125" s="376"/>
      <c r="CA125" s="376"/>
      <c r="CB125" s="376"/>
      <c r="CC125" s="376"/>
      <c r="CD125" s="376">
        <v>2462400</v>
      </c>
      <c r="CE125" s="414">
        <v>16873200</v>
      </c>
      <c r="CF125" s="362">
        <f>SUM(Table14[[#This Row],[Jan-25]:[Dec-25]])</f>
        <v>19335600</v>
      </c>
      <c r="CG125" s="414"/>
      <c r="CH125" s="414"/>
      <c r="CI125" s="414"/>
      <c r="CJ125" s="414">
        <f>SUM(Table14[[#This Row],[Jan-26]:[Mar-26]])</f>
        <v>0</v>
      </c>
      <c r="CK125" s="531">
        <f>IFERROR(SUM(Table14[[#This Row],[Oct-25]:[Dec-25]],Table14[[#This Row],[Jan-26]:[Mar-26]])/COUNT(Table14[[#This Row],[Oct-25]:[Dec-25]],Table14[[#This Row],[Jan-26]:[Mar-26]]),0)</f>
        <v>9667800</v>
      </c>
      <c r="CL125" s="367"/>
      <c r="CM125" s="414">
        <f>Table14[[#This Row],[YTD 2024]]+Table14[[#This Row],[YTD 2025]]+Table14[[#This Row],[YTD 2026]]</f>
        <v>19335600</v>
      </c>
      <c r="CN125" s="418">
        <v>3</v>
      </c>
      <c r="CO125" s="353">
        <f t="shared" si="23"/>
        <v>6445200</v>
      </c>
      <c r="CP125" s="351"/>
      <c r="CQ125" s="367">
        <f>Table14[[#This Row],[Avg reagent Sales per month Actual]]-Table14[[#This Row],[Per Month Reagent Commitment]]</f>
        <v>1641054</v>
      </c>
      <c r="CR125" s="373"/>
      <c r="CS125" s="367">
        <f>Table14[[#This Row],[On Track / (behind) (avg per month)]]/Table14[[#This Row],[Months]]</f>
        <v>547018</v>
      </c>
      <c r="CT125" s="399"/>
      <c r="CU125" s="367">
        <f>Table14[[#This Row],[Total Reagent Sales till date Actual]]*Table14[[#This Row],[Margin %]]</f>
        <v>0</v>
      </c>
      <c r="CV125" s="371">
        <f t="shared" si="22"/>
        <v>0</v>
      </c>
      <c r="CX125" s="1"/>
      <c r="CZ125" s="135"/>
      <c r="DA125" s="1"/>
    </row>
    <row r="126" spans="1:117" ht="15" customHeight="1" x14ac:dyDescent="0.3">
      <c r="A126" s="399" t="s">
        <v>423</v>
      </c>
      <c r="B126" s="630" t="s">
        <v>297</v>
      </c>
      <c r="C126" s="399" t="s">
        <v>24</v>
      </c>
      <c r="D126" s="415" t="s">
        <v>35</v>
      </c>
      <c r="E126" s="403">
        <v>15002553</v>
      </c>
      <c r="F126" s="403" t="s">
        <v>298</v>
      </c>
      <c r="G126" s="449"/>
      <c r="H126" s="666"/>
      <c r="I126" s="416"/>
      <c r="J126" s="417"/>
      <c r="K126" s="417"/>
      <c r="L126" s="417" t="s">
        <v>1071</v>
      </c>
      <c r="M126" s="417"/>
      <c r="N126" s="417"/>
      <c r="O126" s="418" t="s">
        <v>304</v>
      </c>
      <c r="P126" s="418" t="s">
        <v>16</v>
      </c>
      <c r="Q126" s="403" t="s">
        <v>1072</v>
      </c>
      <c r="R126" s="399">
        <v>3020001131</v>
      </c>
      <c r="S126" s="419" t="s">
        <v>103</v>
      </c>
      <c r="T126" s="403"/>
      <c r="U126" s="426"/>
      <c r="V126" s="403"/>
      <c r="W126" s="399"/>
      <c r="X126" s="399"/>
      <c r="Y126" s="399"/>
      <c r="Z126" s="486">
        <v>3032232</v>
      </c>
      <c r="AA126" s="418">
        <v>36</v>
      </c>
      <c r="AB126" s="486">
        <v>147374</v>
      </c>
      <c r="AC126" s="409"/>
      <c r="AD126" s="410"/>
      <c r="AE126" s="399"/>
      <c r="AF126" s="399"/>
      <c r="AG126" s="399"/>
      <c r="AH126" s="399"/>
      <c r="AI126" s="403"/>
      <c r="AJ126" s="403"/>
      <c r="AK126" s="403"/>
      <c r="AL126" s="403"/>
      <c r="AM126" s="420"/>
      <c r="AN126" s="420"/>
      <c r="AO126" s="403"/>
      <c r="AP126" s="403"/>
      <c r="AQ126" s="403"/>
      <c r="AR126" s="403"/>
      <c r="AS126" s="403"/>
      <c r="AT126" s="403"/>
      <c r="AU126" s="399"/>
      <c r="AV126" s="420"/>
      <c r="AW126" s="420"/>
      <c r="AX126" s="420"/>
      <c r="AY126" s="420"/>
      <c r="AZ126" s="420"/>
      <c r="BA126" s="370"/>
      <c r="BB126" s="358"/>
      <c r="BC126" s="595" t="s">
        <v>1524</v>
      </c>
      <c r="BD126" s="595" t="s">
        <v>1524</v>
      </c>
      <c r="BE126" s="358">
        <v>1</v>
      </c>
      <c r="BF126" s="419" t="s">
        <v>315</v>
      </c>
      <c r="BG126" s="370"/>
      <c r="BH126" s="370"/>
      <c r="BI126" s="370"/>
      <c r="BJ126" s="370"/>
      <c r="BK126" s="487"/>
      <c r="BL126" s="488"/>
      <c r="BM126" s="358"/>
      <c r="BN126" s="358"/>
      <c r="BO126" s="370"/>
      <c r="BP126" s="487"/>
      <c r="BQ126" s="487"/>
      <c r="BR126" s="487"/>
      <c r="BS126" s="362">
        <f>SUM(Table14[[#This Row],[Jan-24]:[Dec-24]])</f>
        <v>0</v>
      </c>
      <c r="BT126" s="360"/>
      <c r="BU126" s="360"/>
      <c r="BV126" s="376"/>
      <c r="BW126" s="376"/>
      <c r="BX126" s="376"/>
      <c r="BY126" s="376"/>
      <c r="BZ126" s="376"/>
      <c r="CA126" s="376"/>
      <c r="CB126" s="376">
        <v>251840</v>
      </c>
      <c r="CC126" s="376">
        <v>381770</v>
      </c>
      <c r="CD126" s="376">
        <v>0</v>
      </c>
      <c r="CE126" s="376"/>
      <c r="CF126" s="362">
        <f>SUM(Table14[[#This Row],[Jan-25]:[Dec-25]])</f>
        <v>633610</v>
      </c>
      <c r="CG126" s="376"/>
      <c r="CH126" s="376"/>
      <c r="CI126" s="376">
        <v>391470</v>
      </c>
      <c r="CJ126" s="414">
        <f>SUM(Table14[[#This Row],[Jan-26]:[Mar-26]])</f>
        <v>391470</v>
      </c>
      <c r="CK126" s="531">
        <f>IFERROR(SUM(Table14[[#This Row],[Oct-25]:[Dec-25]],Table14[[#This Row],[Jan-26]:[Mar-26]])/COUNT(Table14[[#This Row],[Oct-25]:[Dec-25]],Table14[[#This Row],[Jan-26]:[Mar-26]]),0)</f>
        <v>257746.66666666666</v>
      </c>
      <c r="CL126" s="367"/>
      <c r="CM126" s="414">
        <f>Table14[[#This Row],[YTD 2024]]+Table14[[#This Row],[YTD 2025]]+Table14[[#This Row],[YTD 2026]]</f>
        <v>1025080</v>
      </c>
      <c r="CN126" s="418">
        <v>3</v>
      </c>
      <c r="CO126" s="486">
        <f t="shared" si="23"/>
        <v>341693.33333333331</v>
      </c>
      <c r="CP126" s="490"/>
      <c r="CQ126" s="489">
        <f>Table14[[#This Row],[Avg reagent Sales per month Actual]]-Table14[[#This Row],[Per Month Reagent Commitment]]</f>
        <v>194319.33333333331</v>
      </c>
      <c r="CR126" s="373"/>
      <c r="CS126" s="367">
        <f>Table14[[#This Row],[On Track / (behind) (avg per month)]]/Table14[[#This Row],[Months]]</f>
        <v>64773.111111111102</v>
      </c>
      <c r="CT126" s="491"/>
      <c r="CU126" s="367">
        <f>Table14[[#This Row],[Total Reagent Sales till date Actual]]*Table14[[#This Row],[Margin %]]</f>
        <v>0</v>
      </c>
      <c r="CV126" s="371">
        <f t="shared" si="22"/>
        <v>0</v>
      </c>
      <c r="CW126" s="230"/>
      <c r="CX126" s="1"/>
      <c r="CZ126" s="230"/>
      <c r="DA126" s="1"/>
    </row>
    <row r="127" spans="1:117" ht="15" customHeight="1" x14ac:dyDescent="0.3">
      <c r="A127" s="399" t="s">
        <v>423</v>
      </c>
      <c r="B127" s="629" t="s">
        <v>297</v>
      </c>
      <c r="C127" s="399" t="s">
        <v>24</v>
      </c>
      <c r="D127" s="415" t="s">
        <v>32</v>
      </c>
      <c r="E127" s="403">
        <v>15002462</v>
      </c>
      <c r="F127" s="403" t="s">
        <v>298</v>
      </c>
      <c r="G127" s="449">
        <v>3002000028</v>
      </c>
      <c r="H127" s="409" t="s">
        <v>299</v>
      </c>
      <c r="I127" s="416" t="s">
        <v>1073</v>
      </c>
      <c r="J127" s="417" t="s">
        <v>833</v>
      </c>
      <c r="K127" s="417" t="s">
        <v>1074</v>
      </c>
      <c r="L127" s="417" t="s">
        <v>835</v>
      </c>
      <c r="M127" s="417" t="s">
        <v>303</v>
      </c>
      <c r="N127" s="417"/>
      <c r="O127" s="416" t="s">
        <v>304</v>
      </c>
      <c r="P127" s="418" t="s">
        <v>16</v>
      </c>
      <c r="Q127" s="399" t="s">
        <v>973</v>
      </c>
      <c r="R127" s="399">
        <v>3020001141</v>
      </c>
      <c r="S127" s="415" t="s">
        <v>113</v>
      </c>
      <c r="T127" s="403" t="s">
        <v>1075</v>
      </c>
      <c r="U127" s="403" t="s">
        <v>1076</v>
      </c>
      <c r="V127" s="403" t="s">
        <v>1077</v>
      </c>
      <c r="W127" s="350" t="s">
        <v>425</v>
      </c>
      <c r="X127" s="399" t="s">
        <v>1078</v>
      </c>
      <c r="Y127" s="399"/>
      <c r="Z127" s="353">
        <v>3706000</v>
      </c>
      <c r="AA127" s="366">
        <v>15</v>
      </c>
      <c r="AB127" s="353">
        <v>541370</v>
      </c>
      <c r="AC127" s="423"/>
      <c r="AD127" s="424"/>
      <c r="AE127" s="424" t="s">
        <v>1079</v>
      </c>
      <c r="AF127" s="424" t="s">
        <v>957</v>
      </c>
      <c r="AG127" s="424" t="s">
        <v>1080</v>
      </c>
      <c r="AH127" s="424" t="s">
        <v>1081</v>
      </c>
      <c r="AI127" s="409" t="s">
        <v>1082</v>
      </c>
      <c r="AJ127" s="409" t="s">
        <v>1083</v>
      </c>
      <c r="AK127" s="409" t="s">
        <v>1084</v>
      </c>
      <c r="AL127" s="409" t="s">
        <v>1085</v>
      </c>
      <c r="AM127" s="425"/>
      <c r="AN127" s="425"/>
      <c r="AO127" s="409"/>
      <c r="AP127" s="409"/>
      <c r="AQ127" s="409"/>
      <c r="AR127" s="409"/>
      <c r="AS127" s="409"/>
      <c r="AT127" s="409"/>
      <c r="AU127" s="409" t="s">
        <v>312</v>
      </c>
      <c r="AV127" s="409"/>
      <c r="AW127" s="409"/>
      <c r="AX127" s="409"/>
      <c r="AY127" s="409"/>
      <c r="AZ127" s="409"/>
      <c r="BA127" s="409"/>
      <c r="BB127" s="409"/>
      <c r="BC127" s="595" t="s">
        <v>1524</v>
      </c>
      <c r="BD127" s="595" t="s">
        <v>1524</v>
      </c>
      <c r="BE127" s="358">
        <v>1</v>
      </c>
      <c r="BF127" s="419" t="s">
        <v>315</v>
      </c>
      <c r="BG127" s="363">
        <v>640175</v>
      </c>
      <c r="BH127" s="363">
        <v>530975</v>
      </c>
      <c r="BI127" s="363">
        <v>569950</v>
      </c>
      <c r="BJ127" s="363">
        <v>469775</v>
      </c>
      <c r="BK127" s="363">
        <v>561800</v>
      </c>
      <c r="BL127" s="363">
        <v>577100</v>
      </c>
      <c r="BM127" s="363">
        <v>873725</v>
      </c>
      <c r="BN127" s="363">
        <v>747100</v>
      </c>
      <c r="BO127" s="363">
        <v>811225</v>
      </c>
      <c r="BP127" s="363">
        <v>365700</v>
      </c>
      <c r="BQ127" s="363">
        <v>855075</v>
      </c>
      <c r="BR127" s="363">
        <v>583900</v>
      </c>
      <c r="BS127" s="362">
        <f>SUM(Table14[[#This Row],[Jan-24]:[Dec-24]])</f>
        <v>7586500</v>
      </c>
      <c r="BT127" s="414">
        <v>672050</v>
      </c>
      <c r="BU127" s="414">
        <v>462125</v>
      </c>
      <c r="BV127" s="414">
        <v>422120</v>
      </c>
      <c r="BW127" s="421">
        <v>576650</v>
      </c>
      <c r="BX127" s="414">
        <v>634525</v>
      </c>
      <c r="BY127" s="414">
        <v>468775</v>
      </c>
      <c r="BZ127" s="414">
        <v>514375</v>
      </c>
      <c r="CA127" s="414">
        <v>574200</v>
      </c>
      <c r="CB127" s="414">
        <v>505350</v>
      </c>
      <c r="CC127" s="414">
        <v>359125</v>
      </c>
      <c r="CD127" s="414">
        <v>714925</v>
      </c>
      <c r="CE127" s="414">
        <v>377400</v>
      </c>
      <c r="CF127" s="362">
        <f>SUM(Table14[[#This Row],[Jan-25]:[Dec-25]])</f>
        <v>6281620</v>
      </c>
      <c r="CG127" s="414">
        <v>574900</v>
      </c>
      <c r="CH127" s="414">
        <v>986225</v>
      </c>
      <c r="CI127" s="414">
        <v>843500</v>
      </c>
      <c r="CJ127" s="414">
        <f>SUM(Table14[[#This Row],[Jan-26]:[Mar-26]])</f>
        <v>2404625</v>
      </c>
      <c r="CK127" s="531">
        <f>IFERROR(SUM(Table14[[#This Row],[Oct-25]:[Dec-25]],Table14[[#This Row],[Jan-26]:[Mar-26]])/COUNT(Table14[[#This Row],[Oct-25]:[Dec-25]],Table14[[#This Row],[Jan-26]:[Mar-26]]),0)</f>
        <v>642679.16666666663</v>
      </c>
      <c r="CL127" s="363"/>
      <c r="CM127" s="414">
        <f>Table14[[#This Row],[YTD 2024]]+Table14[[#This Row],[YTD 2025]]+Table14[[#This Row],[YTD 2026]]</f>
        <v>16272745</v>
      </c>
      <c r="CN127" s="366">
        <v>35</v>
      </c>
      <c r="CO127" s="353">
        <f t="shared" si="23"/>
        <v>464935.57142857142</v>
      </c>
      <c r="CP127" s="353">
        <f>Table14[[#This Row],[Unit Cost]]-Table14[[#This Row],[Margin on Reagent sale]]</f>
        <v>-2803098</v>
      </c>
      <c r="CQ127" s="372">
        <f>Table14[[#This Row],[Avg reagent Sales per month Actual]]-Table14[[#This Row],[Per Month Reagent Commitment]]</f>
        <v>-76434.42857142858</v>
      </c>
      <c r="CR127" s="403" t="s">
        <v>316</v>
      </c>
      <c r="CS127" s="367">
        <f>Table14[[#This Row],[On Track / (behind) (avg per month)]]/Table14[[#This Row],[Months]]</f>
        <v>-2183.8408163265308</v>
      </c>
      <c r="CT127" s="368">
        <v>0.4</v>
      </c>
      <c r="CU127" s="367">
        <f>Table14[[#This Row],[Total Reagent Sales till date Actual]]*Table14[[#This Row],[Margin %]]</f>
        <v>6509098</v>
      </c>
      <c r="CV127" s="400">
        <f t="shared" si="22"/>
        <v>0.4</v>
      </c>
      <c r="CX127" s="1"/>
      <c r="CZ127" s="135"/>
      <c r="DA127" s="1"/>
    </row>
    <row r="128" spans="1:117" ht="15" customHeight="1" x14ac:dyDescent="0.3">
      <c r="A128" s="399" t="s">
        <v>693</v>
      </c>
      <c r="B128" s="630" t="s">
        <v>345</v>
      </c>
      <c r="C128" s="399" t="s">
        <v>25</v>
      </c>
      <c r="D128" s="415" t="s">
        <v>38</v>
      </c>
      <c r="E128" s="403">
        <v>15002674</v>
      </c>
      <c r="F128" s="403" t="s">
        <v>649</v>
      </c>
      <c r="G128" s="449"/>
      <c r="H128" s="666"/>
      <c r="I128" s="428" t="s">
        <v>1086</v>
      </c>
      <c r="J128" s="417"/>
      <c r="K128" s="417"/>
      <c r="L128" s="417" t="s">
        <v>828</v>
      </c>
      <c r="M128" s="417"/>
      <c r="N128" s="417"/>
      <c r="O128" s="418" t="s">
        <v>304</v>
      </c>
      <c r="P128" s="418" t="s">
        <v>15</v>
      </c>
      <c r="Q128" s="403" t="s">
        <v>305</v>
      </c>
      <c r="R128" s="399">
        <v>3020001174</v>
      </c>
      <c r="S128" s="419" t="s">
        <v>127</v>
      </c>
      <c r="T128" s="403"/>
      <c r="U128" s="426"/>
      <c r="V128" s="403"/>
      <c r="W128" s="399"/>
      <c r="X128" s="399"/>
      <c r="Y128" s="399"/>
      <c r="Z128" s="486">
        <v>633821</v>
      </c>
      <c r="AA128" s="418">
        <v>22</v>
      </c>
      <c r="AB128" s="486">
        <v>63930</v>
      </c>
      <c r="AC128" s="409"/>
      <c r="AD128" s="410"/>
      <c r="AE128" s="399"/>
      <c r="AF128" s="399"/>
      <c r="AG128" s="399"/>
      <c r="AH128" s="399"/>
      <c r="AI128" s="403"/>
      <c r="AJ128" s="403"/>
      <c r="AK128" s="403"/>
      <c r="AL128" s="403"/>
      <c r="AM128" s="420"/>
      <c r="AN128" s="420"/>
      <c r="AO128" s="403"/>
      <c r="AP128" s="403"/>
      <c r="AQ128" s="403"/>
      <c r="AR128" s="403"/>
      <c r="AS128" s="403"/>
      <c r="AT128" s="403"/>
      <c r="AU128" s="399"/>
      <c r="AV128" s="420"/>
      <c r="AW128" s="420"/>
      <c r="AX128" s="420"/>
      <c r="AY128" s="420"/>
      <c r="AZ128" s="420"/>
      <c r="BA128" s="370"/>
      <c r="BB128" s="358"/>
      <c r="BC128" s="415" t="s">
        <v>1511</v>
      </c>
      <c r="BD128" s="415" t="s">
        <v>1652</v>
      </c>
      <c r="BE128" s="358">
        <v>1</v>
      </c>
      <c r="BF128" s="419" t="s">
        <v>315</v>
      </c>
      <c r="BG128" s="370"/>
      <c r="BH128" s="370"/>
      <c r="BI128" s="370"/>
      <c r="BJ128" s="370"/>
      <c r="BK128" s="487"/>
      <c r="BL128" s="488"/>
      <c r="BM128" s="358"/>
      <c r="BN128" s="358"/>
      <c r="BO128" s="370"/>
      <c r="BP128" s="487"/>
      <c r="BQ128" s="487"/>
      <c r="BR128" s="487"/>
      <c r="BS128" s="362">
        <f>SUM(Table14[[#This Row],[Jan-24]:[Dec-24]])</f>
        <v>0</v>
      </c>
      <c r="BT128" s="360"/>
      <c r="BU128" s="360"/>
      <c r="BV128" s="376"/>
      <c r="BW128" s="376"/>
      <c r="BX128" s="376"/>
      <c r="BY128" s="376"/>
      <c r="BZ128" s="376"/>
      <c r="CA128" s="376"/>
      <c r="CB128" s="376">
        <v>87100</v>
      </c>
      <c r="CC128" s="376"/>
      <c r="CD128" s="376"/>
      <c r="CE128" s="376"/>
      <c r="CF128" s="362">
        <f>SUM(Table14[[#This Row],[Jan-25]:[Dec-25]])</f>
        <v>87100</v>
      </c>
      <c r="CG128" s="376">
        <v>0</v>
      </c>
      <c r="CH128" s="376">
        <v>0</v>
      </c>
      <c r="CI128" s="376">
        <v>0</v>
      </c>
      <c r="CJ128" s="414">
        <f>SUM(Table14[[#This Row],[Jan-26]:[Mar-26]])</f>
        <v>0</v>
      </c>
      <c r="CK128" s="531">
        <f>IFERROR(SUM(Table14[[#This Row],[Oct-25]:[Dec-25]],Table14[[#This Row],[Jan-26]:[Mar-26]])/COUNT(Table14[[#This Row],[Oct-25]:[Dec-25]],Table14[[#This Row],[Jan-26]:[Mar-26]]),0)</f>
        <v>0</v>
      </c>
      <c r="CL128" s="367"/>
      <c r="CM128" s="414">
        <f>Table14[[#This Row],[YTD 2024]]+Table14[[#This Row],[YTD 2025]]+Table14[[#This Row],[YTD 2026]]</f>
        <v>87100</v>
      </c>
      <c r="CN128" s="418">
        <v>5</v>
      </c>
      <c r="CO128" s="486">
        <f t="shared" si="23"/>
        <v>17420</v>
      </c>
      <c r="CP128" s="490"/>
      <c r="CQ128" s="489">
        <f>Table14[[#This Row],[Avg reagent Sales per month Actual]]-Table14[[#This Row],[Per Month Reagent Commitment]]</f>
        <v>-46510</v>
      </c>
      <c r="CR128" s="373"/>
      <c r="CS128" s="367">
        <f>Table14[[#This Row],[On Track / (behind) (avg per month)]]/Table14[[#This Row],[Months]]</f>
        <v>-9302</v>
      </c>
      <c r="CT128" s="491"/>
      <c r="CU128" s="367">
        <f>Table14[[#This Row],[Total Reagent Sales till date Actual]]*Table14[[#This Row],[Margin %]]</f>
        <v>0</v>
      </c>
      <c r="CV128" s="371">
        <f t="shared" si="22"/>
        <v>0</v>
      </c>
      <c r="CX128" s="1"/>
      <c r="CZ128" s="135"/>
      <c r="DA128" s="1"/>
    </row>
    <row r="129" spans="1:105" ht="15" customHeight="1" x14ac:dyDescent="0.3">
      <c r="A129" s="399" t="s">
        <v>511</v>
      </c>
      <c r="B129" s="629" t="s">
        <v>345</v>
      </c>
      <c r="C129" s="399" t="s">
        <v>25</v>
      </c>
      <c r="D129" s="415" t="s">
        <v>1087</v>
      </c>
      <c r="E129" s="403">
        <v>15002668</v>
      </c>
      <c r="F129" s="403" t="s">
        <v>403</v>
      </c>
      <c r="G129" s="449">
        <v>3002000074</v>
      </c>
      <c r="H129" s="666"/>
      <c r="I129" s="416" t="s">
        <v>1088</v>
      </c>
      <c r="J129" s="417"/>
      <c r="K129" s="417"/>
      <c r="L129" s="417" t="s">
        <v>1089</v>
      </c>
      <c r="M129" s="417"/>
      <c r="N129" s="417"/>
      <c r="O129" s="418" t="s">
        <v>304</v>
      </c>
      <c r="P129" s="418" t="s">
        <v>15</v>
      </c>
      <c r="Q129" s="399" t="s">
        <v>401</v>
      </c>
      <c r="R129" s="399">
        <v>3020001175</v>
      </c>
      <c r="S129" s="420" t="s">
        <v>56</v>
      </c>
      <c r="T129" s="403"/>
      <c r="U129" s="426"/>
      <c r="V129" s="403"/>
      <c r="W129" s="399"/>
      <c r="X129" s="399"/>
      <c r="Y129" s="399"/>
      <c r="Z129" s="353">
        <v>483475</v>
      </c>
      <c r="AA129" s="418">
        <v>6</v>
      </c>
      <c r="AB129" s="353">
        <v>143250</v>
      </c>
      <c r="AC129" s="409"/>
      <c r="AD129" s="410"/>
      <c r="AE129" s="399"/>
      <c r="AF129" s="399"/>
      <c r="AG129" s="399"/>
      <c r="AH129" s="399"/>
      <c r="AI129" s="403"/>
      <c r="AJ129" s="403"/>
      <c r="AK129" s="403"/>
      <c r="AL129" s="403"/>
      <c r="AM129" s="420"/>
      <c r="AN129" s="420"/>
      <c r="AO129" s="403"/>
      <c r="AP129" s="403"/>
      <c r="AQ129" s="403"/>
      <c r="AR129" s="403"/>
      <c r="AS129" s="403"/>
      <c r="AT129" s="403"/>
      <c r="AU129" s="399" t="e">
        <v>#N/A</v>
      </c>
      <c r="AV129" s="420"/>
      <c r="AW129" s="420"/>
      <c r="AX129" s="420"/>
      <c r="AY129" s="420"/>
      <c r="AZ129" s="420"/>
      <c r="BA129" s="370"/>
      <c r="BB129" s="370"/>
      <c r="BC129" s="597" t="s">
        <v>1501</v>
      </c>
      <c r="BD129" s="595" t="s">
        <v>1653</v>
      </c>
      <c r="BE129" s="375">
        <v>1</v>
      </c>
      <c r="BF129" s="420" t="s">
        <v>315</v>
      </c>
      <c r="BG129" s="370"/>
      <c r="BH129" s="370"/>
      <c r="BI129" s="370"/>
      <c r="BJ129" s="370"/>
      <c r="BK129" s="370"/>
      <c r="BL129" s="374"/>
      <c r="BM129" s="358"/>
      <c r="BN129" s="358"/>
      <c r="BO129" s="370"/>
      <c r="BP129" s="370"/>
      <c r="BQ129" s="370"/>
      <c r="BR129" s="370"/>
      <c r="BS129" s="362">
        <f>SUM(Table14[[#This Row],[Jan-24]:[Dec-24]])</f>
        <v>0</v>
      </c>
      <c r="BT129" s="362"/>
      <c r="BU129" s="362"/>
      <c r="BV129" s="362"/>
      <c r="BW129" s="362"/>
      <c r="BX129" s="362">
        <v>0</v>
      </c>
      <c r="BY129" s="362">
        <v>154153</v>
      </c>
      <c r="BZ129" s="362">
        <v>0</v>
      </c>
      <c r="CA129" s="362">
        <v>0</v>
      </c>
      <c r="CB129" s="362">
        <v>150763</v>
      </c>
      <c r="CC129" s="362">
        <v>0</v>
      </c>
      <c r="CD129" s="362">
        <v>0</v>
      </c>
      <c r="CE129" s="362">
        <v>0</v>
      </c>
      <c r="CF129" s="362">
        <f>SUM(Table14[[#This Row],[Jan-25]:[Dec-25]])</f>
        <v>304916</v>
      </c>
      <c r="CG129" s="362">
        <v>155085</v>
      </c>
      <c r="CH129" s="362"/>
      <c r="CI129" s="362">
        <v>113390</v>
      </c>
      <c r="CJ129" s="414">
        <f>SUM(Table14[[#This Row],[Jan-26]:[Mar-26]])</f>
        <v>268475</v>
      </c>
      <c r="CK129" s="531">
        <f>IFERROR(SUM(Table14[[#This Row],[Oct-25]:[Dec-25]],Table14[[#This Row],[Jan-26]:[Mar-26]])/COUNT(Table14[[#This Row],[Oct-25]:[Dec-25]],Table14[[#This Row],[Jan-26]:[Mar-26]]),0)</f>
        <v>53695</v>
      </c>
      <c r="CL129" s="365" t="s">
        <v>1090</v>
      </c>
      <c r="CM129" s="414">
        <f>Table14[[#This Row],[YTD 2024]]+Table14[[#This Row],[YTD 2025]]+Table14[[#This Row],[YTD 2026]]</f>
        <v>573391</v>
      </c>
      <c r="CN129" s="418">
        <v>6</v>
      </c>
      <c r="CO129" s="353">
        <f t="shared" si="23"/>
        <v>95565.166666666672</v>
      </c>
      <c r="CP129" s="353">
        <f>Table14[[#This Row],[Unit Cost]]-Table14[[#This Row],[Margin on Reagent sale]]</f>
        <v>254118.59999999998</v>
      </c>
      <c r="CQ129" s="367">
        <f>Table14[[#This Row],[Avg reagent Sales per month Actual]]-Table14[[#This Row],[Per Month Reagent Commitment]]</f>
        <v>-47684.833333333328</v>
      </c>
      <c r="CR129" s="373" t="s">
        <v>1091</v>
      </c>
      <c r="CS129" s="367">
        <f>Table14[[#This Row],[On Track / (behind) (avg per month)]]/Table14[[#This Row],[Months]]</f>
        <v>-7947.4722222222217</v>
      </c>
      <c r="CT129" s="368">
        <v>0.4</v>
      </c>
      <c r="CU129" s="367">
        <f>Table14[[#This Row],[Total Reagent Sales till date Actual]]*Table14[[#This Row],[Margin %]]</f>
        <v>229356.40000000002</v>
      </c>
      <c r="CV129" s="371">
        <f t="shared" si="22"/>
        <v>0.4</v>
      </c>
      <c r="CX129" s="1"/>
      <c r="CZ129" s="135"/>
      <c r="DA129" s="1"/>
    </row>
    <row r="130" spans="1:105" ht="15" customHeight="1" x14ac:dyDescent="0.3">
      <c r="A130" s="399" t="s">
        <v>296</v>
      </c>
      <c r="B130" s="629" t="s">
        <v>297</v>
      </c>
      <c r="C130" s="399" t="s">
        <v>24</v>
      </c>
      <c r="D130" s="415" t="s">
        <v>35</v>
      </c>
      <c r="E130" s="403">
        <v>15002553</v>
      </c>
      <c r="F130" s="403" t="s">
        <v>298</v>
      </c>
      <c r="G130" s="449"/>
      <c r="H130" s="666"/>
      <c r="I130" s="416"/>
      <c r="J130" s="417"/>
      <c r="K130" s="417"/>
      <c r="L130" s="417" t="s">
        <v>1092</v>
      </c>
      <c r="M130" s="417" t="s">
        <v>425</v>
      </c>
      <c r="N130" s="417"/>
      <c r="O130" s="418" t="s">
        <v>348</v>
      </c>
      <c r="P130" s="418" t="s">
        <v>15</v>
      </c>
      <c r="Q130" s="399" t="s">
        <v>401</v>
      </c>
      <c r="R130" s="399">
        <v>3020001175</v>
      </c>
      <c r="S130" s="420" t="s">
        <v>56</v>
      </c>
      <c r="T130" s="445"/>
      <c r="U130" s="426"/>
      <c r="V130" s="403"/>
      <c r="W130" s="399"/>
      <c r="X130" s="399"/>
      <c r="Y130" s="399"/>
      <c r="Z130" s="353">
        <v>2915000</v>
      </c>
      <c r="AA130" s="418">
        <v>36</v>
      </c>
      <c r="AB130" s="353">
        <v>295221</v>
      </c>
      <c r="AC130" s="409"/>
      <c r="AD130" s="410"/>
      <c r="AE130" s="399"/>
      <c r="AF130" s="399"/>
      <c r="AG130" s="399"/>
      <c r="AH130" s="399"/>
      <c r="AI130" s="403"/>
      <c r="AJ130" s="403"/>
      <c r="AK130" s="403"/>
      <c r="AL130" s="403"/>
      <c r="AM130" s="420"/>
      <c r="AN130" s="420"/>
      <c r="AO130" s="403"/>
      <c r="AP130" s="403"/>
      <c r="AQ130" s="403"/>
      <c r="AR130" s="403"/>
      <c r="AS130" s="403"/>
      <c r="AT130" s="403"/>
      <c r="AU130" s="399" t="e">
        <v>#N/A</v>
      </c>
      <c r="AV130" s="420"/>
      <c r="AW130" s="420"/>
      <c r="AX130" s="420"/>
      <c r="AY130" s="420"/>
      <c r="AZ130" s="420"/>
      <c r="BA130" s="370"/>
      <c r="BB130" s="370"/>
      <c r="BC130" s="595"/>
      <c r="BD130" s="595"/>
      <c r="BE130" s="358"/>
      <c r="BF130" s="420"/>
      <c r="BG130" s="370"/>
      <c r="BH130" s="370"/>
      <c r="BI130" s="370"/>
      <c r="BJ130" s="370"/>
      <c r="BK130" s="370"/>
      <c r="BL130" s="374"/>
      <c r="BM130" s="358"/>
      <c r="BN130" s="358"/>
      <c r="BO130" s="358"/>
      <c r="BP130" s="358"/>
      <c r="BQ130" s="358"/>
      <c r="BR130" s="358"/>
      <c r="BS130" s="362">
        <f>SUM(Table14[[#This Row],[Jan-24]:[Dec-24]])</f>
        <v>0</v>
      </c>
      <c r="BT130" s="362"/>
      <c r="BU130" s="362"/>
      <c r="BV130" s="362"/>
      <c r="BW130" s="362"/>
      <c r="BX130" s="362"/>
      <c r="BY130" s="362"/>
      <c r="BZ130" s="362">
        <v>0</v>
      </c>
      <c r="CA130" s="362">
        <v>0</v>
      </c>
      <c r="CB130" s="362"/>
      <c r="CC130" s="362">
        <v>0</v>
      </c>
      <c r="CD130" s="362">
        <v>0</v>
      </c>
      <c r="CE130" s="362"/>
      <c r="CF130" s="362">
        <f>SUM(Table14[[#This Row],[Jan-25]:[Dec-25]])</f>
        <v>0</v>
      </c>
      <c r="CG130" s="362"/>
      <c r="CH130" s="362"/>
      <c r="CI130" s="362"/>
      <c r="CJ130" s="414">
        <f>SUM(Table14[[#This Row],[Jan-26]:[Mar-26]])</f>
        <v>0</v>
      </c>
      <c r="CK130" s="531">
        <f>IFERROR(SUM(Table14[[#This Row],[Oct-25]:[Dec-25]],Table14[[#This Row],[Jan-26]:[Mar-26]])/COUNT(Table14[[#This Row],[Oct-25]:[Dec-25]],Table14[[#This Row],[Jan-26]:[Mar-26]]),0)</f>
        <v>0</v>
      </c>
      <c r="CL130" s="367"/>
      <c r="CM130" s="414">
        <f>Table14[[#This Row],[YTD 2024]]+Table14[[#This Row],[YTD 2025]]+Table14[[#This Row],[YTD 2026]]</f>
        <v>0</v>
      </c>
      <c r="CN130" s="366"/>
      <c r="CO130" s="353" t="e">
        <f t="shared" si="23"/>
        <v>#DIV/0!</v>
      </c>
      <c r="CP130" s="353">
        <f>Table14[[#This Row],[Unit Cost]]-Table14[[#This Row],[Margin on Reagent sale]]</f>
        <v>2915000</v>
      </c>
      <c r="CQ130" s="367"/>
      <c r="CR130" s="373" t="s">
        <v>501</v>
      </c>
      <c r="CS130" s="367" t="e">
        <f>Table14[[#This Row],[On Track / (behind) (avg per month)]]/Table14[[#This Row],[Months]]</f>
        <v>#DIV/0!</v>
      </c>
      <c r="CT130" s="368">
        <v>0.4</v>
      </c>
      <c r="CU130" s="367">
        <f>Table14[[#This Row],[Total Reagent Sales till date Actual]]*Table14[[#This Row],[Margin %]]</f>
        <v>0</v>
      </c>
      <c r="CV130" s="371">
        <f t="shared" si="22"/>
        <v>0.4</v>
      </c>
      <c r="CX130" s="1"/>
      <c r="CZ130" s="135"/>
      <c r="DA130" s="1"/>
    </row>
    <row r="131" spans="1:105" ht="15" customHeight="1" x14ac:dyDescent="0.3">
      <c r="A131" s="399" t="s">
        <v>423</v>
      </c>
      <c r="B131" s="629" t="s">
        <v>297</v>
      </c>
      <c r="C131" s="399" t="s">
        <v>49</v>
      </c>
      <c r="D131" s="415" t="s">
        <v>30</v>
      </c>
      <c r="E131" s="403">
        <v>15002463</v>
      </c>
      <c r="F131" s="403" t="s">
        <v>317</v>
      </c>
      <c r="G131" s="449">
        <v>3002000002</v>
      </c>
      <c r="H131" s="409" t="s">
        <v>299</v>
      </c>
      <c r="I131" s="416" t="s">
        <v>1093</v>
      </c>
      <c r="J131" s="417"/>
      <c r="K131" s="417" t="s">
        <v>1094</v>
      </c>
      <c r="L131" s="417" t="s">
        <v>564</v>
      </c>
      <c r="M131" s="417" t="s">
        <v>303</v>
      </c>
      <c r="N131" s="417"/>
      <c r="O131" s="418" t="s">
        <v>304</v>
      </c>
      <c r="P131" s="418" t="s">
        <v>16</v>
      </c>
      <c r="Q131" s="399" t="s">
        <v>1095</v>
      </c>
      <c r="R131" s="399">
        <v>3020001192</v>
      </c>
      <c r="S131" s="419" t="s">
        <v>70</v>
      </c>
      <c r="T131" s="403" t="s">
        <v>1096</v>
      </c>
      <c r="U131" s="403" t="s">
        <v>1097</v>
      </c>
      <c r="V131" s="403" t="s">
        <v>1098</v>
      </c>
      <c r="W131" s="399" t="s">
        <v>1099</v>
      </c>
      <c r="X131" s="399" t="s">
        <v>1100</v>
      </c>
      <c r="Y131" s="399"/>
      <c r="Z131" s="353">
        <v>4350000</v>
      </c>
      <c r="AA131" s="418">
        <v>30</v>
      </c>
      <c r="AB131" s="353">
        <v>391086</v>
      </c>
      <c r="AC131" s="409"/>
      <c r="AD131" s="410"/>
      <c r="AE131" s="431"/>
      <c r="AF131" s="399"/>
      <c r="AG131" s="399"/>
      <c r="AH131" s="399"/>
      <c r="AI131" s="432"/>
      <c r="AJ131" s="403"/>
      <c r="AK131" s="432"/>
      <c r="AL131" s="432"/>
      <c r="AM131" s="422"/>
      <c r="AN131" s="422"/>
      <c r="AO131" s="403"/>
      <c r="AP131" s="403"/>
      <c r="AQ131" s="403"/>
      <c r="AR131" s="403"/>
      <c r="AS131" s="403"/>
      <c r="AT131" s="403"/>
      <c r="AU131" s="431"/>
      <c r="AV131" s="420"/>
      <c r="AW131" s="422"/>
      <c r="AX131" s="422"/>
      <c r="AY131" s="422"/>
      <c r="AZ131" s="422"/>
      <c r="BA131" s="422"/>
      <c r="BB131" s="422"/>
      <c r="BC131" s="415" t="s">
        <v>1511</v>
      </c>
      <c r="BD131" s="415" t="s">
        <v>1668</v>
      </c>
      <c r="BE131" s="422">
        <v>1</v>
      </c>
      <c r="BF131" s="419" t="s">
        <v>315</v>
      </c>
      <c r="BG131" s="377">
        <v>3781305.1599999997</v>
      </c>
      <c r="BH131" s="377">
        <v>0</v>
      </c>
      <c r="BI131" s="377">
        <v>236600</v>
      </c>
      <c r="BJ131" s="377">
        <v>0</v>
      </c>
      <c r="BK131" s="377">
        <v>0</v>
      </c>
      <c r="BL131" s="377">
        <v>0</v>
      </c>
      <c r="BM131" s="377">
        <v>2442712.11</v>
      </c>
      <c r="BN131" s="377">
        <v>-335500</v>
      </c>
      <c r="BO131" s="377">
        <v>0</v>
      </c>
      <c r="BP131" s="377">
        <v>685254.27</v>
      </c>
      <c r="BQ131" s="377">
        <v>0</v>
      </c>
      <c r="BR131" s="377">
        <v>1821694.8600000003</v>
      </c>
      <c r="BS131" s="362">
        <f>SUM(Table14[[#This Row],[Jan-24]:[Dec-24]])</f>
        <v>8632066.3999999985</v>
      </c>
      <c r="BT131" s="362">
        <v>0</v>
      </c>
      <c r="BU131" s="362">
        <v>0</v>
      </c>
      <c r="BV131" s="414">
        <v>878818</v>
      </c>
      <c r="BW131" s="414">
        <v>0</v>
      </c>
      <c r="BX131" s="414">
        <v>0</v>
      </c>
      <c r="BY131" s="367">
        <v>0</v>
      </c>
      <c r="BZ131" s="367">
        <v>0</v>
      </c>
      <c r="CA131" s="367">
        <v>0</v>
      </c>
      <c r="CB131" s="367">
        <v>0</v>
      </c>
      <c r="CC131" s="367"/>
      <c r="CD131" s="367"/>
      <c r="CE131" s="367"/>
      <c r="CF131" s="362">
        <f>SUM(Table14[[#This Row],[Jan-25]:[Dec-25]])</f>
        <v>878818</v>
      </c>
      <c r="CG131" s="367">
        <v>0</v>
      </c>
      <c r="CH131" s="367">
        <v>0</v>
      </c>
      <c r="CI131" s="367">
        <v>0</v>
      </c>
      <c r="CJ131" s="414">
        <f>SUM(Table14[[#This Row],[Jan-26]:[Mar-26]])</f>
        <v>0</v>
      </c>
      <c r="CK131" s="531">
        <f>IFERROR(SUM(Table14[[#This Row],[Oct-25]:[Dec-25]],Table14[[#This Row],[Jan-26]:[Mar-26]])/COUNT(Table14[[#This Row],[Oct-25]:[Dec-25]],Table14[[#This Row],[Jan-26]:[Mar-26]]),0)</f>
        <v>0</v>
      </c>
      <c r="CL131" s="378"/>
      <c r="CM131" s="414">
        <f>Table14[[#This Row],[YTD 2024]]+Table14[[#This Row],[YTD 2025]]+Table14[[#This Row],[YTD 2026]]</f>
        <v>9510884.3999999985</v>
      </c>
      <c r="CN131" s="366">
        <v>25</v>
      </c>
      <c r="CO131" s="353">
        <f t="shared" si="23"/>
        <v>380435.37599999993</v>
      </c>
      <c r="CP131" s="353">
        <f>Table14[[#This Row],[Unit Cost]]-Table14[[#This Row],[Margin on Reagent sale]]</f>
        <v>70102.020000000484</v>
      </c>
      <c r="CQ131" s="372">
        <f>Table14[[#This Row],[Avg reagent Sales per month Actual]]-Table14[[#This Row],[Per Month Reagent Commitment]]</f>
        <v>-10650.624000000069</v>
      </c>
      <c r="CR131" s="403" t="s">
        <v>316</v>
      </c>
      <c r="CS131" s="367">
        <f>Table14[[#This Row],[On Track / (behind) (avg per month)]]/Table14[[#This Row],[Months]]</f>
        <v>-426.02496000000275</v>
      </c>
      <c r="CT131" s="368">
        <v>0.45</v>
      </c>
      <c r="CU131" s="367">
        <f>Table14[[#This Row],[Total Reagent Sales till date Actual]]*Table14[[#This Row],[Margin %]]</f>
        <v>4279897.9799999995</v>
      </c>
      <c r="CV131" s="400">
        <f t="shared" si="22"/>
        <v>0.45</v>
      </c>
      <c r="CX131" s="1"/>
      <c r="CZ131" s="135"/>
      <c r="DA131" s="1"/>
    </row>
    <row r="132" spans="1:105" ht="15" customHeight="1" x14ac:dyDescent="0.3">
      <c r="A132" s="399" t="s">
        <v>423</v>
      </c>
      <c r="B132" s="629" t="s">
        <v>297</v>
      </c>
      <c r="C132" s="399" t="s">
        <v>49</v>
      </c>
      <c r="D132" s="402" t="s">
        <v>30</v>
      </c>
      <c r="E132" s="403">
        <v>15002463</v>
      </c>
      <c r="F132" s="403" t="s">
        <v>317</v>
      </c>
      <c r="G132" s="449">
        <v>3002000105</v>
      </c>
      <c r="H132" s="666" t="s">
        <v>1101</v>
      </c>
      <c r="I132" s="429" t="s">
        <v>979</v>
      </c>
      <c r="J132" s="417"/>
      <c r="K132" s="417"/>
      <c r="L132" s="417" t="s">
        <v>810</v>
      </c>
      <c r="M132" s="417"/>
      <c r="N132" s="417"/>
      <c r="O132" s="418" t="s">
        <v>1102</v>
      </c>
      <c r="P132" s="418" t="s">
        <v>16</v>
      </c>
      <c r="Q132" s="399" t="s">
        <v>349</v>
      </c>
      <c r="R132" s="399">
        <v>3020001221</v>
      </c>
      <c r="S132" s="419" t="s">
        <v>177</v>
      </c>
      <c r="T132" s="403"/>
      <c r="U132" s="426" t="s">
        <v>1103</v>
      </c>
      <c r="V132" s="403" t="s">
        <v>1104</v>
      </c>
      <c r="W132" s="350" t="s">
        <v>1105</v>
      </c>
      <c r="X132" s="399" t="s">
        <v>1106</v>
      </c>
      <c r="Y132" s="399"/>
      <c r="Z132" s="486">
        <v>4335000</v>
      </c>
      <c r="AA132" s="418">
        <v>35</v>
      </c>
      <c r="AB132" s="486">
        <v>272436</v>
      </c>
      <c r="AC132" s="409"/>
      <c r="AD132" s="410"/>
      <c r="AE132" s="399"/>
      <c r="AF132" s="399"/>
      <c r="AG132" s="399"/>
      <c r="AH132" s="399"/>
      <c r="AI132" s="403"/>
      <c r="AJ132" s="403"/>
      <c r="AK132" s="403"/>
      <c r="AL132" s="403"/>
      <c r="AM132" s="420"/>
      <c r="AN132" s="420"/>
      <c r="AO132" s="403"/>
      <c r="AP132" s="403"/>
      <c r="AQ132" s="403"/>
      <c r="AR132" s="403"/>
      <c r="AS132" s="403"/>
      <c r="AT132" s="403"/>
      <c r="AU132" s="399"/>
      <c r="AV132" s="420"/>
      <c r="AW132" s="420"/>
      <c r="AX132" s="420"/>
      <c r="AY132" s="420"/>
      <c r="AZ132" s="420"/>
      <c r="BA132" s="370"/>
      <c r="BB132" s="358"/>
      <c r="BC132" s="597" t="s">
        <v>348</v>
      </c>
      <c r="BD132" s="597"/>
      <c r="BE132" s="375"/>
      <c r="BF132" s="419"/>
      <c r="BG132" s="370"/>
      <c r="BH132" s="370"/>
      <c r="BI132" s="370"/>
      <c r="BJ132" s="370"/>
      <c r="BK132" s="487"/>
      <c r="BL132" s="488"/>
      <c r="BM132" s="414">
        <v>258474.57</v>
      </c>
      <c r="BN132" s="414">
        <v>494000</v>
      </c>
      <c r="BO132" s="414">
        <v>354880</v>
      </c>
      <c r="BP132" s="414"/>
      <c r="BQ132" s="487"/>
      <c r="BR132" s="487">
        <v>280000</v>
      </c>
      <c r="BS132" s="362">
        <f>SUM(Table14[[#This Row],[Jan-24]:[Dec-24]])</f>
        <v>1387354.57</v>
      </c>
      <c r="BT132" s="367">
        <v>0</v>
      </c>
      <c r="BU132" s="367">
        <v>0</v>
      </c>
      <c r="BV132" s="367">
        <v>0</v>
      </c>
      <c r="BW132" s="367">
        <v>0</v>
      </c>
      <c r="BX132" s="367">
        <v>0</v>
      </c>
      <c r="BY132" s="367">
        <v>0</v>
      </c>
      <c r="BZ132" s="367">
        <v>0</v>
      </c>
      <c r="CA132" s="367">
        <v>0</v>
      </c>
      <c r="CB132" s="367">
        <v>0</v>
      </c>
      <c r="CC132" s="367">
        <v>0</v>
      </c>
      <c r="CD132" s="367">
        <v>0</v>
      </c>
      <c r="CE132" s="367"/>
      <c r="CF132" s="362">
        <f>SUM(Table14[[#This Row],[Jan-25]:[Dec-25]])</f>
        <v>0</v>
      </c>
      <c r="CG132" s="367"/>
      <c r="CH132" s="367"/>
      <c r="CI132" s="367"/>
      <c r="CJ132" s="414">
        <f>SUM(Table14[[#This Row],[Jan-26]:[Mar-26]])</f>
        <v>0</v>
      </c>
      <c r="CK132" s="531">
        <f>IFERROR(SUM(Table14[[#This Row],[Oct-25]:[Dec-25]],Table14[[#This Row],[Jan-26]:[Mar-26]])/COUNT(Table14[[#This Row],[Oct-25]:[Dec-25]],Table14[[#This Row],[Jan-26]:[Mar-26]]),0)</f>
        <v>0</v>
      </c>
      <c r="CL132" s="367"/>
      <c r="CM132" s="414">
        <f>Table14[[#This Row],[YTD 2024]]+Table14[[#This Row],[YTD 2025]]+Table14[[#This Row],[YTD 2026]]</f>
        <v>1387354.57</v>
      </c>
      <c r="CN132" s="418">
        <v>16</v>
      </c>
      <c r="CO132" s="353">
        <f t="shared" si="23"/>
        <v>86709.660625000004</v>
      </c>
      <c r="CP132" s="353">
        <f>Table14[[#This Row],[Unit Cost]]-Table14[[#This Row],[Margin on Reagent sale]]</f>
        <v>3710690.4435000001</v>
      </c>
      <c r="CQ132" s="489">
        <v>122659.33333333331</v>
      </c>
      <c r="CR132" s="373" t="s">
        <v>316</v>
      </c>
      <c r="CS132" s="367">
        <f>Table14[[#This Row],[On Track / (behind) (avg per month)]]/Table14[[#This Row],[Months]]</f>
        <v>7666.2083333333321</v>
      </c>
      <c r="CT132" s="368">
        <v>0.45</v>
      </c>
      <c r="CU132" s="367">
        <f>Table14[[#This Row],[Total Reagent Sales till date Actual]]*Table14[[#This Row],[Margin %]]</f>
        <v>624309.55650000006</v>
      </c>
      <c r="CV132" s="371">
        <f t="shared" si="22"/>
        <v>0.45</v>
      </c>
      <c r="CX132" s="1"/>
      <c r="CZ132" s="135"/>
      <c r="DA132" s="1"/>
    </row>
    <row r="133" spans="1:105" ht="15" customHeight="1" x14ac:dyDescent="0.3">
      <c r="A133" s="399" t="s">
        <v>296</v>
      </c>
      <c r="B133" s="629" t="s">
        <v>297</v>
      </c>
      <c r="C133" s="399" t="s">
        <v>49</v>
      </c>
      <c r="D133" s="415" t="s">
        <v>30</v>
      </c>
      <c r="E133" s="403">
        <v>15002463</v>
      </c>
      <c r="F133" s="403" t="s">
        <v>317</v>
      </c>
      <c r="G133" s="449">
        <v>3002000110</v>
      </c>
      <c r="H133" s="666"/>
      <c r="I133" s="416" t="s">
        <v>1107</v>
      </c>
      <c r="J133" s="417" t="s">
        <v>384</v>
      </c>
      <c r="K133" s="417"/>
      <c r="L133" s="417" t="s">
        <v>385</v>
      </c>
      <c r="M133" s="417" t="s">
        <v>303</v>
      </c>
      <c r="N133" s="417"/>
      <c r="O133" s="418" t="s">
        <v>348</v>
      </c>
      <c r="P133" s="418" t="s">
        <v>15</v>
      </c>
      <c r="Q133" s="399" t="s">
        <v>305</v>
      </c>
      <c r="R133" s="399">
        <v>3020001224</v>
      </c>
      <c r="S133" s="466" t="s">
        <v>128</v>
      </c>
      <c r="T133" s="403"/>
      <c r="U133" s="403" t="s">
        <v>1108</v>
      </c>
      <c r="V133" s="403" t="s">
        <v>1109</v>
      </c>
      <c r="W133" s="382" t="s">
        <v>1110</v>
      </c>
      <c r="X133" s="399" t="s">
        <v>1111</v>
      </c>
      <c r="Y133" s="399"/>
      <c r="Z133" s="353">
        <v>8800000</v>
      </c>
      <c r="AA133" s="418">
        <v>35</v>
      </c>
      <c r="AB133" s="353">
        <v>389145</v>
      </c>
      <c r="AC133" s="409"/>
      <c r="AD133" s="410"/>
      <c r="AE133" s="399"/>
      <c r="AF133" s="399"/>
      <c r="AG133" s="399"/>
      <c r="AH133" s="399"/>
      <c r="AI133" s="403"/>
      <c r="AJ133" s="403"/>
      <c r="AK133" s="403"/>
      <c r="AL133" s="403"/>
      <c r="AM133" s="420"/>
      <c r="AN133" s="420"/>
      <c r="AO133" s="403"/>
      <c r="AP133" s="403"/>
      <c r="AQ133" s="403"/>
      <c r="AR133" s="403"/>
      <c r="AS133" s="403"/>
      <c r="AT133" s="403"/>
      <c r="AU133" s="399" t="e">
        <v>#N/A</v>
      </c>
      <c r="AV133" s="420"/>
      <c r="AW133" s="420"/>
      <c r="AX133" s="420"/>
      <c r="AY133" s="420"/>
      <c r="AZ133" s="420"/>
      <c r="BA133" s="370"/>
      <c r="BB133" s="370"/>
      <c r="BC133" s="597"/>
      <c r="BD133" s="597"/>
      <c r="BE133" s="375"/>
      <c r="BF133" s="466"/>
      <c r="BG133" s="370"/>
      <c r="BH133" s="370"/>
      <c r="BI133" s="370"/>
      <c r="BJ133" s="370"/>
      <c r="BK133" s="370"/>
      <c r="BL133" s="374"/>
      <c r="BM133" s="358"/>
      <c r="BN133" s="358"/>
      <c r="BO133" s="370"/>
      <c r="BP133" s="370"/>
      <c r="BQ133" s="370"/>
      <c r="BR133" s="370"/>
      <c r="BS133" s="362">
        <f>SUM(Table14[[#This Row],[Jan-24]:[Dec-24]])</f>
        <v>0</v>
      </c>
      <c r="BT133" s="362"/>
      <c r="BU133" s="362"/>
      <c r="BV133" s="414">
        <v>4557907</v>
      </c>
      <c r="BW133" s="362"/>
      <c r="BX133" s="414">
        <v>259077</v>
      </c>
      <c r="BY133" s="414"/>
      <c r="BZ133" s="414"/>
      <c r="CA133" s="414"/>
      <c r="CB133" s="414"/>
      <c r="CC133" s="414"/>
      <c r="CD133" s="414"/>
      <c r="CE133" s="414"/>
      <c r="CF133" s="362">
        <f>SUM(Table14[[#This Row],[Jan-25]:[Dec-25]])</f>
        <v>4816984</v>
      </c>
      <c r="CG133" s="414"/>
      <c r="CH133" s="414"/>
      <c r="CI133" s="414"/>
      <c r="CJ133" s="414">
        <f>SUM(Table14[[#This Row],[Jan-26]:[Mar-26]])</f>
        <v>0</v>
      </c>
      <c r="CK133" s="531">
        <f>IFERROR(SUM(Table14[[#This Row],[Oct-25]:[Dec-25]],Table14[[#This Row],[Jan-26]:[Mar-26]])/COUNT(Table14[[#This Row],[Oct-25]:[Dec-25]],Table14[[#This Row],[Jan-26]:[Mar-26]]),0)</f>
        <v>0</v>
      </c>
      <c r="CL133" s="367"/>
      <c r="CM133" s="414">
        <f>Table14[[#This Row],[YTD 2024]]+Table14[[#This Row],[YTD 2025]]+Table14[[#This Row],[YTD 2026]]</f>
        <v>4816984</v>
      </c>
      <c r="CN133" s="418">
        <v>8</v>
      </c>
      <c r="CO133" s="353">
        <f t="shared" si="23"/>
        <v>602123</v>
      </c>
      <c r="CP133" s="353">
        <f>Table14[[#This Row],[Unit Cost]]-Table14[[#This Row],[Margin on Reagent sale]]</f>
        <v>6632357.1999999993</v>
      </c>
      <c r="CQ133" s="367">
        <f>Table14[[#This Row],[Avg reagent Sales per month Actual]]-Table14[[#This Row],[Per Month Reagent Commitment]]</f>
        <v>212978</v>
      </c>
      <c r="CR133" s="403" t="s">
        <v>316</v>
      </c>
      <c r="CS133" s="367">
        <f>Table14[[#This Row],[On Track / (behind) (avg per month)]]/Table14[[#This Row],[Months]]</f>
        <v>26622.25</v>
      </c>
      <c r="CT133" s="368">
        <v>0.45</v>
      </c>
      <c r="CU133" s="367">
        <f>Table14[[#This Row],[Total Reagent Sales till date Actual]]*Table14[[#This Row],[Margin %]]</f>
        <v>2167642.8000000003</v>
      </c>
      <c r="CV133" s="371">
        <f t="shared" si="22"/>
        <v>0.45</v>
      </c>
      <c r="CX133" s="1"/>
      <c r="CZ133" s="135"/>
      <c r="DA133" s="1"/>
    </row>
    <row r="134" spans="1:105" ht="15" customHeight="1" x14ac:dyDescent="0.3">
      <c r="A134" s="399" t="s">
        <v>296</v>
      </c>
      <c r="B134" s="629" t="s">
        <v>297</v>
      </c>
      <c r="C134" s="399" t="s">
        <v>49</v>
      </c>
      <c r="D134" s="415" t="s">
        <v>30</v>
      </c>
      <c r="E134" s="403">
        <v>15002463</v>
      </c>
      <c r="F134" s="403" t="s">
        <v>317</v>
      </c>
      <c r="G134" s="449"/>
      <c r="H134" s="666"/>
      <c r="I134" s="416"/>
      <c r="J134" s="417"/>
      <c r="K134" s="417"/>
      <c r="L134" s="417"/>
      <c r="M134" s="417"/>
      <c r="N134" s="417"/>
      <c r="O134" s="418" t="s">
        <v>529</v>
      </c>
      <c r="P134" s="418" t="s">
        <v>15</v>
      </c>
      <c r="Q134" s="399" t="s">
        <v>305</v>
      </c>
      <c r="R134" s="399">
        <v>3020001224</v>
      </c>
      <c r="S134" s="466" t="s">
        <v>128</v>
      </c>
      <c r="T134" s="403"/>
      <c r="U134" s="426"/>
      <c r="V134" s="403"/>
      <c r="W134" s="399"/>
      <c r="X134" s="399"/>
      <c r="Y134" s="399"/>
      <c r="Z134" s="353">
        <v>8800000</v>
      </c>
      <c r="AA134" s="418">
        <v>37</v>
      </c>
      <c r="AB134" s="486">
        <v>379664</v>
      </c>
      <c r="AC134" s="409"/>
      <c r="AD134" s="410"/>
      <c r="AE134" s="399"/>
      <c r="AF134" s="399"/>
      <c r="AG134" s="399"/>
      <c r="AH134" s="399"/>
      <c r="AI134" s="403"/>
      <c r="AJ134" s="403"/>
      <c r="AK134" s="403"/>
      <c r="AL134" s="403"/>
      <c r="AM134" s="420"/>
      <c r="AN134" s="420"/>
      <c r="AO134" s="403"/>
      <c r="AP134" s="403"/>
      <c r="AQ134" s="403"/>
      <c r="AR134" s="403"/>
      <c r="AS134" s="403"/>
      <c r="AT134" s="403"/>
      <c r="AU134" s="399"/>
      <c r="AV134" s="420"/>
      <c r="AW134" s="420"/>
      <c r="AX134" s="420"/>
      <c r="AY134" s="420"/>
      <c r="AZ134" s="420"/>
      <c r="BA134" s="370"/>
      <c r="BB134" s="358"/>
      <c r="BC134" s="595" t="s">
        <v>1493</v>
      </c>
      <c r="BD134" s="595" t="s">
        <v>1662</v>
      </c>
      <c r="BE134" s="358">
        <v>1</v>
      </c>
      <c r="BF134" s="415" t="s">
        <v>315</v>
      </c>
      <c r="BG134" s="370"/>
      <c r="BH134" s="370"/>
      <c r="BI134" s="370"/>
      <c r="BJ134" s="370"/>
      <c r="BK134" s="487"/>
      <c r="BL134" s="488"/>
      <c r="BM134" s="358"/>
      <c r="BN134" s="358"/>
      <c r="BO134" s="370"/>
      <c r="BP134" s="487"/>
      <c r="BQ134" s="487"/>
      <c r="BR134" s="487"/>
      <c r="BS134" s="362">
        <f>SUM(Table14[[#This Row],[Jan-24]:[Dec-24]])</f>
        <v>0</v>
      </c>
      <c r="BT134" s="360"/>
      <c r="BU134" s="360"/>
      <c r="BV134" s="414">
        <v>4557907</v>
      </c>
      <c r="BW134" s="376"/>
      <c r="BX134" s="414">
        <v>259077</v>
      </c>
      <c r="BY134" s="376"/>
      <c r="BZ134" s="376"/>
      <c r="CA134" s="414">
        <v>30000</v>
      </c>
      <c r="CB134" s="414">
        <v>2618773</v>
      </c>
      <c r="CC134" s="414">
        <v>3250213</v>
      </c>
      <c r="CD134" s="414">
        <v>3363259</v>
      </c>
      <c r="CE134" s="414">
        <v>2171078</v>
      </c>
      <c r="CF134" s="362">
        <f>SUM(Table14[[#This Row],[Jan-25]:[Dec-25]])</f>
        <v>16250307</v>
      </c>
      <c r="CG134" s="414">
        <v>5612247</v>
      </c>
      <c r="CH134" s="414">
        <v>221538</v>
      </c>
      <c r="CI134" s="414">
        <v>418339</v>
      </c>
      <c r="CJ134" s="414">
        <f>SUM(Table14[[#This Row],[Jan-26]:[Mar-26]])</f>
        <v>6252124</v>
      </c>
      <c r="CK134" s="531">
        <f>IFERROR(SUM(Table14[[#This Row],[Oct-25]:[Dec-25]],Table14[[#This Row],[Jan-26]:[Mar-26]])/COUNT(Table14[[#This Row],[Oct-25]:[Dec-25]],Table14[[#This Row],[Jan-26]:[Mar-26]]),0)</f>
        <v>2506112.3333333335</v>
      </c>
      <c r="CL134" s="367"/>
      <c r="CM134" s="414">
        <f>Table14[[#This Row],[YTD 2024]]+Table14[[#This Row],[YTD 2025]]+Table14[[#This Row],[YTD 2026]]</f>
        <v>22502431</v>
      </c>
      <c r="CN134" s="418">
        <v>6</v>
      </c>
      <c r="CO134" s="486">
        <f t="shared" si="23"/>
        <v>3750405.1666666665</v>
      </c>
      <c r="CP134" s="490"/>
      <c r="CQ134" s="489">
        <f>Table14[[#This Row],[Avg reagent Sales per month Actual]]-Table14[[#This Row],[Per Month Reagent Commitment]]</f>
        <v>3370741.1666666665</v>
      </c>
      <c r="CR134" s="373"/>
      <c r="CS134" s="367">
        <f>Table14[[#This Row],[On Track / (behind) (avg per month)]]/Table14[[#This Row],[Months]]</f>
        <v>561790.19444444438</v>
      </c>
      <c r="CT134" s="491"/>
      <c r="CU134" s="367">
        <f>Table14[[#This Row],[Total Reagent Sales till date Actual]]*Table14[[#This Row],[Margin %]]</f>
        <v>0</v>
      </c>
      <c r="CV134" s="371">
        <f t="shared" si="22"/>
        <v>0</v>
      </c>
      <c r="CX134" s="1"/>
      <c r="CZ134" s="135"/>
      <c r="DA134" s="1"/>
    </row>
    <row r="135" spans="1:105" ht="15" customHeight="1" x14ac:dyDescent="0.3">
      <c r="A135" s="401" t="s">
        <v>344</v>
      </c>
      <c r="B135" s="629" t="s">
        <v>345</v>
      </c>
      <c r="C135" s="399" t="s">
        <v>25</v>
      </c>
      <c r="D135" s="415" t="s">
        <v>38</v>
      </c>
      <c r="E135" s="403">
        <v>15002674</v>
      </c>
      <c r="F135" s="403" t="s">
        <v>649</v>
      </c>
      <c r="G135" s="449">
        <v>3002000116</v>
      </c>
      <c r="H135" s="666"/>
      <c r="I135" s="416" t="s">
        <v>1112</v>
      </c>
      <c r="J135" s="417"/>
      <c r="K135" s="417"/>
      <c r="L135" s="417" t="s">
        <v>1113</v>
      </c>
      <c r="M135" s="417"/>
      <c r="N135" s="417"/>
      <c r="O135" s="418" t="s">
        <v>304</v>
      </c>
      <c r="P135" s="418" t="s">
        <v>16</v>
      </c>
      <c r="Q135" s="403" t="s">
        <v>1114</v>
      </c>
      <c r="R135" s="399">
        <v>3020001230</v>
      </c>
      <c r="S135" s="419" t="s">
        <v>119</v>
      </c>
      <c r="T135" s="403"/>
      <c r="U135" s="426"/>
      <c r="V135" s="403"/>
      <c r="W135" s="399"/>
      <c r="X135" s="399"/>
      <c r="Y135" s="399"/>
      <c r="Z135" s="486">
        <v>653000</v>
      </c>
      <c r="AA135" s="418">
        <v>27</v>
      </c>
      <c r="AB135" s="486">
        <v>79375</v>
      </c>
      <c r="AC135" s="409"/>
      <c r="AD135" s="410"/>
      <c r="AE135" s="399"/>
      <c r="AF135" s="399"/>
      <c r="AG135" s="399"/>
      <c r="AH135" s="399"/>
      <c r="AI135" s="403"/>
      <c r="AJ135" s="403"/>
      <c r="AK135" s="403"/>
      <c r="AL135" s="403"/>
      <c r="AM135" s="420"/>
      <c r="AN135" s="420"/>
      <c r="AO135" s="403"/>
      <c r="AP135" s="403"/>
      <c r="AQ135" s="403"/>
      <c r="AR135" s="403"/>
      <c r="AS135" s="403"/>
      <c r="AT135" s="403"/>
      <c r="AU135" s="399"/>
      <c r="AV135" s="420"/>
      <c r="AW135" s="420"/>
      <c r="AX135" s="420"/>
      <c r="AY135" s="420"/>
      <c r="AZ135" s="420"/>
      <c r="BA135" s="370"/>
      <c r="BB135" s="358"/>
      <c r="BC135" s="415" t="s">
        <v>1511</v>
      </c>
      <c r="BD135" s="415" t="s">
        <v>1676</v>
      </c>
      <c r="BE135" s="375"/>
      <c r="BF135" s="419" t="s">
        <v>315</v>
      </c>
      <c r="BG135" s="370"/>
      <c r="BH135" s="370"/>
      <c r="BI135" s="370"/>
      <c r="BJ135" s="370"/>
      <c r="BK135" s="487"/>
      <c r="BL135" s="488"/>
      <c r="BM135" s="358"/>
      <c r="BN135" s="358"/>
      <c r="BO135" s="370"/>
      <c r="BP135" s="487"/>
      <c r="BQ135" s="487">
        <v>190500</v>
      </c>
      <c r="BR135" s="487"/>
      <c r="BS135" s="362">
        <f>SUM(Table14[[#This Row],[Jan-24]:[Dec-24]])</f>
        <v>190500</v>
      </c>
      <c r="BT135" s="360"/>
      <c r="BU135" s="360"/>
      <c r="BV135" s="376">
        <v>381000</v>
      </c>
      <c r="BW135" s="376">
        <v>0</v>
      </c>
      <c r="BX135" s="376">
        <v>0</v>
      </c>
      <c r="BY135" s="376">
        <v>0</v>
      </c>
      <c r="BZ135" s="376">
        <v>0</v>
      </c>
      <c r="CA135" s="376">
        <v>0</v>
      </c>
      <c r="CB135" s="376">
        <v>0</v>
      </c>
      <c r="CC135" s="376"/>
      <c r="CD135" s="376"/>
      <c r="CE135" s="376"/>
      <c r="CF135" s="362">
        <f>SUM(Table14[[#This Row],[Jan-25]:[Dec-25]])</f>
        <v>381000</v>
      </c>
      <c r="CG135" s="376"/>
      <c r="CH135" s="376"/>
      <c r="CI135" s="376"/>
      <c r="CJ135" s="414">
        <f>SUM(Table14[[#This Row],[Jan-26]:[Mar-26]])</f>
        <v>0</v>
      </c>
      <c r="CK135" s="531">
        <f>IFERROR(SUM(Table14[[#This Row],[Oct-25]:[Dec-25]],Table14[[#This Row],[Jan-26]:[Mar-26]])/COUNT(Table14[[#This Row],[Oct-25]:[Dec-25]],Table14[[#This Row],[Jan-26]:[Mar-26]]),0)</f>
        <v>0</v>
      </c>
      <c r="CL135" s="367"/>
      <c r="CM135" s="414">
        <f>Table14[[#This Row],[YTD 2024]]+Table14[[#This Row],[YTD 2025]]+Table14[[#This Row],[YTD 2026]]</f>
        <v>571500</v>
      </c>
      <c r="CN135" s="418">
        <v>12</v>
      </c>
      <c r="CO135" s="486">
        <f t="shared" si="23"/>
        <v>47625</v>
      </c>
      <c r="CP135" s="353">
        <f>Table14[[#This Row],[Unit Cost]]-Table14[[#This Row],[Margin on Reagent sale]]</f>
        <v>653000</v>
      </c>
      <c r="CQ135" s="489">
        <f>Table14[[#This Row],[Avg reagent Sales per month Actual]]-Table14[[#This Row],[Per Month Reagent Commitment]]</f>
        <v>-31750</v>
      </c>
      <c r="CR135" s="373"/>
      <c r="CS135" s="367">
        <f>Table14[[#This Row],[On Track / (behind) (avg per month)]]/Table14[[#This Row],[Months]]</f>
        <v>-2645.8333333333335</v>
      </c>
      <c r="CT135" s="491"/>
      <c r="CU135" s="367">
        <f>Table14[[#This Row],[Total Reagent Sales till date Actual]]*Table14[[#This Row],[Margin %]]</f>
        <v>0</v>
      </c>
      <c r="CV135" s="371">
        <f t="shared" si="22"/>
        <v>0</v>
      </c>
      <c r="CX135" s="1"/>
      <c r="CZ135" s="135"/>
      <c r="DA135" s="1"/>
    </row>
    <row r="136" spans="1:105" ht="15" customHeight="1" x14ac:dyDescent="0.3">
      <c r="A136" s="399" t="s">
        <v>423</v>
      </c>
      <c r="B136" s="630" t="s">
        <v>297</v>
      </c>
      <c r="C136" s="399" t="s">
        <v>50</v>
      </c>
      <c r="D136" s="415" t="s">
        <v>409</v>
      </c>
      <c r="E136" s="403">
        <v>15003243</v>
      </c>
      <c r="F136" s="403" t="s">
        <v>392</v>
      </c>
      <c r="G136" s="449"/>
      <c r="H136" s="666"/>
      <c r="I136" s="416" t="s">
        <v>1115</v>
      </c>
      <c r="J136" s="417"/>
      <c r="K136" s="417"/>
      <c r="L136" s="417" t="s">
        <v>491</v>
      </c>
      <c r="M136" s="417" t="s">
        <v>303</v>
      </c>
      <c r="N136" s="417"/>
      <c r="O136" s="418" t="s">
        <v>304</v>
      </c>
      <c r="P136" s="418" t="s">
        <v>16</v>
      </c>
      <c r="Q136" s="399" t="s">
        <v>973</v>
      </c>
      <c r="R136" s="399">
        <v>3020001237</v>
      </c>
      <c r="S136" s="419" t="s">
        <v>126</v>
      </c>
      <c r="T136" s="403" t="s">
        <v>299</v>
      </c>
      <c r="U136" s="403" t="s">
        <v>1116</v>
      </c>
      <c r="V136" s="403" t="s">
        <v>1117</v>
      </c>
      <c r="W136" s="350" t="s">
        <v>1118</v>
      </c>
      <c r="X136" s="399" t="s">
        <v>1119</v>
      </c>
      <c r="Y136" s="399"/>
      <c r="Z136" s="486">
        <v>2324427</v>
      </c>
      <c r="AA136" s="418">
        <v>37</v>
      </c>
      <c r="AB136" s="486">
        <v>92242</v>
      </c>
      <c r="AC136" s="409"/>
      <c r="AD136" s="410"/>
      <c r="AE136" s="399"/>
      <c r="AF136" s="399"/>
      <c r="AG136" s="399"/>
      <c r="AH136" s="399"/>
      <c r="AI136" s="403"/>
      <c r="AJ136" s="403"/>
      <c r="AK136" s="403"/>
      <c r="AL136" s="403"/>
      <c r="AM136" s="420"/>
      <c r="AN136" s="420"/>
      <c r="AO136" s="403"/>
      <c r="AP136" s="403"/>
      <c r="AQ136" s="403"/>
      <c r="AR136" s="403"/>
      <c r="AS136" s="403"/>
      <c r="AT136" s="403"/>
      <c r="AU136" s="399"/>
      <c r="AV136" s="420"/>
      <c r="AW136" s="420"/>
      <c r="AX136" s="420"/>
      <c r="AY136" s="420"/>
      <c r="AZ136" s="420"/>
      <c r="BA136" s="370"/>
      <c r="BB136" s="358"/>
      <c r="BC136" s="597" t="s">
        <v>1522</v>
      </c>
      <c r="BD136" s="595" t="s">
        <v>1656</v>
      </c>
      <c r="BE136" s="375">
        <v>1</v>
      </c>
      <c r="BF136" s="419" t="s">
        <v>315</v>
      </c>
      <c r="BG136" s="370"/>
      <c r="BH136" s="370"/>
      <c r="BI136" s="370"/>
      <c r="BJ136" s="370"/>
      <c r="BK136" s="487"/>
      <c r="BL136" s="488"/>
      <c r="BM136" s="358"/>
      <c r="BN136" s="358"/>
      <c r="BO136" s="370"/>
      <c r="BP136" s="487"/>
      <c r="BQ136" s="487"/>
      <c r="BR136" s="487"/>
      <c r="BS136" s="362">
        <f>SUM(Table14[[#This Row],[Jan-24]:[Dec-24]])</f>
        <v>0</v>
      </c>
      <c r="BT136" s="360">
        <v>0</v>
      </c>
      <c r="BU136" s="360">
        <v>0</v>
      </c>
      <c r="BV136" s="376">
        <v>0</v>
      </c>
      <c r="BW136" s="421">
        <v>238820</v>
      </c>
      <c r="BX136" s="421">
        <v>0</v>
      </c>
      <c r="BY136" s="421">
        <v>0</v>
      </c>
      <c r="BZ136" s="421">
        <v>222380</v>
      </c>
      <c r="CA136" s="421">
        <v>916400</v>
      </c>
      <c r="CB136" s="421">
        <v>98940</v>
      </c>
      <c r="CC136" s="421">
        <v>100200</v>
      </c>
      <c r="CD136" s="421"/>
      <c r="CE136" s="421">
        <v>273000</v>
      </c>
      <c r="CF136" s="362">
        <f>SUM(Table14[[#This Row],[Jan-25]:[Dec-25]])</f>
        <v>1849740</v>
      </c>
      <c r="CG136" s="421">
        <v>0</v>
      </c>
      <c r="CH136" s="421">
        <v>0</v>
      </c>
      <c r="CI136" s="421"/>
      <c r="CJ136" s="414">
        <f>SUM(Table14[[#This Row],[Jan-26]:[Mar-26]])</f>
        <v>0</v>
      </c>
      <c r="CK136" s="531">
        <f>IFERROR(SUM(Table14[[#This Row],[Oct-25]:[Dec-25]],Table14[[#This Row],[Jan-26]:[Mar-26]])/COUNT(Table14[[#This Row],[Oct-25]:[Dec-25]],Table14[[#This Row],[Jan-26]:[Mar-26]]),0)</f>
        <v>93300</v>
      </c>
      <c r="CL136" s="367"/>
      <c r="CM136" s="414">
        <f>Table14[[#This Row],[YTD 2024]]+Table14[[#This Row],[YTD 2025]]+Table14[[#This Row],[YTD 2026]]</f>
        <v>1849740</v>
      </c>
      <c r="CN136" s="418">
        <v>8</v>
      </c>
      <c r="CO136" s="353">
        <f t="shared" ref="CO136:CO166" si="24">CM136/CN136</f>
        <v>231217.5</v>
      </c>
      <c r="CP136" s="353">
        <f>Table14[[#This Row],[Unit Cost]]-Table14[[#This Row],[Margin on Reagent sale]]</f>
        <v>1584531</v>
      </c>
      <c r="CQ136" s="489">
        <f>Table14[[#This Row],[Avg reagent Sales per month Actual]]-Table14[[#This Row],[Per Month Reagent Commitment]]</f>
        <v>138975.5</v>
      </c>
      <c r="CR136" s="403" t="s">
        <v>316</v>
      </c>
      <c r="CS136" s="367">
        <f>Table14[[#This Row],[On Track / (behind) (avg per month)]]/Table14[[#This Row],[Months]]</f>
        <v>17371.9375</v>
      </c>
      <c r="CT136" s="368">
        <v>0.4</v>
      </c>
      <c r="CU136" s="367">
        <f>Table14[[#This Row],[Total Reagent Sales till date Actual]]*Table14[[#This Row],[Margin %]]</f>
        <v>739896</v>
      </c>
      <c r="CV136" s="371">
        <f t="shared" si="22"/>
        <v>0.4</v>
      </c>
      <c r="CW136" s="230"/>
      <c r="CX136" s="1"/>
      <c r="CZ136" s="230"/>
      <c r="DA136" s="1"/>
    </row>
    <row r="137" spans="1:105" ht="15" customHeight="1" x14ac:dyDescent="0.3">
      <c r="A137" s="399" t="s">
        <v>423</v>
      </c>
      <c r="B137" s="629" t="s">
        <v>297</v>
      </c>
      <c r="C137" s="399" t="s">
        <v>49</v>
      </c>
      <c r="D137" s="415" t="s">
        <v>30</v>
      </c>
      <c r="E137" s="403">
        <v>15002463</v>
      </c>
      <c r="F137" s="403" t="s">
        <v>317</v>
      </c>
      <c r="G137" s="449">
        <v>3002000001</v>
      </c>
      <c r="H137" s="409" t="s">
        <v>299</v>
      </c>
      <c r="I137" s="416" t="s">
        <v>1120</v>
      </c>
      <c r="J137" s="417" t="s">
        <v>1121</v>
      </c>
      <c r="K137" s="417" t="s">
        <v>1122</v>
      </c>
      <c r="L137" s="417" t="s">
        <v>1123</v>
      </c>
      <c r="M137" s="417" t="s">
        <v>303</v>
      </c>
      <c r="N137" s="417"/>
      <c r="O137" s="416" t="s">
        <v>304</v>
      </c>
      <c r="P137" s="418" t="s">
        <v>16</v>
      </c>
      <c r="Q137" s="399" t="s">
        <v>973</v>
      </c>
      <c r="R137" s="399">
        <v>3020001237</v>
      </c>
      <c r="S137" s="419" t="s">
        <v>126</v>
      </c>
      <c r="T137" s="403" t="s">
        <v>1124</v>
      </c>
      <c r="U137" s="403" t="s">
        <v>1116</v>
      </c>
      <c r="V137" s="403" t="s">
        <v>1125</v>
      </c>
      <c r="W137" s="350" t="s">
        <v>1126</v>
      </c>
      <c r="X137" s="399" t="s">
        <v>1119</v>
      </c>
      <c r="Y137" s="399"/>
      <c r="Z137" s="353">
        <v>4520275</v>
      </c>
      <c r="AA137" s="366">
        <v>32</v>
      </c>
      <c r="AB137" s="353">
        <v>400000</v>
      </c>
      <c r="AC137" s="423" t="s">
        <v>1127</v>
      </c>
      <c r="AD137" s="424" t="s">
        <v>1128</v>
      </c>
      <c r="AE137" s="424" t="s">
        <v>957</v>
      </c>
      <c r="AF137" s="424" t="s">
        <v>957</v>
      </c>
      <c r="AG137" s="424" t="s">
        <v>1129</v>
      </c>
      <c r="AH137" s="424" t="s">
        <v>1130</v>
      </c>
      <c r="AI137" s="409" t="s">
        <v>1131</v>
      </c>
      <c r="AJ137" s="409" t="s">
        <v>1132</v>
      </c>
      <c r="AK137" s="409" t="s">
        <v>1133</v>
      </c>
      <c r="AL137" s="409" t="s">
        <v>1134</v>
      </c>
      <c r="AM137" s="425"/>
      <c r="AN137" s="425"/>
      <c r="AO137" s="409"/>
      <c r="AP137" s="409"/>
      <c r="AQ137" s="409"/>
      <c r="AR137" s="409"/>
      <c r="AS137" s="409"/>
      <c r="AT137" s="409"/>
      <c r="AU137" s="409" t="s">
        <v>1135</v>
      </c>
      <c r="AV137" s="409"/>
      <c r="AW137" s="409" t="s">
        <v>670</v>
      </c>
      <c r="AX137" s="409"/>
      <c r="AY137" s="409"/>
      <c r="AZ137" s="409"/>
      <c r="BA137" s="409"/>
      <c r="BB137" s="409"/>
      <c r="BC137" s="598" t="s">
        <v>1501</v>
      </c>
      <c r="BD137" s="598" t="s">
        <v>1669</v>
      </c>
      <c r="BE137" s="424">
        <v>1</v>
      </c>
      <c r="BF137" s="419" t="s">
        <v>315</v>
      </c>
      <c r="BG137" s="363">
        <v>0</v>
      </c>
      <c r="BH137" s="363">
        <v>324345</v>
      </c>
      <c r="BI137" s="363">
        <v>19245</v>
      </c>
      <c r="BJ137" s="363">
        <v>225042</v>
      </c>
      <c r="BK137" s="363">
        <v>677282</v>
      </c>
      <c r="BL137" s="363">
        <v>0</v>
      </c>
      <c r="BM137" s="363">
        <v>710770</v>
      </c>
      <c r="BN137" s="363">
        <v>0</v>
      </c>
      <c r="BO137" s="363">
        <v>29800</v>
      </c>
      <c r="BP137" s="363">
        <v>298061</v>
      </c>
      <c r="BQ137" s="363">
        <v>610185</v>
      </c>
      <c r="BR137" s="363">
        <v>41090</v>
      </c>
      <c r="BS137" s="362">
        <f>SUM(Table14[[#This Row],[Jan-24]:[Dec-24]])</f>
        <v>2935820</v>
      </c>
      <c r="BT137" s="414">
        <v>269486</v>
      </c>
      <c r="BU137" s="414">
        <v>487678</v>
      </c>
      <c r="BV137" s="414">
        <v>93646</v>
      </c>
      <c r="BW137" s="414">
        <v>1110653</v>
      </c>
      <c r="BX137" s="414">
        <v>10602</v>
      </c>
      <c r="BY137" s="414">
        <v>87624</v>
      </c>
      <c r="BZ137" s="414">
        <v>45600</v>
      </c>
      <c r="CA137" s="414">
        <v>815305</v>
      </c>
      <c r="CB137" s="414">
        <v>336333</v>
      </c>
      <c r="CC137" s="414">
        <v>571545</v>
      </c>
      <c r="CD137" s="414">
        <v>-18142</v>
      </c>
      <c r="CE137" s="414">
        <v>441948</v>
      </c>
      <c r="CF137" s="362">
        <f>SUM(Table14[[#This Row],[Jan-25]:[Dec-25]])</f>
        <v>4252278</v>
      </c>
      <c r="CG137" s="414">
        <v>141569</v>
      </c>
      <c r="CH137" s="414">
        <v>520230</v>
      </c>
      <c r="CI137" s="414">
        <f>188558</f>
        <v>188558</v>
      </c>
      <c r="CJ137" s="414">
        <f>SUM(Table14[[#This Row],[Jan-26]:[Mar-26]])</f>
        <v>850357</v>
      </c>
      <c r="CK137" s="531">
        <f>IFERROR(SUM(Table14[[#This Row],[Oct-25]:[Dec-25]],Table14[[#This Row],[Jan-26]:[Mar-26]])/COUNT(Table14[[#This Row],[Oct-25]:[Dec-25]],Table14[[#This Row],[Jan-26]:[Mar-26]]),0)</f>
        <v>307618</v>
      </c>
      <c r="CL137" s="363"/>
      <c r="CM137" s="414">
        <f>Table14[[#This Row],[YTD 2024]]+Table14[[#This Row],[YTD 2025]]+Table14[[#This Row],[YTD 2026]]</f>
        <v>8038455</v>
      </c>
      <c r="CN137" s="366">
        <v>45</v>
      </c>
      <c r="CO137" s="353">
        <f t="shared" si="24"/>
        <v>178632.33333333334</v>
      </c>
      <c r="CP137" s="353">
        <f>Table14[[#This Row],[Unit Cost]]-Table14[[#This Row],[Margin on Reagent sale]]</f>
        <v>902970.25</v>
      </c>
      <c r="CQ137" s="372">
        <f>Table14[[#This Row],[Avg reagent Sales per month Actual]]-Table14[[#This Row],[Per Month Reagent Commitment]]</f>
        <v>-221367.66666666666</v>
      </c>
      <c r="CR137" s="403" t="s">
        <v>343</v>
      </c>
      <c r="CS137" s="367">
        <f>Table14[[#This Row],[On Track / (behind) (avg per month)]]/Table14[[#This Row],[Months]]</f>
        <v>-4919.281481481481</v>
      </c>
      <c r="CT137" s="368">
        <v>0.45</v>
      </c>
      <c r="CU137" s="367">
        <f>Table14[[#This Row],[Total Reagent Sales till date Actual]]*Table14[[#This Row],[Margin %]]</f>
        <v>3617304.75</v>
      </c>
      <c r="CV137" s="400">
        <f t="shared" si="22"/>
        <v>0.45</v>
      </c>
      <c r="CW137" s="230"/>
      <c r="CX137" s="1"/>
      <c r="CZ137" s="230"/>
      <c r="DA137" s="1"/>
    </row>
    <row r="138" spans="1:105" ht="15" customHeight="1" x14ac:dyDescent="0.3">
      <c r="A138" s="401" t="s">
        <v>344</v>
      </c>
      <c r="B138" s="629" t="s">
        <v>345</v>
      </c>
      <c r="C138" s="399" t="s">
        <v>21</v>
      </c>
      <c r="D138" s="415" t="s">
        <v>28</v>
      </c>
      <c r="E138" s="403">
        <v>15002760</v>
      </c>
      <c r="F138" s="403" t="s">
        <v>298</v>
      </c>
      <c r="G138" s="449">
        <v>3002000035</v>
      </c>
      <c r="H138" s="409" t="s">
        <v>299</v>
      </c>
      <c r="I138" s="416">
        <v>30006187</v>
      </c>
      <c r="J138" s="417" t="s">
        <v>346</v>
      </c>
      <c r="K138" s="417" t="s">
        <v>796</v>
      </c>
      <c r="L138" s="417" t="s">
        <v>796</v>
      </c>
      <c r="M138" s="417" t="s">
        <v>303</v>
      </c>
      <c r="N138" s="417"/>
      <c r="O138" s="416" t="s">
        <v>348</v>
      </c>
      <c r="P138" s="418" t="s">
        <v>16</v>
      </c>
      <c r="Q138" s="399" t="s">
        <v>349</v>
      </c>
      <c r="R138" s="399">
        <v>3020001238</v>
      </c>
      <c r="S138" s="419" t="s">
        <v>153</v>
      </c>
      <c r="T138" s="403" t="s">
        <v>1136</v>
      </c>
      <c r="U138" s="403" t="s">
        <v>1137</v>
      </c>
      <c r="V138" s="403" t="s">
        <v>1138</v>
      </c>
      <c r="W138" s="350" t="s">
        <v>1139</v>
      </c>
      <c r="X138" s="399" t="s">
        <v>1140</v>
      </c>
      <c r="Y138" s="399"/>
      <c r="Z138" s="353">
        <v>7000000</v>
      </c>
      <c r="AA138" s="366">
        <v>23</v>
      </c>
      <c r="AB138" s="353">
        <v>909975</v>
      </c>
      <c r="AC138" s="423"/>
      <c r="AD138" s="424"/>
      <c r="AE138" s="424"/>
      <c r="AF138" s="424"/>
      <c r="AG138" s="424" t="s">
        <v>1141</v>
      </c>
      <c r="AH138" s="424"/>
      <c r="AI138" s="409" t="s">
        <v>1141</v>
      </c>
      <c r="AJ138" s="409" t="s">
        <v>1141</v>
      </c>
      <c r="AK138" s="409" t="s">
        <v>354</v>
      </c>
      <c r="AL138" s="409"/>
      <c r="AM138" s="425" t="s">
        <v>355</v>
      </c>
      <c r="AN138" s="425" t="s">
        <v>356</v>
      </c>
      <c r="AO138" s="409"/>
      <c r="AP138" s="409" t="s">
        <v>356</v>
      </c>
      <c r="AQ138" s="409" t="s">
        <v>1142</v>
      </c>
      <c r="AR138" s="409" t="s">
        <v>1143</v>
      </c>
      <c r="AS138" s="409" t="s">
        <v>1144</v>
      </c>
      <c r="AT138" s="409"/>
      <c r="AU138" s="409" t="s">
        <v>1145</v>
      </c>
      <c r="AV138" s="409"/>
      <c r="AW138" s="409" t="s">
        <v>670</v>
      </c>
      <c r="AX138" s="409"/>
      <c r="AY138" s="409"/>
      <c r="AZ138" s="409" t="s">
        <v>1146</v>
      </c>
      <c r="BA138" s="409"/>
      <c r="BB138" s="409"/>
      <c r="BC138" s="596"/>
      <c r="BD138" s="596"/>
      <c r="BE138" s="409"/>
      <c r="BF138" s="419"/>
      <c r="BG138" s="363">
        <v>0</v>
      </c>
      <c r="BH138" s="363">
        <v>0</v>
      </c>
      <c r="BI138" s="363">
        <v>232100</v>
      </c>
      <c r="BJ138" s="363">
        <v>47000</v>
      </c>
      <c r="BK138" s="363">
        <v>164500</v>
      </c>
      <c r="BL138" s="363">
        <v>0</v>
      </c>
      <c r="BM138" s="363">
        <v>0</v>
      </c>
      <c r="BN138" s="363">
        <v>0</v>
      </c>
      <c r="BO138" s="363">
        <v>249200</v>
      </c>
      <c r="BP138" s="363">
        <v>0</v>
      </c>
      <c r="BQ138" s="363">
        <v>0</v>
      </c>
      <c r="BR138" s="363">
        <v>65700</v>
      </c>
      <c r="BS138" s="362">
        <f>SUM(Table14[[#This Row],[Jan-24]:[Dec-24]])</f>
        <v>758500</v>
      </c>
      <c r="BT138" s="362">
        <v>0</v>
      </c>
      <c r="BU138" s="362">
        <v>0</v>
      </c>
      <c r="BV138" s="362">
        <v>0</v>
      </c>
      <c r="BW138" s="362">
        <v>0</v>
      </c>
      <c r="BX138" s="362">
        <v>0</v>
      </c>
      <c r="BY138" s="362"/>
      <c r="BZ138" s="362"/>
      <c r="CA138" s="362"/>
      <c r="CB138" s="362"/>
      <c r="CC138" s="362"/>
      <c r="CD138" s="362"/>
      <c r="CE138" s="362"/>
      <c r="CF138" s="362">
        <f>SUM(Table14[[#This Row],[Jan-25]:[Dec-25]])</f>
        <v>0</v>
      </c>
      <c r="CG138" s="362"/>
      <c r="CH138" s="362"/>
      <c r="CI138" s="362"/>
      <c r="CJ138" s="414">
        <f>SUM(Table14[[#This Row],[Jan-26]:[Mar-26]])</f>
        <v>0</v>
      </c>
      <c r="CK138" s="531">
        <f>IFERROR(SUM(Table14[[#This Row],[Oct-25]:[Dec-25]],Table14[[#This Row],[Jan-26]:[Mar-26]])/COUNT(Table14[[#This Row],[Oct-25]:[Dec-25]],Table14[[#This Row],[Jan-26]:[Mar-26]]),0)</f>
        <v>0</v>
      </c>
      <c r="CL138" s="363"/>
      <c r="CM138" s="414">
        <f>Table14[[#This Row],[YTD 2024]]+Table14[[#This Row],[YTD 2025]]+Table14[[#This Row],[YTD 2026]]</f>
        <v>758500</v>
      </c>
      <c r="CN138" s="366">
        <v>23</v>
      </c>
      <c r="CO138" s="353">
        <f t="shared" si="24"/>
        <v>32978.260869565216</v>
      </c>
      <c r="CP138" s="353">
        <f>Table14[[#This Row],[Unit Cost]]-Table14[[#This Row],[Margin on Reagent sale]]</f>
        <v>6696600</v>
      </c>
      <c r="CQ138" s="372">
        <f>Table14[[#This Row],[Avg reagent Sales per month Actual]]-Table14[[#This Row],[Per Month Reagent Commitment]]</f>
        <v>-876996.73913043481</v>
      </c>
      <c r="CR138" s="403" t="s">
        <v>343</v>
      </c>
      <c r="CS138" s="367">
        <f>Table14[[#This Row],[On Track / (behind) (avg per month)]]/Table14[[#This Row],[Months]]</f>
        <v>-38130.293005671076</v>
      </c>
      <c r="CT138" s="368">
        <v>0.4</v>
      </c>
      <c r="CU138" s="367">
        <f>Table14[[#This Row],[Total Reagent Sales till date Actual]]*Table14[[#This Row],[Margin %]]</f>
        <v>303400</v>
      </c>
      <c r="CV138" s="442">
        <v>0.35</v>
      </c>
      <c r="CW138" s="230"/>
      <c r="CX138" s="1"/>
      <c r="CZ138" s="230"/>
      <c r="DA138" s="1"/>
    </row>
    <row r="139" spans="1:105" ht="15" customHeight="1" x14ac:dyDescent="0.3">
      <c r="A139" s="399" t="s">
        <v>511</v>
      </c>
      <c r="B139" s="629" t="s">
        <v>345</v>
      </c>
      <c r="C139" s="399" t="s">
        <v>25</v>
      </c>
      <c r="D139" s="415" t="s">
        <v>38</v>
      </c>
      <c r="E139" s="403">
        <v>15002674</v>
      </c>
      <c r="F139" s="403" t="s">
        <v>1147</v>
      </c>
      <c r="G139" s="449">
        <v>3002000043</v>
      </c>
      <c r="H139" s="409" t="s">
        <v>299</v>
      </c>
      <c r="I139" s="416" t="s">
        <v>1148</v>
      </c>
      <c r="J139" s="417" t="s">
        <v>1149</v>
      </c>
      <c r="K139" s="417" t="s">
        <v>1150</v>
      </c>
      <c r="L139" s="417" t="s">
        <v>1151</v>
      </c>
      <c r="M139" s="417" t="s">
        <v>303</v>
      </c>
      <c r="N139" s="417"/>
      <c r="O139" s="416" t="s">
        <v>348</v>
      </c>
      <c r="P139" s="418" t="s">
        <v>15</v>
      </c>
      <c r="Q139" s="399" t="s">
        <v>305</v>
      </c>
      <c r="R139" s="399">
        <v>3020001255</v>
      </c>
      <c r="S139" s="419" t="s">
        <v>155</v>
      </c>
      <c r="T139" s="403" t="s">
        <v>299</v>
      </c>
      <c r="U139" s="403" t="s">
        <v>1152</v>
      </c>
      <c r="V139" s="403" t="s">
        <v>1153</v>
      </c>
      <c r="W139" s="350" t="s">
        <v>1154</v>
      </c>
      <c r="X139" s="399" t="s">
        <v>1155</v>
      </c>
      <c r="Y139" s="399"/>
      <c r="Z139" s="353">
        <v>442697</v>
      </c>
      <c r="AA139" s="366">
        <v>11</v>
      </c>
      <c r="AB139" s="353">
        <v>105332.5</v>
      </c>
      <c r="AC139" s="423"/>
      <c r="AD139" s="424"/>
      <c r="AE139" s="424"/>
      <c r="AF139" s="424"/>
      <c r="AG139" s="424"/>
      <c r="AH139" s="424"/>
      <c r="AI139" s="409">
        <v>0</v>
      </c>
      <c r="AJ139" s="409">
        <v>0</v>
      </c>
      <c r="AK139" s="409" t="s">
        <v>1156</v>
      </c>
      <c r="AL139" s="409" t="s">
        <v>553</v>
      </c>
      <c r="AM139" s="425" t="s">
        <v>1157</v>
      </c>
      <c r="AN139" s="425" t="s">
        <v>337</v>
      </c>
      <c r="AO139" s="409"/>
      <c r="AP139" s="409"/>
      <c r="AQ139" s="409"/>
      <c r="AR139" s="409"/>
      <c r="AS139" s="409" t="s">
        <v>1158</v>
      </c>
      <c r="AT139" s="409"/>
      <c r="AU139" s="409" t="s">
        <v>1159</v>
      </c>
      <c r="AV139" s="409"/>
      <c r="AW139" s="409" t="s">
        <v>1160</v>
      </c>
      <c r="AX139" s="430"/>
      <c r="AY139" s="430"/>
      <c r="AZ139" s="430"/>
      <c r="BA139" s="430"/>
      <c r="BB139" s="430"/>
      <c r="BC139" s="415"/>
      <c r="BD139" s="415"/>
      <c r="BE139" s="430"/>
      <c r="BF139" s="419"/>
      <c r="BG139" s="359"/>
      <c r="BH139" s="359">
        <f>245000/2</f>
        <v>122500</v>
      </c>
      <c r="BI139" s="359"/>
      <c r="BJ139" s="359">
        <f>35000/2</f>
        <v>17500</v>
      </c>
      <c r="BK139" s="359">
        <v>0</v>
      </c>
      <c r="BL139" s="359"/>
      <c r="BM139" s="359"/>
      <c r="BN139" s="359"/>
      <c r="BO139" s="359"/>
      <c r="BP139" s="359"/>
      <c r="BQ139" s="359"/>
      <c r="BR139" s="359"/>
      <c r="BS139" s="362">
        <f>SUM(Table14[[#This Row],[Jan-24]:[Dec-24]])</f>
        <v>140000</v>
      </c>
      <c r="BT139" s="362"/>
      <c r="BU139" s="414"/>
      <c r="BV139" s="414"/>
      <c r="BW139" s="414"/>
      <c r="BX139" s="362"/>
      <c r="BY139" s="362"/>
      <c r="BZ139" s="362"/>
      <c r="CA139" s="362"/>
      <c r="CB139" s="362"/>
      <c r="CC139" s="362"/>
      <c r="CD139" s="362"/>
      <c r="CE139" s="362"/>
      <c r="CF139" s="362">
        <f>SUM(Table14[[#This Row],[Jan-25]:[Dec-25]])</f>
        <v>0</v>
      </c>
      <c r="CG139" s="362"/>
      <c r="CH139" s="362"/>
      <c r="CI139" s="362"/>
      <c r="CJ139" s="414">
        <f>SUM(Table14[[#This Row],[Jan-26]:[Mar-26]])</f>
        <v>0</v>
      </c>
      <c r="CK139" s="531">
        <f>IFERROR(SUM(Table14[[#This Row],[Oct-25]:[Dec-25]],Table14[[#This Row],[Jan-26]:[Mar-26]])/COUNT(Table14[[#This Row],[Oct-25]:[Dec-25]],Table14[[#This Row],[Jan-26]:[Mar-26]]),0)</f>
        <v>0</v>
      </c>
      <c r="CL139" s="359" t="s">
        <v>1161</v>
      </c>
      <c r="CM139" s="414">
        <f>Table14[[#This Row],[YTD 2024]]+Table14[[#This Row],[YTD 2025]]+Table14[[#This Row],[YTD 2026]]</f>
        <v>140000</v>
      </c>
      <c r="CN139" s="366">
        <v>20</v>
      </c>
      <c r="CO139" s="353">
        <f t="shared" si="24"/>
        <v>7000</v>
      </c>
      <c r="CP139" s="353">
        <f>Table14[[#This Row],[Unit Cost]]-Table14[[#This Row],[Margin on Reagent sale]]</f>
        <v>386697</v>
      </c>
      <c r="CQ139" s="372">
        <f>Table14[[#This Row],[Avg reagent Sales per month Actual]]-Table14[[#This Row],[Per Month Reagent Commitment]]</f>
        <v>-98332.5</v>
      </c>
      <c r="CR139" s="403" t="s">
        <v>343</v>
      </c>
      <c r="CS139" s="367">
        <f>Table14[[#This Row],[On Track / (behind) (avg per month)]]/Table14[[#This Row],[Months]]</f>
        <v>-4916.625</v>
      </c>
      <c r="CT139" s="368">
        <v>0.4</v>
      </c>
      <c r="CU139" s="367">
        <f>Table14[[#This Row],[Total Reagent Sales till date Actual]]*Table14[[#This Row],[Margin %]]</f>
        <v>56000</v>
      </c>
      <c r="CV139" s="400">
        <f t="shared" ref="CV139:CV165" si="25">CT139</f>
        <v>0.4</v>
      </c>
      <c r="CW139" s="230"/>
      <c r="CX139" s="1"/>
      <c r="CZ139" s="230"/>
      <c r="DA139" s="1"/>
    </row>
    <row r="140" spans="1:105" ht="15" customHeight="1" x14ac:dyDescent="0.3">
      <c r="A140" s="399" t="s">
        <v>511</v>
      </c>
      <c r="B140" s="629" t="s">
        <v>345</v>
      </c>
      <c r="C140" s="399" t="s">
        <v>25</v>
      </c>
      <c r="D140" s="415" t="s">
        <v>38</v>
      </c>
      <c r="E140" s="403">
        <v>15002674</v>
      </c>
      <c r="F140" s="403" t="s">
        <v>1147</v>
      </c>
      <c r="G140" s="449">
        <v>3002000043</v>
      </c>
      <c r="H140" s="670" t="s">
        <v>299</v>
      </c>
      <c r="I140" s="416" t="s">
        <v>1162</v>
      </c>
      <c r="J140" s="417" t="s">
        <v>1163</v>
      </c>
      <c r="K140" s="417" t="s">
        <v>1150</v>
      </c>
      <c r="L140" s="417" t="s">
        <v>1164</v>
      </c>
      <c r="M140" s="417" t="s">
        <v>303</v>
      </c>
      <c r="N140" s="417"/>
      <c r="O140" s="416" t="s">
        <v>348</v>
      </c>
      <c r="P140" s="418" t="s">
        <v>15</v>
      </c>
      <c r="Q140" s="399" t="s">
        <v>305</v>
      </c>
      <c r="R140" s="399">
        <v>3020001255</v>
      </c>
      <c r="S140" s="419" t="s">
        <v>155</v>
      </c>
      <c r="T140" s="403" t="s">
        <v>299</v>
      </c>
      <c r="U140" s="403" t="s">
        <v>1152</v>
      </c>
      <c r="V140" s="403" t="s">
        <v>1153</v>
      </c>
      <c r="W140" s="350" t="s">
        <v>1154</v>
      </c>
      <c r="X140" s="399" t="s">
        <v>1155</v>
      </c>
      <c r="Y140" s="399"/>
      <c r="Z140" s="353">
        <v>442697</v>
      </c>
      <c r="AA140" s="366">
        <v>11</v>
      </c>
      <c r="AB140" s="353">
        <v>105332.5</v>
      </c>
      <c r="AC140" s="423"/>
      <c r="AD140" s="424"/>
      <c r="AE140" s="424"/>
      <c r="AF140" s="424"/>
      <c r="AG140" s="424"/>
      <c r="AH140" s="424"/>
      <c r="AI140" s="409"/>
      <c r="AJ140" s="409"/>
      <c r="AK140" s="409"/>
      <c r="AL140" s="409"/>
      <c r="AM140" s="425"/>
      <c r="AN140" s="425"/>
      <c r="AO140" s="409"/>
      <c r="AP140" s="409"/>
      <c r="AQ140" s="409"/>
      <c r="AR140" s="409"/>
      <c r="AS140" s="409"/>
      <c r="AT140" s="409"/>
      <c r="AU140" s="409" t="s">
        <v>1159</v>
      </c>
      <c r="AV140" s="409"/>
      <c r="AW140" s="409" t="s">
        <v>1160</v>
      </c>
      <c r="AX140" s="430" t="s">
        <v>1165</v>
      </c>
      <c r="AY140" s="430"/>
      <c r="AZ140" s="430"/>
      <c r="BA140" s="430"/>
      <c r="BB140" s="430"/>
      <c r="BC140" s="415"/>
      <c r="BD140" s="415"/>
      <c r="BE140" s="430"/>
      <c r="BF140" s="419"/>
      <c r="BG140" s="359"/>
      <c r="BH140" s="359">
        <f>245000/2</f>
        <v>122500</v>
      </c>
      <c r="BI140" s="359"/>
      <c r="BJ140" s="359">
        <f>35000/2</f>
        <v>17500</v>
      </c>
      <c r="BK140" s="359">
        <v>0</v>
      </c>
      <c r="BL140" s="359"/>
      <c r="BM140" s="359"/>
      <c r="BN140" s="359"/>
      <c r="BO140" s="359"/>
      <c r="BP140" s="359"/>
      <c r="BQ140" s="359"/>
      <c r="BR140" s="359"/>
      <c r="BS140" s="362">
        <f>SUM(Table14[[#This Row],[Jan-24]:[Dec-24]])</f>
        <v>140000</v>
      </c>
      <c r="BT140" s="362"/>
      <c r="BU140" s="362"/>
      <c r="BV140" s="362">
        <v>0</v>
      </c>
      <c r="BW140" s="362"/>
      <c r="BX140" s="362"/>
      <c r="BY140" s="362"/>
      <c r="BZ140" s="362"/>
      <c r="CA140" s="362"/>
      <c r="CB140" s="362"/>
      <c r="CC140" s="362"/>
      <c r="CD140" s="362"/>
      <c r="CE140" s="362"/>
      <c r="CF140" s="362">
        <f>SUM(Table14[[#This Row],[Jan-25]:[Dec-25]])</f>
        <v>0</v>
      </c>
      <c r="CG140" s="362"/>
      <c r="CH140" s="362"/>
      <c r="CI140" s="362"/>
      <c r="CJ140" s="414">
        <f>SUM(Table14[[#This Row],[Jan-26]:[Mar-26]])</f>
        <v>0</v>
      </c>
      <c r="CK140" s="531">
        <f>IFERROR(SUM(Table14[[#This Row],[Oct-25]:[Dec-25]],Table14[[#This Row],[Jan-26]:[Mar-26]])/COUNT(Table14[[#This Row],[Oct-25]:[Dec-25]],Table14[[#This Row],[Jan-26]:[Mar-26]]),0)</f>
        <v>0</v>
      </c>
      <c r="CL140" s="359" t="s">
        <v>1161</v>
      </c>
      <c r="CM140" s="414">
        <f>Table14[[#This Row],[YTD 2024]]+Table14[[#This Row],[YTD 2025]]+Table14[[#This Row],[YTD 2026]]</f>
        <v>140000</v>
      </c>
      <c r="CN140" s="366">
        <v>20</v>
      </c>
      <c r="CO140" s="353">
        <f t="shared" si="24"/>
        <v>7000</v>
      </c>
      <c r="CP140" s="353">
        <f>Table14[[#This Row],[Unit Cost]]-Table14[[#This Row],[Margin on Reagent sale]]</f>
        <v>386697</v>
      </c>
      <c r="CQ140" s="372">
        <f>Table14[[#This Row],[Avg reagent Sales per month Actual]]-Table14[[#This Row],[Per Month Reagent Commitment]]</f>
        <v>-98332.5</v>
      </c>
      <c r="CR140" s="403" t="s">
        <v>343</v>
      </c>
      <c r="CS140" s="367">
        <f>Table14[[#This Row],[On Track / (behind) (avg per month)]]/Table14[[#This Row],[Months]]</f>
        <v>-4916.625</v>
      </c>
      <c r="CT140" s="368">
        <v>0.4</v>
      </c>
      <c r="CU140" s="367">
        <f>Table14[[#This Row],[Total Reagent Sales till date Actual]]*Table14[[#This Row],[Margin %]]</f>
        <v>56000</v>
      </c>
      <c r="CV140" s="400">
        <f t="shared" si="25"/>
        <v>0.4</v>
      </c>
      <c r="CW140" s="230"/>
      <c r="CX140" s="1"/>
      <c r="CZ140" s="230"/>
      <c r="DA140" s="1"/>
    </row>
    <row r="141" spans="1:105" ht="15" customHeight="1" x14ac:dyDescent="0.3">
      <c r="A141" s="399" t="s">
        <v>423</v>
      </c>
      <c r="B141" s="629" t="s">
        <v>297</v>
      </c>
      <c r="C141" s="399" t="s">
        <v>24</v>
      </c>
      <c r="D141" s="415" t="s">
        <v>32</v>
      </c>
      <c r="E141" s="403">
        <v>15002462</v>
      </c>
      <c r="F141" s="403" t="s">
        <v>298</v>
      </c>
      <c r="G141" s="449">
        <v>3002000071</v>
      </c>
      <c r="H141" s="666"/>
      <c r="I141" s="416" t="s">
        <v>1166</v>
      </c>
      <c r="J141" s="417"/>
      <c r="K141" s="417" t="s">
        <v>910</v>
      </c>
      <c r="L141" s="417" t="s">
        <v>1167</v>
      </c>
      <c r="M141" s="417" t="s">
        <v>303</v>
      </c>
      <c r="N141" s="417"/>
      <c r="O141" s="418" t="s">
        <v>304</v>
      </c>
      <c r="P141" s="418" t="s">
        <v>16</v>
      </c>
      <c r="Q141" s="399" t="s">
        <v>1058</v>
      </c>
      <c r="R141" s="399">
        <v>3020001280</v>
      </c>
      <c r="S141" s="419" t="s">
        <v>130</v>
      </c>
      <c r="T141" s="403"/>
      <c r="U141" s="403" t="s">
        <v>1168</v>
      </c>
      <c r="V141" s="403" t="s">
        <v>1169</v>
      </c>
      <c r="W141" s="382" t="s">
        <v>1170</v>
      </c>
      <c r="X141" s="399" t="s">
        <v>1171</v>
      </c>
      <c r="Y141" s="399"/>
      <c r="Z141" s="353">
        <v>4615000</v>
      </c>
      <c r="AA141" s="418">
        <v>15</v>
      </c>
      <c r="AB141" s="353">
        <v>2046333</v>
      </c>
      <c r="AC141" s="409"/>
      <c r="AD141" s="410"/>
      <c r="AE141" s="399"/>
      <c r="AF141" s="399"/>
      <c r="AG141" s="399"/>
      <c r="AH141" s="399"/>
      <c r="AI141" s="403"/>
      <c r="AJ141" s="403"/>
      <c r="AK141" s="403"/>
      <c r="AL141" s="403"/>
      <c r="AM141" s="420"/>
      <c r="AN141" s="420"/>
      <c r="AO141" s="403"/>
      <c r="AP141" s="403"/>
      <c r="AQ141" s="403"/>
      <c r="AR141" s="403"/>
      <c r="AS141" s="403"/>
      <c r="AT141" s="403"/>
      <c r="AU141" s="399" t="e">
        <v>#N/A</v>
      </c>
      <c r="AV141" s="420"/>
      <c r="AW141" s="420"/>
      <c r="AX141" s="420"/>
      <c r="AY141" s="420"/>
      <c r="AZ141" s="420"/>
      <c r="BA141" s="370"/>
      <c r="BB141" s="370"/>
      <c r="BC141" s="597" t="s">
        <v>1501</v>
      </c>
      <c r="BD141" s="597" t="s">
        <v>1686</v>
      </c>
      <c r="BE141" s="375">
        <v>1</v>
      </c>
      <c r="BF141" s="419" t="s">
        <v>315</v>
      </c>
      <c r="BG141" s="370"/>
      <c r="BH141" s="370"/>
      <c r="BI141" s="370"/>
      <c r="BJ141" s="370"/>
      <c r="BK141" s="370"/>
      <c r="BL141" s="374"/>
      <c r="BM141" s="358"/>
      <c r="BN141" s="414">
        <v>2085200</v>
      </c>
      <c r="BO141" s="414">
        <v>804000</v>
      </c>
      <c r="BP141" s="414">
        <v>590000</v>
      </c>
      <c r="BQ141" s="414">
        <v>803000</v>
      </c>
      <c r="BR141" s="370">
        <v>0</v>
      </c>
      <c r="BS141" s="362">
        <f>SUM(Table14[[#This Row],[Jan-24]:[Dec-24]])</f>
        <v>4282200</v>
      </c>
      <c r="BT141" s="414">
        <v>2171000</v>
      </c>
      <c r="BU141" s="414">
        <v>0</v>
      </c>
      <c r="BV141" s="414">
        <v>0</v>
      </c>
      <c r="BW141" s="414">
        <v>496000</v>
      </c>
      <c r="BX141" s="414">
        <v>1771200</v>
      </c>
      <c r="BY141" s="367"/>
      <c r="BZ141" s="414">
        <v>2783753</v>
      </c>
      <c r="CA141" s="367"/>
      <c r="CB141" s="414">
        <v>1174300</v>
      </c>
      <c r="CC141" s="414">
        <v>2198150</v>
      </c>
      <c r="CD141" s="367">
        <v>0</v>
      </c>
      <c r="CE141" s="367"/>
      <c r="CF141" s="362">
        <f>SUM(Table14[[#This Row],[Jan-25]:[Dec-25]])</f>
        <v>10594403</v>
      </c>
      <c r="CG141" s="367"/>
      <c r="CH141" s="367"/>
      <c r="CI141" s="367"/>
      <c r="CJ141" s="414">
        <f>SUM(Table14[[#This Row],[Jan-26]:[Mar-26]])</f>
        <v>0</v>
      </c>
      <c r="CK141" s="531">
        <f>IFERROR(SUM(Table14[[#This Row],[Oct-25]:[Dec-25]],Table14[[#This Row],[Jan-26]:[Mar-26]])/COUNT(Table14[[#This Row],[Oct-25]:[Dec-25]],Table14[[#This Row],[Jan-26]:[Mar-26]]),0)</f>
        <v>1099075</v>
      </c>
      <c r="CL141" s="367"/>
      <c r="CM141" s="414">
        <f>Table14[[#This Row],[YTD 2024]]+Table14[[#This Row],[YTD 2025]]+Table14[[#This Row],[YTD 2026]]</f>
        <v>14876603</v>
      </c>
      <c r="CN141" s="418">
        <v>16</v>
      </c>
      <c r="CO141" s="353">
        <f t="shared" si="24"/>
        <v>929787.6875</v>
      </c>
      <c r="CP141" s="353">
        <f>Table14[[#This Row],[Unit Cost]]-Table14[[#This Row],[Margin on Reagent sale]]</f>
        <v>-1335641.2000000002</v>
      </c>
      <c r="CQ141" s="372">
        <f>Table14[[#This Row],[Avg reagent Sales per month Actual]]-Table14[[#This Row],[Per Month Reagent Commitment]]</f>
        <v>-1116545.3125</v>
      </c>
      <c r="CR141" s="403" t="s">
        <v>1172</v>
      </c>
      <c r="CS141" s="367">
        <f>Table14[[#This Row],[On Track / (behind) (avg per month)]]/Table14[[#This Row],[Months]]</f>
        <v>-69784.08203125</v>
      </c>
      <c r="CT141" s="368">
        <v>0.4</v>
      </c>
      <c r="CU141" s="367">
        <f>Table14[[#This Row],[Total Reagent Sales till date Actual]]*Table14[[#This Row],[Margin %]]</f>
        <v>5950641.2000000002</v>
      </c>
      <c r="CV141" s="400">
        <f t="shared" si="25"/>
        <v>0.4</v>
      </c>
      <c r="CW141" s="230"/>
      <c r="CX141" s="1"/>
      <c r="CZ141" s="230"/>
      <c r="DA141" s="1"/>
    </row>
    <row r="142" spans="1:105" ht="15" customHeight="1" x14ac:dyDescent="0.3">
      <c r="A142" s="399" t="s">
        <v>423</v>
      </c>
      <c r="B142" s="630" t="s">
        <v>297</v>
      </c>
      <c r="C142" s="399" t="s">
        <v>24</v>
      </c>
      <c r="D142" s="415" t="s">
        <v>35</v>
      </c>
      <c r="E142" s="403">
        <v>15002553</v>
      </c>
      <c r="F142" s="403" t="s">
        <v>298</v>
      </c>
      <c r="G142" s="449" t="s">
        <v>1173</v>
      </c>
      <c r="H142" s="666"/>
      <c r="I142" s="416" t="s">
        <v>1174</v>
      </c>
      <c r="J142" s="417"/>
      <c r="K142" s="417"/>
      <c r="L142" s="417" t="s">
        <v>469</v>
      </c>
      <c r="M142" s="417"/>
      <c r="N142" s="417"/>
      <c r="O142" s="418" t="s">
        <v>304</v>
      </c>
      <c r="P142" s="418" t="s">
        <v>16</v>
      </c>
      <c r="Q142" s="403" t="s">
        <v>651</v>
      </c>
      <c r="R142" s="399">
        <v>3020001280</v>
      </c>
      <c r="S142" s="419" t="s">
        <v>181</v>
      </c>
      <c r="T142" s="403"/>
      <c r="U142" s="426"/>
      <c r="V142" s="403"/>
      <c r="W142" s="399"/>
      <c r="X142" s="399"/>
      <c r="Y142" s="399"/>
      <c r="Z142" s="353">
        <v>2894655</v>
      </c>
      <c r="AA142" s="418">
        <v>36</v>
      </c>
      <c r="AB142" s="353">
        <v>529290</v>
      </c>
      <c r="AC142" s="409"/>
      <c r="AD142" s="410"/>
      <c r="AE142" s="399"/>
      <c r="AF142" s="399"/>
      <c r="AG142" s="399"/>
      <c r="AH142" s="399"/>
      <c r="AI142" s="403"/>
      <c r="AJ142" s="403"/>
      <c r="AK142" s="403"/>
      <c r="AL142" s="403"/>
      <c r="AM142" s="420"/>
      <c r="AN142" s="420"/>
      <c r="AO142" s="403"/>
      <c r="AP142" s="403"/>
      <c r="AQ142" s="403"/>
      <c r="AR142" s="403"/>
      <c r="AS142" s="403"/>
      <c r="AT142" s="403"/>
      <c r="AU142" s="399"/>
      <c r="AV142" s="420"/>
      <c r="AW142" s="420"/>
      <c r="AX142" s="420"/>
      <c r="AY142" s="420"/>
      <c r="AZ142" s="420"/>
      <c r="BA142" s="370"/>
      <c r="BB142" s="358"/>
      <c r="BC142" s="597" t="s">
        <v>1501</v>
      </c>
      <c r="BD142" s="597" t="s">
        <v>1686</v>
      </c>
      <c r="BE142" s="358">
        <v>1</v>
      </c>
      <c r="BF142" s="419" t="s">
        <v>315</v>
      </c>
      <c r="BG142" s="370"/>
      <c r="BH142" s="370"/>
      <c r="BI142" s="370"/>
      <c r="BJ142" s="370"/>
      <c r="BK142" s="370"/>
      <c r="BL142" s="374"/>
      <c r="BM142" s="358"/>
      <c r="BN142" s="358"/>
      <c r="BO142" s="358"/>
      <c r="BP142" s="358"/>
      <c r="BQ142" s="358"/>
      <c r="BR142" s="358">
        <v>0</v>
      </c>
      <c r="BS142" s="362">
        <f>SUM(Table14[[#This Row],[Jan-24]:[Dec-24]])</f>
        <v>0</v>
      </c>
      <c r="BT142" s="358"/>
      <c r="BU142" s="358"/>
      <c r="BV142" s="358"/>
      <c r="BW142" s="358"/>
      <c r="BX142" s="358"/>
      <c r="BY142" s="376"/>
      <c r="BZ142" s="358"/>
      <c r="CA142" s="376"/>
      <c r="CB142" s="358"/>
      <c r="CC142" s="358"/>
      <c r="CD142" s="376">
        <v>0</v>
      </c>
      <c r="CE142" s="376"/>
      <c r="CF142" s="362">
        <f>SUM(Table14[[#This Row],[Jan-25]:[Dec-25]])</f>
        <v>0</v>
      </c>
      <c r="CG142" s="376"/>
      <c r="CH142" s="376"/>
      <c r="CI142" s="376"/>
      <c r="CJ142" s="414">
        <f>SUM(Table14[[#This Row],[Jan-26]:[Mar-26]])</f>
        <v>0</v>
      </c>
      <c r="CK142" s="531">
        <f>IFERROR(SUM(Table14[[#This Row],[Oct-25]:[Dec-25]],Table14[[#This Row],[Jan-26]:[Mar-26]])/COUNT(Table14[[#This Row],[Oct-25]:[Dec-25]],Table14[[#This Row],[Jan-26]:[Mar-26]]),0)</f>
        <v>0</v>
      </c>
      <c r="CL142" s="367"/>
      <c r="CM142" s="414">
        <f>Table14[[#This Row],[YTD 2024]]+Table14[[#This Row],[YTD 2025]]+Table14[[#This Row],[YTD 2026]]</f>
        <v>0</v>
      </c>
      <c r="CN142" s="418"/>
      <c r="CO142" s="353" t="e">
        <f t="shared" si="24"/>
        <v>#DIV/0!</v>
      </c>
      <c r="CP142" s="351"/>
      <c r="CQ142" s="367" t="e">
        <f>Table14[[#This Row],[Avg reagent Sales per month Actual]]-Table14[[#This Row],[Per Month Reagent Commitment]]</f>
        <v>#DIV/0!</v>
      </c>
      <c r="CR142" s="373"/>
      <c r="CS142" s="367" t="e">
        <f>Table14[[#This Row],[On Track / (behind) (avg per month)]]/Table14[[#This Row],[Months]]</f>
        <v>#DIV/0!</v>
      </c>
      <c r="CT142" s="399"/>
      <c r="CU142" s="367">
        <f>Table14[[#This Row],[Total Reagent Sales till date Actual]]*Table14[[#This Row],[Margin %]]</f>
        <v>0</v>
      </c>
      <c r="CV142" s="371">
        <f t="shared" si="25"/>
        <v>0</v>
      </c>
      <c r="CW142" s="230"/>
      <c r="CX142" s="1"/>
      <c r="CZ142" s="230"/>
      <c r="DA142" s="1"/>
    </row>
    <row r="143" spans="1:105" ht="15" customHeight="1" x14ac:dyDescent="0.3">
      <c r="A143" s="399" t="s">
        <v>423</v>
      </c>
      <c r="B143" s="630" t="s">
        <v>297</v>
      </c>
      <c r="C143" s="399" t="s">
        <v>24</v>
      </c>
      <c r="D143" s="415" t="s">
        <v>371</v>
      </c>
      <c r="E143" s="403">
        <v>15003241</v>
      </c>
      <c r="F143" s="403" t="s">
        <v>298</v>
      </c>
      <c r="G143" s="449" t="s">
        <v>1175</v>
      </c>
      <c r="H143" s="666"/>
      <c r="I143" s="416" t="s">
        <v>1176</v>
      </c>
      <c r="J143" s="417"/>
      <c r="K143" s="417"/>
      <c r="L143" s="417" t="s">
        <v>469</v>
      </c>
      <c r="M143" s="417"/>
      <c r="N143" s="417"/>
      <c r="O143" s="418" t="s">
        <v>304</v>
      </c>
      <c r="P143" s="418" t="s">
        <v>16</v>
      </c>
      <c r="Q143" s="403" t="s">
        <v>349</v>
      </c>
      <c r="R143" s="399">
        <v>3020001280</v>
      </c>
      <c r="S143" s="419" t="s">
        <v>130</v>
      </c>
      <c r="T143" s="403"/>
      <c r="U143" s="426" t="s">
        <v>1168</v>
      </c>
      <c r="V143" s="403" t="s">
        <v>1169</v>
      </c>
      <c r="W143" s="399" t="s">
        <v>1170</v>
      </c>
      <c r="X143" s="399" t="s">
        <v>1171</v>
      </c>
      <c r="Y143" s="399"/>
      <c r="Z143" s="486">
        <v>5025642</v>
      </c>
      <c r="AA143" s="418">
        <v>36</v>
      </c>
      <c r="AB143" s="486">
        <v>1028560</v>
      </c>
      <c r="AC143" s="409"/>
      <c r="AD143" s="410"/>
      <c r="AE143" s="399"/>
      <c r="AF143" s="399"/>
      <c r="AG143" s="399"/>
      <c r="AH143" s="399"/>
      <c r="AI143" s="403"/>
      <c r="AJ143" s="403"/>
      <c r="AK143" s="403"/>
      <c r="AL143" s="403"/>
      <c r="AM143" s="420"/>
      <c r="AN143" s="420"/>
      <c r="AO143" s="403"/>
      <c r="AP143" s="403"/>
      <c r="AQ143" s="403"/>
      <c r="AR143" s="403"/>
      <c r="AS143" s="403"/>
      <c r="AT143" s="403"/>
      <c r="AU143" s="399"/>
      <c r="AV143" s="420"/>
      <c r="AW143" s="420"/>
      <c r="AX143" s="420"/>
      <c r="AY143" s="420"/>
      <c r="AZ143" s="420"/>
      <c r="BA143" s="370"/>
      <c r="BB143" s="358"/>
      <c r="BC143" s="597" t="s">
        <v>1501</v>
      </c>
      <c r="BD143" s="597" t="s">
        <v>1686</v>
      </c>
      <c r="BE143" s="358">
        <v>1</v>
      </c>
      <c r="BF143" s="419" t="s">
        <v>315</v>
      </c>
      <c r="BG143" s="370"/>
      <c r="BH143" s="370"/>
      <c r="BI143" s="370"/>
      <c r="BJ143" s="370"/>
      <c r="BK143" s="487"/>
      <c r="BL143" s="488"/>
      <c r="BM143" s="358"/>
      <c r="BN143" s="358"/>
      <c r="BO143" s="370"/>
      <c r="BP143" s="487"/>
      <c r="BQ143" s="487"/>
      <c r="BR143" s="487"/>
      <c r="BS143" s="362">
        <f>SUM(Table14[[#This Row],[Jan-24]:[Dec-24]])</f>
        <v>0</v>
      </c>
      <c r="BT143" s="360"/>
      <c r="BU143" s="360"/>
      <c r="BV143" s="376"/>
      <c r="BW143" s="376"/>
      <c r="BX143" s="376"/>
      <c r="BY143" s="376"/>
      <c r="BZ143" s="376"/>
      <c r="CA143" s="376"/>
      <c r="CB143" s="376"/>
      <c r="CC143" s="376"/>
      <c r="CD143" s="376">
        <v>0</v>
      </c>
      <c r="CE143" s="376"/>
      <c r="CF143" s="362">
        <f>SUM(Table14[[#This Row],[Jan-25]:[Dec-25]])</f>
        <v>0</v>
      </c>
      <c r="CG143" s="376"/>
      <c r="CH143" s="376"/>
      <c r="CI143" s="376"/>
      <c r="CJ143" s="414">
        <f>SUM(Table14[[#This Row],[Jan-26]:[Mar-26]])</f>
        <v>0</v>
      </c>
      <c r="CK143" s="531">
        <f>IFERROR(SUM(Table14[[#This Row],[Oct-25]:[Dec-25]],Table14[[#This Row],[Jan-26]:[Mar-26]])/COUNT(Table14[[#This Row],[Oct-25]:[Dec-25]],Table14[[#This Row],[Jan-26]:[Mar-26]]),0)</f>
        <v>0</v>
      </c>
      <c r="CL143" s="367"/>
      <c r="CM143" s="414">
        <f>Table14[[#This Row],[YTD 2024]]+Table14[[#This Row],[YTD 2025]]+Table14[[#This Row],[YTD 2026]]</f>
        <v>0</v>
      </c>
      <c r="CN143" s="418"/>
      <c r="CO143" s="486" t="e">
        <f t="shared" si="24"/>
        <v>#DIV/0!</v>
      </c>
      <c r="CP143" s="490"/>
      <c r="CQ143" s="489" t="e">
        <f>Table14[[#This Row],[Avg reagent Sales per month Actual]]-Table14[[#This Row],[Per Month Reagent Commitment]]</f>
        <v>#DIV/0!</v>
      </c>
      <c r="CR143" s="373"/>
      <c r="CS143" s="367" t="e">
        <f>Table14[[#This Row],[On Track / (behind) (avg per month)]]/Table14[[#This Row],[Months]]</f>
        <v>#DIV/0!</v>
      </c>
      <c r="CT143" s="491"/>
      <c r="CU143" s="367">
        <f>Table14[[#This Row],[Total Reagent Sales till date Actual]]*Table14[[#This Row],[Margin %]]</f>
        <v>0</v>
      </c>
      <c r="CV143" s="371">
        <f t="shared" si="25"/>
        <v>0</v>
      </c>
      <c r="CW143" s="230"/>
      <c r="CX143" s="1"/>
      <c r="CZ143" s="230"/>
      <c r="DA143" s="1"/>
    </row>
    <row r="144" spans="1:105" ht="15" customHeight="1" x14ac:dyDescent="0.3">
      <c r="A144" s="399" t="s">
        <v>787</v>
      </c>
      <c r="B144" s="631" t="s">
        <v>297</v>
      </c>
      <c r="C144" s="399" t="s">
        <v>24</v>
      </c>
      <c r="D144" s="415" t="s">
        <v>31</v>
      </c>
      <c r="E144" s="403">
        <v>15002462</v>
      </c>
      <c r="F144" s="403" t="s">
        <v>298</v>
      </c>
      <c r="G144" s="449">
        <v>3002000100</v>
      </c>
      <c r="H144" s="666"/>
      <c r="I144" s="427" t="s">
        <v>1177</v>
      </c>
      <c r="J144" s="417"/>
      <c r="K144" s="417"/>
      <c r="L144" s="417" t="s">
        <v>437</v>
      </c>
      <c r="M144" s="417"/>
      <c r="N144" s="417"/>
      <c r="O144" s="418" t="s">
        <v>304</v>
      </c>
      <c r="P144" s="418" t="s">
        <v>17</v>
      </c>
      <c r="Q144" s="399" t="s">
        <v>791</v>
      </c>
      <c r="R144" s="399">
        <v>3020001357</v>
      </c>
      <c r="S144" s="419" t="s">
        <v>87</v>
      </c>
      <c r="T144" s="403"/>
      <c r="U144" s="426"/>
      <c r="V144" s="403"/>
      <c r="W144" s="399"/>
      <c r="X144" s="399"/>
      <c r="Y144" s="399"/>
      <c r="Z144" s="486">
        <v>4715000</v>
      </c>
      <c r="AA144" s="418">
        <v>35</v>
      </c>
      <c r="AB144" s="486">
        <v>551283</v>
      </c>
      <c r="AC144" s="409"/>
      <c r="AD144" s="410"/>
      <c r="AE144" s="399"/>
      <c r="AF144" s="399"/>
      <c r="AG144" s="399"/>
      <c r="AH144" s="399"/>
      <c r="AI144" s="403"/>
      <c r="AJ144" s="403"/>
      <c r="AK144" s="403"/>
      <c r="AL144" s="403"/>
      <c r="AM144" s="420"/>
      <c r="AN144" s="420"/>
      <c r="AO144" s="403"/>
      <c r="AP144" s="403"/>
      <c r="AQ144" s="403"/>
      <c r="AR144" s="403"/>
      <c r="AS144" s="403"/>
      <c r="AT144" s="403"/>
      <c r="AU144" s="399"/>
      <c r="AV144" s="420"/>
      <c r="AW144" s="420"/>
      <c r="AX144" s="420"/>
      <c r="AY144" s="420"/>
      <c r="AZ144" s="420"/>
      <c r="BA144" s="370"/>
      <c r="BB144" s="358"/>
      <c r="BC144" s="597" t="s">
        <v>1527</v>
      </c>
      <c r="BD144" s="597" t="s">
        <v>1691</v>
      </c>
      <c r="BE144" s="375">
        <v>1</v>
      </c>
      <c r="BF144" s="419" t="s">
        <v>315</v>
      </c>
      <c r="BG144" s="370"/>
      <c r="BH144" s="370"/>
      <c r="BI144" s="370"/>
      <c r="BJ144" s="370"/>
      <c r="BK144" s="487"/>
      <c r="BL144" s="488"/>
      <c r="BM144" s="358"/>
      <c r="BN144" s="358"/>
      <c r="BO144" s="370"/>
      <c r="BP144" s="487"/>
      <c r="BQ144" s="487"/>
      <c r="BR144" s="487"/>
      <c r="BS144" s="362">
        <f>SUM(Table14[[#This Row],[Jan-24]:[Dec-24]])</f>
        <v>0</v>
      </c>
      <c r="BT144" s="414">
        <v>1124145</v>
      </c>
      <c r="BU144" s="414">
        <v>181223</v>
      </c>
      <c r="BV144" s="414">
        <v>286961</v>
      </c>
      <c r="BW144" s="414">
        <v>695411</v>
      </c>
      <c r="BX144" s="414">
        <v>722945</v>
      </c>
      <c r="BY144" s="414">
        <v>448757</v>
      </c>
      <c r="BZ144" s="414">
        <v>881376</v>
      </c>
      <c r="CA144" s="414">
        <v>397279</v>
      </c>
      <c r="CB144" s="414">
        <v>571425</v>
      </c>
      <c r="CC144" s="414">
        <v>0</v>
      </c>
      <c r="CD144" s="414">
        <v>0</v>
      </c>
      <c r="CE144" s="414">
        <v>1474506</v>
      </c>
      <c r="CF144" s="362">
        <f>SUM(Table14[[#This Row],[Jan-25]:[Dec-25]])</f>
        <v>6784028</v>
      </c>
      <c r="CG144" s="414">
        <v>40800</v>
      </c>
      <c r="CH144" s="414">
        <v>0</v>
      </c>
      <c r="CI144" s="414"/>
      <c r="CJ144" s="414">
        <f>SUM(Table14[[#This Row],[Jan-26]:[Mar-26]])</f>
        <v>40800</v>
      </c>
      <c r="CK144" s="531">
        <f>IFERROR(SUM(Table14[[#This Row],[Oct-25]:[Dec-25]],Table14[[#This Row],[Jan-26]:[Mar-26]])/COUNT(Table14[[#This Row],[Oct-25]:[Dec-25]],Table14[[#This Row],[Jan-26]:[Mar-26]]),0)</f>
        <v>303061.2</v>
      </c>
      <c r="CL144" s="367"/>
      <c r="CM144" s="414">
        <f>Table14[[#This Row],[YTD 2024]]+Table14[[#This Row],[YTD 2025]]+Table14[[#This Row],[YTD 2026]]</f>
        <v>6824828</v>
      </c>
      <c r="CN144" s="418">
        <v>13</v>
      </c>
      <c r="CO144" s="353">
        <f t="shared" si="24"/>
        <v>524986.76923076925</v>
      </c>
      <c r="CP144" s="353">
        <f>Table14[[#This Row],[Unit Cost]]-Table14[[#This Row],[Margin on Reagent sale]]</f>
        <v>1985068.7999999998</v>
      </c>
      <c r="CQ144" s="489">
        <f>Table14[[#This Row],[Avg reagent Sales per month Actual]]-Table14[[#This Row],[Per Month Reagent Commitment]]</f>
        <v>-26296.230769230751</v>
      </c>
      <c r="CR144" s="403" t="s">
        <v>648</v>
      </c>
      <c r="CS144" s="367">
        <f>Table14[[#This Row],[On Track / (behind) (avg per month)]]/Table14[[#This Row],[Months]]</f>
        <v>-2022.7869822485193</v>
      </c>
      <c r="CT144" s="368">
        <v>0.4</v>
      </c>
      <c r="CU144" s="367">
        <f>Table14[[#This Row],[Total Reagent Sales till date Actual]]*Table14[[#This Row],[Margin %]]</f>
        <v>2729931.2</v>
      </c>
      <c r="CV144" s="371">
        <f t="shared" si="25"/>
        <v>0.4</v>
      </c>
      <c r="CW144" s="230"/>
      <c r="CX144" s="1"/>
      <c r="CZ144" s="230"/>
      <c r="DA144" s="1"/>
    </row>
    <row r="145" spans="1:105" ht="15" customHeight="1" x14ac:dyDescent="0.3">
      <c r="A145" s="399" t="s">
        <v>296</v>
      </c>
      <c r="B145" s="629" t="s">
        <v>297</v>
      </c>
      <c r="C145" s="399" t="s">
        <v>22</v>
      </c>
      <c r="D145" s="415" t="s">
        <v>33</v>
      </c>
      <c r="E145" s="403">
        <v>15001967</v>
      </c>
      <c r="F145" s="403" t="s">
        <v>397</v>
      </c>
      <c r="G145" s="449">
        <v>3002000039</v>
      </c>
      <c r="H145" s="409"/>
      <c r="I145" s="416">
        <v>121495</v>
      </c>
      <c r="J145" s="417" t="str">
        <f>+Table14[[#This Row],[Approval Date]]</f>
        <v>07.11.2023</v>
      </c>
      <c r="K145" s="417"/>
      <c r="L145" s="417" t="s">
        <v>1150</v>
      </c>
      <c r="M145" s="417" t="s">
        <v>303</v>
      </c>
      <c r="N145" s="417"/>
      <c r="O145" s="416" t="s">
        <v>348</v>
      </c>
      <c r="P145" s="418" t="s">
        <v>15</v>
      </c>
      <c r="Q145" s="399" t="s">
        <v>374</v>
      </c>
      <c r="R145" s="399">
        <v>3020001382</v>
      </c>
      <c r="S145" s="419" t="s">
        <v>161</v>
      </c>
      <c r="T145" s="452" t="s">
        <v>1178</v>
      </c>
      <c r="U145" s="403" t="s">
        <v>1179</v>
      </c>
      <c r="V145" s="453" t="s">
        <v>1180</v>
      </c>
      <c r="W145" s="386" t="s">
        <v>1181</v>
      </c>
      <c r="X145" s="399"/>
      <c r="Y145" s="453" t="s">
        <v>1182</v>
      </c>
      <c r="Z145" s="353">
        <v>880301.4</v>
      </c>
      <c r="AA145" s="366">
        <v>15</v>
      </c>
      <c r="AB145" s="353">
        <f>783747/5</f>
        <v>156749.4</v>
      </c>
      <c r="AC145" s="409"/>
      <c r="AD145" s="410"/>
      <c r="AE145" s="399"/>
      <c r="AF145" s="399"/>
      <c r="AG145" s="399"/>
      <c r="AH145" s="399"/>
      <c r="AI145" s="403"/>
      <c r="AJ145" s="403"/>
      <c r="AK145" s="403"/>
      <c r="AL145" s="403"/>
      <c r="AM145" s="420"/>
      <c r="AN145" s="420"/>
      <c r="AO145" s="403"/>
      <c r="AP145" s="403"/>
      <c r="AQ145" s="403"/>
      <c r="AR145" s="403"/>
      <c r="AS145" s="403"/>
      <c r="AT145" s="403"/>
      <c r="AU145" s="409" t="s">
        <v>1183</v>
      </c>
      <c r="AV145" s="409"/>
      <c r="AW145" s="409" t="e">
        <v>#REF!</v>
      </c>
      <c r="AX145" s="409"/>
      <c r="AY145" s="409"/>
      <c r="AZ145" s="409" t="s">
        <v>1184</v>
      </c>
      <c r="BA145" s="409"/>
      <c r="BB145" s="409"/>
      <c r="BC145" s="596" t="s">
        <v>1495</v>
      </c>
      <c r="BD145" s="596"/>
      <c r="BE145" s="409"/>
      <c r="BF145" s="419"/>
      <c r="BG145" s="363"/>
      <c r="BH145" s="363">
        <f>4275000/5</f>
        <v>855000</v>
      </c>
      <c r="BI145" s="363"/>
      <c r="BJ145" s="363"/>
      <c r="BK145" s="363">
        <f>8550000/5</f>
        <v>1710000</v>
      </c>
      <c r="BL145" s="363"/>
      <c r="BM145" s="363"/>
      <c r="BN145" s="363"/>
      <c r="BO145" s="363"/>
      <c r="BP145" s="363"/>
      <c r="BQ145" s="363"/>
      <c r="BR145" s="363"/>
      <c r="BS145" s="362">
        <f>SUM(Table14[[#This Row],[Jan-24]:[Dec-24]])</f>
        <v>2565000</v>
      </c>
      <c r="BT145" s="362"/>
      <c r="BU145" s="362"/>
      <c r="BV145" s="362">
        <v>0</v>
      </c>
      <c r="BW145" s="362"/>
      <c r="BX145" s="362"/>
      <c r="BY145" s="362"/>
      <c r="BZ145" s="362"/>
      <c r="CA145" s="362"/>
      <c r="CB145" s="362"/>
      <c r="CC145" s="362"/>
      <c r="CD145" s="362"/>
      <c r="CE145" s="362"/>
      <c r="CF145" s="362">
        <f>SUM(Table14[[#This Row],[Jan-25]:[Dec-25]])</f>
        <v>0</v>
      </c>
      <c r="CG145" s="362">
        <v>0</v>
      </c>
      <c r="CH145" s="362">
        <v>0</v>
      </c>
      <c r="CI145" s="362"/>
      <c r="CJ145" s="414">
        <f>SUM(Table14[[#This Row],[Jan-26]:[Mar-26]])</f>
        <v>0</v>
      </c>
      <c r="CK145" s="531">
        <f>IFERROR(SUM(Table14[[#This Row],[Oct-25]:[Dec-25]],Table14[[#This Row],[Jan-26]:[Mar-26]])/COUNT(Table14[[#This Row],[Oct-25]:[Dec-25]],Table14[[#This Row],[Jan-26]:[Mar-26]]),0)</f>
        <v>0</v>
      </c>
      <c r="CL145" s="363" t="s">
        <v>1185</v>
      </c>
      <c r="CM145" s="414">
        <f>Table14[[#This Row],[YTD 2024]]+Table14[[#This Row],[YTD 2025]]+Table14[[#This Row],[YTD 2026]]</f>
        <v>2565000</v>
      </c>
      <c r="CN145" s="366">
        <v>18</v>
      </c>
      <c r="CO145" s="353">
        <f t="shared" si="24"/>
        <v>142500</v>
      </c>
      <c r="CP145" s="353">
        <f>Table14[[#This Row],[Unit Cost]]-Table14[[#This Row],[Margin on Reagent sale]]</f>
        <v>-145698.59999999998</v>
      </c>
      <c r="CQ145" s="372">
        <f>Table14[[#This Row],[Avg reagent Sales per month Actual]]-Table14[[#This Row],[Per Month Reagent Commitment]]</f>
        <v>-14249.399999999994</v>
      </c>
      <c r="CR145" s="403" t="s">
        <v>648</v>
      </c>
      <c r="CS145" s="367">
        <f>Table14[[#This Row],[On Track / (behind) (avg per month)]]/Table14[[#This Row],[Months]]</f>
        <v>-791.63333333333298</v>
      </c>
      <c r="CT145" s="368">
        <v>0.4</v>
      </c>
      <c r="CU145" s="367">
        <f>Table14[[#This Row],[Total Reagent Sales till date Actual]]*Table14[[#This Row],[Margin %]]</f>
        <v>1026000</v>
      </c>
      <c r="CV145" s="400">
        <f t="shared" si="25"/>
        <v>0.4</v>
      </c>
      <c r="CW145" s="230"/>
      <c r="CX145" s="1"/>
      <c r="CZ145" s="230"/>
      <c r="DA145" s="1"/>
    </row>
    <row r="146" spans="1:105" ht="15" customHeight="1" x14ac:dyDescent="0.3">
      <c r="A146" s="399" t="s">
        <v>296</v>
      </c>
      <c r="B146" s="629" t="s">
        <v>297</v>
      </c>
      <c r="C146" s="399" t="s">
        <v>22</v>
      </c>
      <c r="D146" s="415" t="s">
        <v>33</v>
      </c>
      <c r="E146" s="403">
        <v>15001967</v>
      </c>
      <c r="F146" s="403" t="s">
        <v>397</v>
      </c>
      <c r="G146" s="449">
        <v>3002000064</v>
      </c>
      <c r="H146" s="409"/>
      <c r="I146" s="416">
        <v>121497</v>
      </c>
      <c r="J146" s="417" t="str">
        <f>+Table14[[#This Row],[Approval Date]]</f>
        <v>07.11.2023</v>
      </c>
      <c r="K146" s="417"/>
      <c r="L146" s="417" t="s">
        <v>1150</v>
      </c>
      <c r="M146" s="417" t="s">
        <v>303</v>
      </c>
      <c r="N146" s="417"/>
      <c r="O146" s="416" t="s">
        <v>348</v>
      </c>
      <c r="P146" s="418" t="s">
        <v>15</v>
      </c>
      <c r="Q146" s="399" t="s">
        <v>374</v>
      </c>
      <c r="R146" s="399">
        <v>3020001382</v>
      </c>
      <c r="S146" s="419" t="s">
        <v>161</v>
      </c>
      <c r="T146" s="452" t="s">
        <v>1178</v>
      </c>
      <c r="U146" s="403" t="s">
        <v>1179</v>
      </c>
      <c r="V146" s="453" t="s">
        <v>1180</v>
      </c>
      <c r="W146" s="386" t="s">
        <v>1181</v>
      </c>
      <c r="X146" s="399"/>
      <c r="Y146" s="453" t="s">
        <v>1182</v>
      </c>
      <c r="Z146" s="353">
        <v>880301.4</v>
      </c>
      <c r="AA146" s="366">
        <v>15</v>
      </c>
      <c r="AB146" s="353">
        <f>783747/5</f>
        <v>156749.4</v>
      </c>
      <c r="AC146" s="409"/>
      <c r="AD146" s="410"/>
      <c r="AE146" s="399"/>
      <c r="AF146" s="399"/>
      <c r="AG146" s="399"/>
      <c r="AH146" s="399"/>
      <c r="AI146" s="403"/>
      <c r="AJ146" s="403"/>
      <c r="AK146" s="403"/>
      <c r="AL146" s="403"/>
      <c r="AM146" s="420"/>
      <c r="AN146" s="420"/>
      <c r="AO146" s="403"/>
      <c r="AP146" s="403"/>
      <c r="AQ146" s="403"/>
      <c r="AR146" s="403"/>
      <c r="AS146" s="403"/>
      <c r="AT146" s="403"/>
      <c r="AU146" s="409" t="s">
        <v>1183</v>
      </c>
      <c r="AV146" s="409"/>
      <c r="AW146" s="409" t="e">
        <v>#REF!</v>
      </c>
      <c r="AX146" s="409"/>
      <c r="AY146" s="409"/>
      <c r="AZ146" s="409" t="s">
        <v>1184</v>
      </c>
      <c r="BA146" s="409"/>
      <c r="BB146" s="409"/>
      <c r="BC146" s="596" t="s">
        <v>1495</v>
      </c>
      <c r="BD146" s="596"/>
      <c r="BE146" s="409"/>
      <c r="BF146" s="419"/>
      <c r="BG146" s="363"/>
      <c r="BH146" s="363">
        <f>4275000/5</f>
        <v>855000</v>
      </c>
      <c r="BI146" s="363"/>
      <c r="BJ146" s="363"/>
      <c r="BK146" s="363">
        <f>8550000/5</f>
        <v>1710000</v>
      </c>
      <c r="BL146" s="363"/>
      <c r="BM146" s="363"/>
      <c r="BN146" s="363"/>
      <c r="BO146" s="363"/>
      <c r="BP146" s="363"/>
      <c r="BQ146" s="363"/>
      <c r="BR146" s="363"/>
      <c r="BS146" s="362">
        <f>SUM(Table14[[#This Row],[Jan-24]:[Dec-24]])</f>
        <v>2565000</v>
      </c>
      <c r="BT146" s="362"/>
      <c r="BU146" s="362"/>
      <c r="BV146" s="362">
        <v>0</v>
      </c>
      <c r="BW146" s="362"/>
      <c r="BX146" s="362"/>
      <c r="BY146" s="362"/>
      <c r="BZ146" s="362"/>
      <c r="CA146" s="362"/>
      <c r="CB146" s="362"/>
      <c r="CC146" s="362"/>
      <c r="CD146" s="362"/>
      <c r="CE146" s="362"/>
      <c r="CF146" s="362">
        <f>SUM(Table14[[#This Row],[Jan-25]:[Dec-25]])</f>
        <v>0</v>
      </c>
      <c r="CG146" s="362"/>
      <c r="CH146" s="362"/>
      <c r="CI146" s="362"/>
      <c r="CJ146" s="414">
        <f>SUM(Table14[[#This Row],[Jan-26]:[Mar-26]])</f>
        <v>0</v>
      </c>
      <c r="CK146" s="531">
        <f>IFERROR(SUM(Table14[[#This Row],[Oct-25]:[Dec-25]],Table14[[#This Row],[Jan-26]:[Mar-26]])/COUNT(Table14[[#This Row],[Oct-25]:[Dec-25]],Table14[[#This Row],[Jan-26]:[Mar-26]]),0)</f>
        <v>0</v>
      </c>
      <c r="CL146" s="363" t="s">
        <v>1185</v>
      </c>
      <c r="CM146" s="414">
        <f>Table14[[#This Row],[YTD 2024]]+Table14[[#This Row],[YTD 2025]]+Table14[[#This Row],[YTD 2026]]</f>
        <v>2565000</v>
      </c>
      <c r="CN146" s="366">
        <v>18</v>
      </c>
      <c r="CO146" s="353">
        <f t="shared" si="24"/>
        <v>142500</v>
      </c>
      <c r="CP146" s="353">
        <f>Table14[[#This Row],[Unit Cost]]-Table14[[#This Row],[Margin on Reagent sale]]</f>
        <v>-145698.59999999998</v>
      </c>
      <c r="CQ146" s="372">
        <f>Table14[[#This Row],[Avg reagent Sales per month Actual]]-Table14[[#This Row],[Per Month Reagent Commitment]]</f>
        <v>-14249.399999999994</v>
      </c>
      <c r="CR146" s="403" t="s">
        <v>648</v>
      </c>
      <c r="CS146" s="367">
        <f>Table14[[#This Row],[On Track / (behind) (avg per month)]]/Table14[[#This Row],[Months]]</f>
        <v>-791.63333333333298</v>
      </c>
      <c r="CT146" s="368">
        <v>0.4</v>
      </c>
      <c r="CU146" s="367">
        <f>Table14[[#This Row],[Total Reagent Sales till date Actual]]*Table14[[#This Row],[Margin %]]</f>
        <v>1026000</v>
      </c>
      <c r="CV146" s="400">
        <f t="shared" si="25"/>
        <v>0.4</v>
      </c>
      <c r="CW146" s="230"/>
      <c r="CX146" s="1"/>
      <c r="CZ146" s="230"/>
      <c r="DA146" s="1"/>
    </row>
    <row r="147" spans="1:105" ht="15" customHeight="1" x14ac:dyDescent="0.3">
      <c r="A147" s="399" t="s">
        <v>296</v>
      </c>
      <c r="B147" s="629" t="s">
        <v>297</v>
      </c>
      <c r="C147" s="420" t="s">
        <v>22</v>
      </c>
      <c r="D147" s="415" t="s">
        <v>33</v>
      </c>
      <c r="E147" s="403">
        <v>15001967</v>
      </c>
      <c r="F147" s="403" t="s">
        <v>397</v>
      </c>
      <c r="G147" s="449">
        <v>3002000050</v>
      </c>
      <c r="H147" s="409"/>
      <c r="I147" s="416">
        <v>122531</v>
      </c>
      <c r="J147" s="417" t="str">
        <f>+Table14[[#This Row],[Approval Date]]</f>
        <v>07.11.2023</v>
      </c>
      <c r="K147" s="417" t="s">
        <v>697</v>
      </c>
      <c r="L147" s="417" t="s">
        <v>1150</v>
      </c>
      <c r="M147" s="417" t="s">
        <v>303</v>
      </c>
      <c r="N147" s="417"/>
      <c r="O147" s="416" t="s">
        <v>348</v>
      </c>
      <c r="P147" s="418" t="s">
        <v>15</v>
      </c>
      <c r="Q147" s="399" t="s">
        <v>374</v>
      </c>
      <c r="R147" s="399">
        <v>3020001382</v>
      </c>
      <c r="S147" s="419" t="s">
        <v>161</v>
      </c>
      <c r="T147" s="452" t="s">
        <v>1178</v>
      </c>
      <c r="U147" s="403" t="s">
        <v>1179</v>
      </c>
      <c r="V147" s="453" t="s">
        <v>1180</v>
      </c>
      <c r="W147" s="386" t="s">
        <v>1181</v>
      </c>
      <c r="X147" s="399"/>
      <c r="Y147" s="453" t="s">
        <v>1182</v>
      </c>
      <c r="Z147" s="353">
        <v>880301.4</v>
      </c>
      <c r="AA147" s="366">
        <v>15</v>
      </c>
      <c r="AB147" s="353">
        <f>783747/5</f>
        <v>156749.4</v>
      </c>
      <c r="AC147" s="409"/>
      <c r="AD147" s="410"/>
      <c r="AE147" s="424"/>
      <c r="AF147" s="470"/>
      <c r="AG147" s="470"/>
      <c r="AH147" s="470"/>
      <c r="AI147" s="409"/>
      <c r="AJ147" s="410"/>
      <c r="AK147" s="409"/>
      <c r="AL147" s="409"/>
      <c r="AM147" s="425"/>
      <c r="AN147" s="425"/>
      <c r="AO147" s="410"/>
      <c r="AP147" s="410"/>
      <c r="AQ147" s="410"/>
      <c r="AR147" s="410"/>
      <c r="AS147" s="410"/>
      <c r="AT147" s="410"/>
      <c r="AU147" s="409" t="s">
        <v>1183</v>
      </c>
      <c r="AV147" s="471"/>
      <c r="AW147" s="409" t="e">
        <v>#REF!</v>
      </c>
      <c r="AX147" s="409"/>
      <c r="AY147" s="409"/>
      <c r="AZ147" s="409" t="s">
        <v>1184</v>
      </c>
      <c r="BA147" s="409"/>
      <c r="BB147" s="409"/>
      <c r="BC147" s="596" t="s">
        <v>1495</v>
      </c>
      <c r="BD147" s="596"/>
      <c r="BE147" s="409"/>
      <c r="BF147" s="419"/>
      <c r="BG147" s="363"/>
      <c r="BH147" s="363">
        <f>4275000/5</f>
        <v>855000</v>
      </c>
      <c r="BI147" s="363"/>
      <c r="BJ147" s="363"/>
      <c r="BK147" s="363">
        <f>8550000/5</f>
        <v>1710000</v>
      </c>
      <c r="BL147" s="363"/>
      <c r="BM147" s="363"/>
      <c r="BN147" s="363"/>
      <c r="BO147" s="363"/>
      <c r="BP147" s="363"/>
      <c r="BQ147" s="363"/>
      <c r="BR147" s="363"/>
      <c r="BS147" s="362">
        <f>SUM(Table14[[#This Row],[Jan-24]:[Dec-24]])</f>
        <v>2565000</v>
      </c>
      <c r="BT147" s="362"/>
      <c r="BU147" s="362"/>
      <c r="BV147" s="362">
        <v>0</v>
      </c>
      <c r="BW147" s="362"/>
      <c r="BX147" s="362"/>
      <c r="BY147" s="362"/>
      <c r="BZ147" s="362"/>
      <c r="CA147" s="362"/>
      <c r="CB147" s="362"/>
      <c r="CC147" s="362"/>
      <c r="CD147" s="362"/>
      <c r="CE147" s="362"/>
      <c r="CF147" s="362">
        <f>SUM(Table14[[#This Row],[Jan-25]:[Dec-25]])</f>
        <v>0</v>
      </c>
      <c r="CG147" s="362"/>
      <c r="CH147" s="362"/>
      <c r="CI147" s="362"/>
      <c r="CJ147" s="414">
        <f>SUM(Table14[[#This Row],[Jan-26]:[Mar-26]])</f>
        <v>0</v>
      </c>
      <c r="CK147" s="531">
        <f>IFERROR(SUM(Table14[[#This Row],[Oct-25]:[Dec-25]],Table14[[#This Row],[Jan-26]:[Mar-26]])/COUNT(Table14[[#This Row],[Oct-25]:[Dec-25]],Table14[[#This Row],[Jan-26]:[Mar-26]]),0)</f>
        <v>0</v>
      </c>
      <c r="CL147" s="363" t="s">
        <v>1185</v>
      </c>
      <c r="CM147" s="414">
        <f>Table14[[#This Row],[YTD 2024]]+Table14[[#This Row],[YTD 2025]]+Table14[[#This Row],[YTD 2026]]</f>
        <v>2565000</v>
      </c>
      <c r="CN147" s="366">
        <v>18</v>
      </c>
      <c r="CO147" s="353">
        <f t="shared" si="24"/>
        <v>142500</v>
      </c>
      <c r="CP147" s="353">
        <f>Table14[[#This Row],[Unit Cost]]-Table14[[#This Row],[Margin on Reagent sale]]</f>
        <v>-145698.59999999998</v>
      </c>
      <c r="CQ147" s="372">
        <f>Table14[[#This Row],[Avg reagent Sales per month Actual]]-Table14[[#This Row],[Per Month Reagent Commitment]]</f>
        <v>-14249.399999999994</v>
      </c>
      <c r="CR147" s="403" t="s">
        <v>648</v>
      </c>
      <c r="CS147" s="367">
        <f>Table14[[#This Row],[On Track / (behind) (avg per month)]]/Table14[[#This Row],[Months]]</f>
        <v>-791.63333333333298</v>
      </c>
      <c r="CT147" s="368">
        <v>0.4</v>
      </c>
      <c r="CU147" s="367">
        <f>Table14[[#This Row],[Total Reagent Sales till date Actual]]*Table14[[#This Row],[Margin %]]</f>
        <v>1026000</v>
      </c>
      <c r="CV147" s="400">
        <f t="shared" si="25"/>
        <v>0.4</v>
      </c>
      <c r="CW147" s="230"/>
      <c r="CX147" s="1"/>
      <c r="CZ147" s="230"/>
      <c r="DA147" s="1"/>
    </row>
    <row r="148" spans="1:105" ht="15" customHeight="1" x14ac:dyDescent="0.3">
      <c r="A148" s="399" t="s">
        <v>296</v>
      </c>
      <c r="B148" s="629" t="s">
        <v>297</v>
      </c>
      <c r="C148" s="399" t="s">
        <v>22</v>
      </c>
      <c r="D148" s="415" t="s">
        <v>33</v>
      </c>
      <c r="E148" s="403">
        <v>15001967</v>
      </c>
      <c r="F148" s="403" t="s">
        <v>392</v>
      </c>
      <c r="G148" s="449">
        <v>3002000051</v>
      </c>
      <c r="H148" s="409" t="s">
        <v>299</v>
      </c>
      <c r="I148" s="416">
        <v>123197</v>
      </c>
      <c r="J148" s="417" t="s">
        <v>1186</v>
      </c>
      <c r="K148" s="417" t="s">
        <v>697</v>
      </c>
      <c r="L148" s="417" t="s">
        <v>1150</v>
      </c>
      <c r="M148" s="417" t="s">
        <v>303</v>
      </c>
      <c r="N148" s="417"/>
      <c r="O148" s="416" t="s">
        <v>348</v>
      </c>
      <c r="P148" s="418" t="s">
        <v>15</v>
      </c>
      <c r="Q148" s="399" t="s">
        <v>374</v>
      </c>
      <c r="R148" s="399">
        <v>3020001382</v>
      </c>
      <c r="S148" s="419" t="s">
        <v>161</v>
      </c>
      <c r="T148" s="452" t="s">
        <v>1178</v>
      </c>
      <c r="U148" s="403" t="s">
        <v>1179</v>
      </c>
      <c r="V148" s="453" t="s">
        <v>1180</v>
      </c>
      <c r="W148" s="386" t="s">
        <v>1181</v>
      </c>
      <c r="X148" s="399"/>
      <c r="Y148" s="453" t="s">
        <v>1182</v>
      </c>
      <c r="Z148" s="353">
        <v>880301.4</v>
      </c>
      <c r="AA148" s="366">
        <v>15</v>
      </c>
      <c r="AB148" s="353">
        <f>783747/5</f>
        <v>156749.4</v>
      </c>
      <c r="AC148" s="423"/>
      <c r="AD148" s="424"/>
      <c r="AE148" s="424"/>
      <c r="AF148" s="424"/>
      <c r="AG148" s="424"/>
      <c r="AH148" s="424"/>
      <c r="AI148" s="409"/>
      <c r="AJ148" s="409"/>
      <c r="AK148" s="409"/>
      <c r="AL148" s="409"/>
      <c r="AM148" s="425"/>
      <c r="AN148" s="425"/>
      <c r="AO148" s="409"/>
      <c r="AP148" s="409"/>
      <c r="AQ148" s="409"/>
      <c r="AR148" s="409"/>
      <c r="AS148" s="409"/>
      <c r="AT148" s="409"/>
      <c r="AU148" s="409" t="s">
        <v>1183</v>
      </c>
      <c r="AV148" s="409"/>
      <c r="AW148" s="409" t="e">
        <v>#REF!</v>
      </c>
      <c r="AX148" s="409"/>
      <c r="AY148" s="409"/>
      <c r="AZ148" s="409" t="s">
        <v>1184</v>
      </c>
      <c r="BA148" s="409"/>
      <c r="BB148" s="409"/>
      <c r="BC148" s="596" t="s">
        <v>1495</v>
      </c>
      <c r="BD148" s="596"/>
      <c r="BE148" s="409"/>
      <c r="BF148" s="419"/>
      <c r="BG148" s="363"/>
      <c r="BH148" s="363">
        <f>4275000/5</f>
        <v>855000</v>
      </c>
      <c r="BI148" s="363"/>
      <c r="BJ148" s="363"/>
      <c r="BK148" s="363">
        <f>8550000/5</f>
        <v>1710000</v>
      </c>
      <c r="BL148" s="363"/>
      <c r="BM148" s="363"/>
      <c r="BN148" s="363"/>
      <c r="BO148" s="363"/>
      <c r="BP148" s="363"/>
      <c r="BQ148" s="363"/>
      <c r="BR148" s="363"/>
      <c r="BS148" s="362">
        <f>SUM(Table14[[#This Row],[Jan-24]:[Dec-24]])</f>
        <v>2565000</v>
      </c>
      <c r="BT148" s="362"/>
      <c r="BU148" s="362"/>
      <c r="BV148" s="362">
        <v>0</v>
      </c>
      <c r="BW148" s="362"/>
      <c r="BX148" s="362"/>
      <c r="BY148" s="362"/>
      <c r="BZ148" s="362"/>
      <c r="CA148" s="362"/>
      <c r="CB148" s="362"/>
      <c r="CC148" s="362"/>
      <c r="CD148" s="362"/>
      <c r="CE148" s="362"/>
      <c r="CF148" s="362">
        <f>SUM(Table14[[#This Row],[Jan-25]:[Dec-25]])</f>
        <v>0</v>
      </c>
      <c r="CG148" s="362"/>
      <c r="CH148" s="362"/>
      <c r="CI148" s="362"/>
      <c r="CJ148" s="414">
        <f>SUM(Table14[[#This Row],[Jan-26]:[Mar-26]])</f>
        <v>0</v>
      </c>
      <c r="CK148" s="531">
        <f>IFERROR(SUM(Table14[[#This Row],[Oct-25]:[Dec-25]],Table14[[#This Row],[Jan-26]:[Mar-26]])/COUNT(Table14[[#This Row],[Oct-25]:[Dec-25]],Table14[[#This Row],[Jan-26]:[Mar-26]]),0)</f>
        <v>0</v>
      </c>
      <c r="CL148" s="363" t="s">
        <v>1185</v>
      </c>
      <c r="CM148" s="414">
        <f>Table14[[#This Row],[YTD 2024]]+Table14[[#This Row],[YTD 2025]]+Table14[[#This Row],[YTD 2026]]</f>
        <v>2565000</v>
      </c>
      <c r="CN148" s="366">
        <v>18</v>
      </c>
      <c r="CO148" s="353">
        <f t="shared" si="24"/>
        <v>142500</v>
      </c>
      <c r="CP148" s="353">
        <f>Table14[[#This Row],[Unit Cost]]-Table14[[#This Row],[Margin on Reagent sale]]</f>
        <v>-145698.59999999998</v>
      </c>
      <c r="CQ148" s="372">
        <f>Table14[[#This Row],[Avg reagent Sales per month Actual]]-Table14[[#This Row],[Per Month Reagent Commitment]]</f>
        <v>-14249.399999999994</v>
      </c>
      <c r="CR148" s="403" t="s">
        <v>648</v>
      </c>
      <c r="CS148" s="367">
        <f>Table14[[#This Row],[On Track / (behind) (avg per month)]]/Table14[[#This Row],[Months]]</f>
        <v>-791.63333333333298</v>
      </c>
      <c r="CT148" s="368">
        <v>0.4</v>
      </c>
      <c r="CU148" s="367">
        <f>Table14[[#This Row],[Total Reagent Sales till date Actual]]*Table14[[#This Row],[Margin %]]</f>
        <v>1026000</v>
      </c>
      <c r="CV148" s="400">
        <f t="shared" si="25"/>
        <v>0.4</v>
      </c>
      <c r="CW148" s="230"/>
      <c r="CX148" s="1"/>
      <c r="CZ148" s="230"/>
      <c r="DA148" s="1"/>
    </row>
    <row r="149" spans="1:105" ht="15" customHeight="1" x14ac:dyDescent="0.3">
      <c r="A149" s="399" t="s">
        <v>296</v>
      </c>
      <c r="B149" s="629" t="s">
        <v>297</v>
      </c>
      <c r="C149" s="399" t="s">
        <v>22</v>
      </c>
      <c r="D149" s="415" t="s">
        <v>33</v>
      </c>
      <c r="E149" s="403">
        <v>15001967</v>
      </c>
      <c r="F149" s="403" t="s">
        <v>397</v>
      </c>
      <c r="G149" s="449">
        <v>3002000048</v>
      </c>
      <c r="H149" s="409"/>
      <c r="I149" s="416">
        <v>121496</v>
      </c>
      <c r="J149" s="417" t="str">
        <f>+Table14[[#This Row],[Approval Date]]</f>
        <v>07.11.2023</v>
      </c>
      <c r="K149" s="417"/>
      <c r="L149" s="417" t="s">
        <v>1150</v>
      </c>
      <c r="M149" s="417" t="s">
        <v>303</v>
      </c>
      <c r="N149" s="417"/>
      <c r="O149" s="416" t="s">
        <v>348</v>
      </c>
      <c r="P149" s="418" t="s">
        <v>15</v>
      </c>
      <c r="Q149" s="399" t="s">
        <v>374</v>
      </c>
      <c r="R149" s="399">
        <v>3020001382</v>
      </c>
      <c r="S149" s="419" t="s">
        <v>161</v>
      </c>
      <c r="T149" s="452" t="s">
        <v>1178</v>
      </c>
      <c r="U149" s="403" t="s">
        <v>1179</v>
      </c>
      <c r="V149" s="453" t="s">
        <v>1180</v>
      </c>
      <c r="W149" s="386" t="s">
        <v>1181</v>
      </c>
      <c r="X149" s="399"/>
      <c r="Y149" s="453" t="s">
        <v>1182</v>
      </c>
      <c r="Z149" s="353">
        <v>880301.4</v>
      </c>
      <c r="AA149" s="366">
        <v>15</v>
      </c>
      <c r="AB149" s="353">
        <f>783747/5</f>
        <v>156749.4</v>
      </c>
      <c r="AC149" s="409"/>
      <c r="AD149" s="410"/>
      <c r="AE149" s="399"/>
      <c r="AF149" s="399"/>
      <c r="AG149" s="399"/>
      <c r="AH149" s="399"/>
      <c r="AI149" s="403"/>
      <c r="AJ149" s="403"/>
      <c r="AK149" s="403"/>
      <c r="AL149" s="403"/>
      <c r="AM149" s="420"/>
      <c r="AN149" s="420"/>
      <c r="AO149" s="403"/>
      <c r="AP149" s="403"/>
      <c r="AQ149" s="403"/>
      <c r="AR149" s="403"/>
      <c r="AS149" s="403"/>
      <c r="AT149" s="403"/>
      <c r="AU149" s="409" t="s">
        <v>1183</v>
      </c>
      <c r="AV149" s="409"/>
      <c r="AW149" s="409" t="e">
        <v>#REF!</v>
      </c>
      <c r="AX149" s="409"/>
      <c r="AY149" s="409"/>
      <c r="AZ149" s="409" t="s">
        <v>1184</v>
      </c>
      <c r="BA149" s="409"/>
      <c r="BB149" s="409"/>
      <c r="BC149" s="596" t="s">
        <v>1495</v>
      </c>
      <c r="BD149" s="596"/>
      <c r="BE149" s="409"/>
      <c r="BF149" s="419"/>
      <c r="BG149" s="363"/>
      <c r="BH149" s="363">
        <f>4275000/5</f>
        <v>855000</v>
      </c>
      <c r="BI149" s="363"/>
      <c r="BJ149" s="363"/>
      <c r="BK149" s="363">
        <f>8550000/5</f>
        <v>1710000</v>
      </c>
      <c r="BL149" s="363"/>
      <c r="BM149" s="363"/>
      <c r="BN149" s="363"/>
      <c r="BO149" s="363"/>
      <c r="BP149" s="363"/>
      <c r="BQ149" s="363"/>
      <c r="BR149" s="363"/>
      <c r="BS149" s="362">
        <f>SUM(Table14[[#This Row],[Jan-24]:[Dec-24]])</f>
        <v>2565000</v>
      </c>
      <c r="BT149" s="362"/>
      <c r="BU149" s="362"/>
      <c r="BV149" s="362">
        <v>0</v>
      </c>
      <c r="BW149" s="362"/>
      <c r="BX149" s="362"/>
      <c r="BY149" s="362"/>
      <c r="BZ149" s="362"/>
      <c r="CA149" s="362"/>
      <c r="CB149" s="362"/>
      <c r="CC149" s="362"/>
      <c r="CD149" s="362"/>
      <c r="CE149" s="362"/>
      <c r="CF149" s="362">
        <f>SUM(Table14[[#This Row],[Jan-25]:[Dec-25]])</f>
        <v>0</v>
      </c>
      <c r="CG149" s="362"/>
      <c r="CH149" s="362"/>
      <c r="CI149" s="362"/>
      <c r="CJ149" s="414">
        <f>SUM(Table14[[#This Row],[Jan-26]:[Mar-26]])</f>
        <v>0</v>
      </c>
      <c r="CK149" s="531">
        <f>IFERROR(SUM(Table14[[#This Row],[Oct-25]:[Dec-25]],Table14[[#This Row],[Jan-26]:[Mar-26]])/COUNT(Table14[[#This Row],[Oct-25]:[Dec-25]],Table14[[#This Row],[Jan-26]:[Mar-26]]),0)</f>
        <v>0</v>
      </c>
      <c r="CL149" s="363" t="s">
        <v>1185</v>
      </c>
      <c r="CM149" s="414">
        <f>Table14[[#This Row],[YTD 2024]]+Table14[[#This Row],[YTD 2025]]+Table14[[#This Row],[YTD 2026]]</f>
        <v>2565000</v>
      </c>
      <c r="CN149" s="366">
        <v>18</v>
      </c>
      <c r="CO149" s="353">
        <f t="shared" si="24"/>
        <v>142500</v>
      </c>
      <c r="CP149" s="353">
        <f>Table14[[#This Row],[Unit Cost]]-Table14[[#This Row],[Margin on Reagent sale]]</f>
        <v>-145698.59999999998</v>
      </c>
      <c r="CQ149" s="372">
        <f>Table14[[#This Row],[Avg reagent Sales per month Actual]]-Table14[[#This Row],[Per Month Reagent Commitment]]</f>
        <v>-14249.399999999994</v>
      </c>
      <c r="CR149" s="403" t="s">
        <v>648</v>
      </c>
      <c r="CS149" s="367">
        <f>Table14[[#This Row],[On Track / (behind) (avg per month)]]/Table14[[#This Row],[Months]]</f>
        <v>-791.63333333333298</v>
      </c>
      <c r="CT149" s="368">
        <v>0.4</v>
      </c>
      <c r="CU149" s="367">
        <f>Table14[[#This Row],[Total Reagent Sales till date Actual]]*Table14[[#This Row],[Margin %]]</f>
        <v>1026000</v>
      </c>
      <c r="CV149" s="400">
        <f t="shared" si="25"/>
        <v>0.4</v>
      </c>
      <c r="CX149" s="1"/>
      <c r="CZ149" s="135"/>
      <c r="DA149" s="1"/>
    </row>
    <row r="150" spans="1:105" ht="15" customHeight="1" x14ac:dyDescent="0.3">
      <c r="A150" s="399" t="s">
        <v>423</v>
      </c>
      <c r="B150" s="631" t="s">
        <v>297</v>
      </c>
      <c r="C150" s="399" t="s">
        <v>24</v>
      </c>
      <c r="D150" s="415" t="s">
        <v>35</v>
      </c>
      <c r="E150" s="403">
        <v>15002553</v>
      </c>
      <c r="F150" s="403" t="s">
        <v>298</v>
      </c>
      <c r="G150" s="449" t="s">
        <v>1187</v>
      </c>
      <c r="H150" s="666" t="s">
        <v>570</v>
      </c>
      <c r="I150" s="429" t="s">
        <v>1188</v>
      </c>
      <c r="J150" s="417"/>
      <c r="K150" s="417"/>
      <c r="L150" s="417" t="s">
        <v>998</v>
      </c>
      <c r="M150" s="417"/>
      <c r="N150" s="417"/>
      <c r="O150" s="418" t="s">
        <v>304</v>
      </c>
      <c r="P150" s="418" t="s">
        <v>16</v>
      </c>
      <c r="Q150" s="399" t="s">
        <v>973</v>
      </c>
      <c r="R150" s="399">
        <v>3020001384</v>
      </c>
      <c r="S150" s="419" t="s">
        <v>93</v>
      </c>
      <c r="T150" s="403"/>
      <c r="U150" s="426" t="s">
        <v>1189</v>
      </c>
      <c r="V150" s="403" t="s">
        <v>1190</v>
      </c>
      <c r="W150" s="399" t="s">
        <v>1191</v>
      </c>
      <c r="X150" s="399"/>
      <c r="Y150" s="399" t="s">
        <v>1192</v>
      </c>
      <c r="Z150" s="486">
        <v>2549913</v>
      </c>
      <c r="AA150" s="418">
        <v>36</v>
      </c>
      <c r="AB150" s="486">
        <v>237632</v>
      </c>
      <c r="AC150" s="409"/>
      <c r="AD150" s="410"/>
      <c r="AE150" s="399"/>
      <c r="AF150" s="399"/>
      <c r="AG150" s="399"/>
      <c r="AH150" s="399"/>
      <c r="AI150" s="403"/>
      <c r="AJ150" s="403"/>
      <c r="AK150" s="403"/>
      <c r="AL150" s="403"/>
      <c r="AM150" s="420"/>
      <c r="AN150" s="420"/>
      <c r="AO150" s="403"/>
      <c r="AP150" s="403"/>
      <c r="AQ150" s="403"/>
      <c r="AR150" s="403"/>
      <c r="AS150" s="403"/>
      <c r="AT150" s="403"/>
      <c r="AU150" s="399"/>
      <c r="AV150" s="420"/>
      <c r="AW150" s="420"/>
      <c r="AX150" s="420"/>
      <c r="AY150" s="420"/>
      <c r="AZ150" s="420"/>
      <c r="BA150" s="370"/>
      <c r="BB150" s="358"/>
      <c r="BC150" s="597" t="s">
        <v>1524</v>
      </c>
      <c r="BD150" s="597" t="s">
        <v>1524</v>
      </c>
      <c r="BE150" s="375">
        <v>1</v>
      </c>
      <c r="BF150" s="419" t="s">
        <v>315</v>
      </c>
      <c r="BG150" s="370"/>
      <c r="BH150" s="370"/>
      <c r="BI150" s="370"/>
      <c r="BJ150" s="414">
        <v>177445</v>
      </c>
      <c r="BK150" s="414">
        <v>495075</v>
      </c>
      <c r="BL150" s="488"/>
      <c r="BM150" s="414">
        <v>420095</v>
      </c>
      <c r="BN150" s="414">
        <v>211140</v>
      </c>
      <c r="BO150" s="414">
        <v>266225</v>
      </c>
      <c r="BP150" s="414">
        <v>568130</v>
      </c>
      <c r="BQ150" s="487"/>
      <c r="BR150" s="414">
        <v>894585</v>
      </c>
      <c r="BS150" s="362">
        <f>SUM(Table14[[#This Row],[Jan-24]:[Dec-24]])</f>
        <v>3032695</v>
      </c>
      <c r="BT150" s="414">
        <v>443670</v>
      </c>
      <c r="BU150" s="360">
        <v>0</v>
      </c>
      <c r="BV150" s="414">
        <v>582767</v>
      </c>
      <c r="BW150" s="414">
        <v>418255</v>
      </c>
      <c r="BX150" s="414">
        <v>542800</v>
      </c>
      <c r="BY150" s="414">
        <v>664740</v>
      </c>
      <c r="BZ150" s="414">
        <v>95220</v>
      </c>
      <c r="CA150" s="414">
        <v>403765</v>
      </c>
      <c r="CB150" s="414">
        <v>295895</v>
      </c>
      <c r="CC150" s="414">
        <v>671485</v>
      </c>
      <c r="CD150" s="414">
        <v>766780</v>
      </c>
      <c r="CE150" s="414">
        <v>660790</v>
      </c>
      <c r="CF150" s="362">
        <f>SUM(Table14[[#This Row],[Jan-25]:[Dec-25]])</f>
        <v>5546167</v>
      </c>
      <c r="CG150" s="414">
        <v>280370</v>
      </c>
      <c r="CH150" s="414">
        <v>77280</v>
      </c>
      <c r="CI150" s="414">
        <f>923220</f>
        <v>923220</v>
      </c>
      <c r="CJ150" s="414">
        <f>SUM(Table14[[#This Row],[Jan-26]:[Mar-26]])</f>
        <v>1280870</v>
      </c>
      <c r="CK150" s="531">
        <f>IFERROR(SUM(Table14[[#This Row],[Oct-25]:[Dec-25]],Table14[[#This Row],[Jan-26]:[Mar-26]])/COUNT(Table14[[#This Row],[Oct-25]:[Dec-25]],Table14[[#This Row],[Jan-26]:[Mar-26]]),0)</f>
        <v>563320.83333333337</v>
      </c>
      <c r="CL150" s="367"/>
      <c r="CM150" s="414">
        <f>Table14[[#This Row],[YTD 2024]]+Table14[[#This Row],[YTD 2025]]+Table14[[#This Row],[YTD 2026]]</f>
        <v>9859732</v>
      </c>
      <c r="CN150" s="418">
        <v>23</v>
      </c>
      <c r="CO150" s="353">
        <f t="shared" si="24"/>
        <v>428684</v>
      </c>
      <c r="CP150" s="353">
        <f>Table14[[#This Row],[Unit Cost]]-Table14[[#This Row],[Margin on Reagent sale]]</f>
        <v>-1393979.8000000003</v>
      </c>
      <c r="CQ150" s="489">
        <v>-125977.13888888888</v>
      </c>
      <c r="CR150" s="403" t="s">
        <v>343</v>
      </c>
      <c r="CS150" s="367">
        <f>Table14[[#This Row],[On Track / (behind) (avg per month)]]/Table14[[#This Row],[Months]]</f>
        <v>-5477.2669082125594</v>
      </c>
      <c r="CT150" s="368">
        <v>0.4</v>
      </c>
      <c r="CU150" s="367">
        <f>Table14[[#This Row],[Total Reagent Sales till date Actual]]*Table14[[#This Row],[Margin %]]</f>
        <v>3943892.8000000003</v>
      </c>
      <c r="CV150" s="371">
        <f t="shared" si="25"/>
        <v>0.4</v>
      </c>
      <c r="CX150" s="1"/>
      <c r="CZ150" s="135"/>
      <c r="DA150" s="1"/>
    </row>
    <row r="151" spans="1:105" ht="15" customHeight="1" x14ac:dyDescent="0.3">
      <c r="A151" s="399" t="s">
        <v>438</v>
      </c>
      <c r="B151" s="631" t="s">
        <v>345</v>
      </c>
      <c r="C151" s="399" t="s">
        <v>52</v>
      </c>
      <c r="D151" s="415" t="s">
        <v>848</v>
      </c>
      <c r="E151" s="403">
        <v>15002705</v>
      </c>
      <c r="F151" s="403" t="s">
        <v>448</v>
      </c>
      <c r="G151" s="449">
        <v>3002000104</v>
      </c>
      <c r="H151" s="666"/>
      <c r="I151" s="427" t="s">
        <v>1193</v>
      </c>
      <c r="J151" s="417"/>
      <c r="K151" s="417"/>
      <c r="L151" s="417" t="s">
        <v>437</v>
      </c>
      <c r="M151" s="417"/>
      <c r="N151" s="444"/>
      <c r="O151" s="418" t="s">
        <v>304</v>
      </c>
      <c r="P151" s="418" t="s">
        <v>17</v>
      </c>
      <c r="Q151" s="399" t="s">
        <v>987</v>
      </c>
      <c r="R151" s="399">
        <v>3020001399</v>
      </c>
      <c r="S151" s="419" t="s">
        <v>117</v>
      </c>
      <c r="T151" s="403"/>
      <c r="U151" s="426"/>
      <c r="V151" s="403"/>
      <c r="W151" s="399"/>
      <c r="X151" s="399"/>
      <c r="Y151" s="399"/>
      <c r="Z151" s="486">
        <v>2270000</v>
      </c>
      <c r="AA151" s="418">
        <v>20</v>
      </c>
      <c r="AB151" s="486">
        <v>380500</v>
      </c>
      <c r="AC151" s="409"/>
      <c r="AD151" s="410"/>
      <c r="AE151" s="399"/>
      <c r="AF151" s="399"/>
      <c r="AG151" s="399"/>
      <c r="AH151" s="399"/>
      <c r="AI151" s="403"/>
      <c r="AJ151" s="403"/>
      <c r="AK151" s="403"/>
      <c r="AL151" s="403"/>
      <c r="AM151" s="420"/>
      <c r="AN151" s="420"/>
      <c r="AO151" s="403"/>
      <c r="AP151" s="403"/>
      <c r="AQ151" s="403"/>
      <c r="AR151" s="403"/>
      <c r="AS151" s="403"/>
      <c r="AT151" s="403"/>
      <c r="AU151" s="399"/>
      <c r="AV151" s="420"/>
      <c r="AW151" s="420"/>
      <c r="AX151" s="420"/>
      <c r="AY151" s="420"/>
      <c r="AZ151" s="420"/>
      <c r="BA151" s="370"/>
      <c r="BB151" s="358"/>
      <c r="BC151" s="597" t="s">
        <v>1505</v>
      </c>
      <c r="BD151" s="597" t="s">
        <v>1651</v>
      </c>
      <c r="BE151" s="375">
        <v>1</v>
      </c>
      <c r="BF151" s="403" t="s">
        <v>315</v>
      </c>
      <c r="BG151" s="370"/>
      <c r="BH151" s="370"/>
      <c r="BI151" s="370"/>
      <c r="BJ151" s="370"/>
      <c r="BK151" s="487"/>
      <c r="BL151" s="488"/>
      <c r="BM151" s="358"/>
      <c r="BN151" s="358"/>
      <c r="BO151" s="370"/>
      <c r="BP151" s="487"/>
      <c r="BQ151" s="487"/>
      <c r="BR151" s="487"/>
      <c r="BS151" s="362">
        <f>SUM(Table14[[#This Row],[Jan-24]:[Dec-24]])</f>
        <v>0</v>
      </c>
      <c r="BT151" s="414">
        <v>536000</v>
      </c>
      <c r="BU151" s="360">
        <v>0</v>
      </c>
      <c r="BV151" s="376">
        <v>0</v>
      </c>
      <c r="BW151" s="376">
        <v>0</v>
      </c>
      <c r="BX151" s="376">
        <v>0</v>
      </c>
      <c r="BY151" s="414">
        <v>1018000</v>
      </c>
      <c r="BZ151" s="414">
        <v>0</v>
      </c>
      <c r="CA151" s="414">
        <v>0</v>
      </c>
      <c r="CB151" s="414">
        <v>0</v>
      </c>
      <c r="CC151" s="414">
        <v>0</v>
      </c>
      <c r="CD151" s="414"/>
      <c r="CE151" s="414">
        <v>1198000</v>
      </c>
      <c r="CF151" s="362">
        <f>SUM(Table14[[#This Row],[Jan-25]:[Dec-25]])</f>
        <v>2752000</v>
      </c>
      <c r="CG151" s="414">
        <v>0</v>
      </c>
      <c r="CH151" s="414">
        <v>-120000</v>
      </c>
      <c r="CI151" s="414">
        <v>120000</v>
      </c>
      <c r="CJ151" s="414">
        <f>SUM(Table14[[#This Row],[Jan-26]:[Mar-26]])</f>
        <v>0</v>
      </c>
      <c r="CK151" s="531">
        <f>IFERROR(SUM(Table14[[#This Row],[Oct-25]:[Dec-25]],Table14[[#This Row],[Jan-26]:[Mar-26]])/COUNT(Table14[[#This Row],[Oct-25]:[Dec-25]],Table14[[#This Row],[Jan-26]:[Mar-26]]),0)</f>
        <v>239600</v>
      </c>
      <c r="CL151" s="367"/>
      <c r="CM151" s="414">
        <f>Table14[[#This Row],[YTD 2024]]+Table14[[#This Row],[YTD 2025]]+Table14[[#This Row],[YTD 2026]]</f>
        <v>2752000</v>
      </c>
      <c r="CN151" s="418">
        <v>11</v>
      </c>
      <c r="CO151" s="353">
        <f t="shared" si="24"/>
        <v>250181.81818181818</v>
      </c>
      <c r="CP151" s="353">
        <f>Table14[[#This Row],[Unit Cost]]-Table14[[#This Row],[Margin on Reagent sale]]</f>
        <v>1582000</v>
      </c>
      <c r="CQ151" s="489">
        <f>Table14[[#This Row],[Avg reagent Sales per month Actual]]-Table14[[#This Row],[Per Month Reagent Commitment]]</f>
        <v>-130318.18181818182</v>
      </c>
      <c r="CR151" s="403" t="s">
        <v>640</v>
      </c>
      <c r="CS151" s="367">
        <f>Table14[[#This Row],[On Track / (behind) (avg per month)]]/Table14[[#This Row],[Months]]</f>
        <v>-11847.10743801653</v>
      </c>
      <c r="CT151" s="368">
        <v>0.25</v>
      </c>
      <c r="CU151" s="367">
        <f>Table14[[#This Row],[Total Reagent Sales till date Actual]]*Table14[[#This Row],[Margin %]]</f>
        <v>688000</v>
      </c>
      <c r="CV151" s="371">
        <f t="shared" si="25"/>
        <v>0.25</v>
      </c>
      <c r="CX151" s="1"/>
      <c r="CZ151" s="135"/>
      <c r="DA151" s="1"/>
    </row>
    <row r="152" spans="1:105" ht="15" customHeight="1" x14ac:dyDescent="0.3">
      <c r="A152" s="399" t="s">
        <v>438</v>
      </c>
      <c r="B152" s="631" t="s">
        <v>345</v>
      </c>
      <c r="C152" s="399" t="s">
        <v>1194</v>
      </c>
      <c r="D152" s="415" t="s">
        <v>1195</v>
      </c>
      <c r="E152" s="403"/>
      <c r="F152" s="403"/>
      <c r="G152" s="449"/>
      <c r="H152" s="666" t="s">
        <v>570</v>
      </c>
      <c r="I152" s="481">
        <v>2024070199</v>
      </c>
      <c r="J152" s="417"/>
      <c r="K152" s="417"/>
      <c r="L152" s="417" t="s">
        <v>509</v>
      </c>
      <c r="M152" s="417"/>
      <c r="N152" s="444" t="s">
        <v>1196</v>
      </c>
      <c r="O152" s="418" t="s">
        <v>400</v>
      </c>
      <c r="P152" s="418" t="s">
        <v>17</v>
      </c>
      <c r="Q152" s="399" t="s">
        <v>987</v>
      </c>
      <c r="R152" s="399">
        <v>3020001399</v>
      </c>
      <c r="S152" s="419" t="s">
        <v>173</v>
      </c>
      <c r="T152" s="403"/>
      <c r="U152" s="426" t="s">
        <v>1197</v>
      </c>
      <c r="V152" s="403" t="s">
        <v>1198</v>
      </c>
      <c r="W152" s="350" t="s">
        <v>1199</v>
      </c>
      <c r="X152" s="399" t="s">
        <v>1200</v>
      </c>
      <c r="Y152" s="399"/>
      <c r="Z152" s="486">
        <v>1272000</v>
      </c>
      <c r="AA152" s="418">
        <v>9</v>
      </c>
      <c r="AB152" s="486">
        <v>350000</v>
      </c>
      <c r="AC152" s="409"/>
      <c r="AD152" s="410"/>
      <c r="AE152" s="399"/>
      <c r="AF152" s="399"/>
      <c r="AG152" s="399"/>
      <c r="AH152" s="399"/>
      <c r="AI152" s="403"/>
      <c r="AJ152" s="403"/>
      <c r="AK152" s="403"/>
      <c r="AL152" s="403"/>
      <c r="AM152" s="420"/>
      <c r="AN152" s="420"/>
      <c r="AO152" s="403"/>
      <c r="AP152" s="403"/>
      <c r="AQ152" s="403"/>
      <c r="AR152" s="403"/>
      <c r="AS152" s="403"/>
      <c r="AT152" s="403"/>
      <c r="AU152" s="399"/>
      <c r="AV152" s="420"/>
      <c r="AW152" s="420"/>
      <c r="AX152" s="420"/>
      <c r="AY152" s="420"/>
      <c r="AZ152" s="420"/>
      <c r="BA152" s="370"/>
      <c r="BB152" s="358"/>
      <c r="BC152" s="595" t="s">
        <v>1527</v>
      </c>
      <c r="BD152" s="595" t="s">
        <v>1688</v>
      </c>
      <c r="BE152" s="358">
        <v>1</v>
      </c>
      <c r="BF152" s="419" t="s">
        <v>315</v>
      </c>
      <c r="BG152" s="370"/>
      <c r="BH152" s="370"/>
      <c r="BI152" s="370"/>
      <c r="BJ152" s="370"/>
      <c r="BK152" s="487"/>
      <c r="BL152" s="488"/>
      <c r="BM152" s="358"/>
      <c r="BN152" s="358"/>
      <c r="BO152" s="370"/>
      <c r="BP152" s="487"/>
      <c r="BQ152" s="487"/>
      <c r="BR152" s="487"/>
      <c r="BS152" s="362">
        <f>SUM(Table14[[#This Row],[Jan-24]:[Dec-24]])</f>
        <v>0</v>
      </c>
      <c r="BT152" s="360"/>
      <c r="BU152" s="360"/>
      <c r="BV152" s="376"/>
      <c r="BW152" s="376"/>
      <c r="BX152" s="376"/>
      <c r="BY152" s="376"/>
      <c r="BZ152" s="376"/>
      <c r="CA152" s="376"/>
      <c r="CB152" s="376"/>
      <c r="CC152" s="376"/>
      <c r="CD152" s="376"/>
      <c r="CE152" s="376"/>
      <c r="CF152" s="362">
        <f>SUM(Table14[[#This Row],[Jan-25]:[Dec-25]])</f>
        <v>0</v>
      </c>
      <c r="CG152" s="376">
        <v>0</v>
      </c>
      <c r="CH152" s="376">
        <v>0</v>
      </c>
      <c r="CI152" s="376">
        <v>0</v>
      </c>
      <c r="CJ152" s="414">
        <f>SUM(Table14[[#This Row],[Jan-26]:[Mar-26]])</f>
        <v>0</v>
      </c>
      <c r="CK152" s="531">
        <f>IFERROR(SUM(Table14[[#This Row],[Oct-25]:[Dec-25]],Table14[[#This Row],[Jan-26]:[Mar-26]])/COUNT(Table14[[#This Row],[Oct-25]:[Dec-25]],Table14[[#This Row],[Jan-26]:[Mar-26]]),0)</f>
        <v>0</v>
      </c>
      <c r="CL152" s="367"/>
      <c r="CM152" s="414">
        <f>Table14[[#This Row],[YTD 2024]]+Table14[[#This Row],[YTD 2025]]+Table14[[#This Row],[YTD 2026]]</f>
        <v>0</v>
      </c>
      <c r="CN152" s="418"/>
      <c r="CO152" s="353" t="e">
        <f t="shared" si="24"/>
        <v>#DIV/0!</v>
      </c>
      <c r="CP152" s="353">
        <f>Table14[[#This Row],[Unit Cost]]-Table14[[#This Row],[Margin on Reagent sale]]</f>
        <v>1272000</v>
      </c>
      <c r="CQ152" s="489">
        <v>-431006.33333333337</v>
      </c>
      <c r="CR152" s="403" t="s">
        <v>640</v>
      </c>
      <c r="CS152" s="367" t="e">
        <f>Table14[[#This Row],[On Track / (behind) (avg per month)]]/Table14[[#This Row],[Months]]</f>
        <v>#DIV/0!</v>
      </c>
      <c r="CT152" s="495">
        <v>0.4</v>
      </c>
      <c r="CU152" s="367">
        <f>Table14[[#This Row],[Total Reagent Sales till date Actual]]*Table14[[#This Row],[Margin %]]</f>
        <v>0</v>
      </c>
      <c r="CV152" s="371">
        <f t="shared" si="25"/>
        <v>0.4</v>
      </c>
      <c r="CX152" s="1"/>
      <c r="CZ152" s="135"/>
      <c r="DA152" s="1"/>
    </row>
    <row r="153" spans="1:105" ht="15" customHeight="1" x14ac:dyDescent="0.3">
      <c r="A153" s="399" t="s">
        <v>787</v>
      </c>
      <c r="B153" s="629" t="s">
        <v>297</v>
      </c>
      <c r="C153" s="399" t="s">
        <v>24</v>
      </c>
      <c r="D153" s="415" t="s">
        <v>31</v>
      </c>
      <c r="E153" s="403">
        <v>15002462</v>
      </c>
      <c r="F153" s="403" t="s">
        <v>298</v>
      </c>
      <c r="G153" s="449">
        <v>3002000072</v>
      </c>
      <c r="H153" s="670" t="s">
        <v>1542</v>
      </c>
      <c r="I153" s="416" t="s">
        <v>1201</v>
      </c>
      <c r="J153" s="417" t="s">
        <v>1202</v>
      </c>
      <c r="K153" s="417" t="s">
        <v>1203</v>
      </c>
      <c r="L153" s="417" t="s">
        <v>1203</v>
      </c>
      <c r="M153" s="417" t="s">
        <v>425</v>
      </c>
      <c r="N153" s="417"/>
      <c r="O153" s="416" t="s">
        <v>348</v>
      </c>
      <c r="P153" s="418" t="s">
        <v>17</v>
      </c>
      <c r="Q153" s="399" t="s">
        <v>1204</v>
      </c>
      <c r="R153" s="399">
        <v>3020001430</v>
      </c>
      <c r="S153" s="419" t="s">
        <v>129</v>
      </c>
      <c r="T153" s="403" t="s">
        <v>299</v>
      </c>
      <c r="U153" s="403" t="s">
        <v>1205</v>
      </c>
      <c r="V153" s="403" t="s">
        <v>1206</v>
      </c>
      <c r="W153" s="350" t="s">
        <v>1207</v>
      </c>
      <c r="X153" s="434" t="s">
        <v>1208</v>
      </c>
      <c r="Y153" s="399" t="s">
        <v>1209</v>
      </c>
      <c r="Z153" s="353">
        <v>2983545</v>
      </c>
      <c r="AA153" s="366">
        <v>12</v>
      </c>
      <c r="AB153" s="353">
        <v>751293</v>
      </c>
      <c r="AC153" s="423"/>
      <c r="AD153" s="424"/>
      <c r="AE153" s="424"/>
      <c r="AF153" s="424"/>
      <c r="AG153" s="424"/>
      <c r="AH153" s="424"/>
      <c r="AI153" s="409"/>
      <c r="AJ153" s="409"/>
      <c r="AK153" s="409"/>
      <c r="AL153" s="409"/>
      <c r="AM153" s="425"/>
      <c r="AN153" s="425"/>
      <c r="AO153" s="409"/>
      <c r="AP153" s="409"/>
      <c r="AQ153" s="409"/>
      <c r="AR153" s="409"/>
      <c r="AS153" s="409"/>
      <c r="AT153" s="409"/>
      <c r="AU153" s="409" t="s">
        <v>545</v>
      </c>
      <c r="AV153" s="409"/>
      <c r="AW153" s="409"/>
      <c r="AX153" s="409"/>
      <c r="AY153" s="409"/>
      <c r="AZ153" s="409" t="s">
        <v>723</v>
      </c>
      <c r="BA153" s="409"/>
      <c r="BB153" s="409"/>
      <c r="BC153" s="598" t="s">
        <v>348</v>
      </c>
      <c r="BD153" s="598"/>
      <c r="BE153" s="424">
        <v>1</v>
      </c>
      <c r="BF153" s="419"/>
      <c r="BG153" s="363">
        <v>0</v>
      </c>
      <c r="BH153" s="363">
        <v>0</v>
      </c>
      <c r="BI153" s="363">
        <v>0</v>
      </c>
      <c r="BJ153" s="363">
        <v>0</v>
      </c>
      <c r="BK153" s="363">
        <v>494250</v>
      </c>
      <c r="BL153" s="363">
        <v>0</v>
      </c>
      <c r="BM153" s="363">
        <v>0</v>
      </c>
      <c r="BN153" s="363">
        <v>1113140</v>
      </c>
      <c r="BO153" s="363">
        <v>397760</v>
      </c>
      <c r="BP153" s="363">
        <v>0</v>
      </c>
      <c r="BQ153" s="363">
        <v>0</v>
      </c>
      <c r="BR153" s="363">
        <v>0</v>
      </c>
      <c r="BS153" s="362">
        <f>SUM(Table14[[#This Row],[Jan-24]:[Dec-24]])</f>
        <v>2005150</v>
      </c>
      <c r="BT153" s="362">
        <v>0</v>
      </c>
      <c r="BU153" s="362">
        <v>0</v>
      </c>
      <c r="BV153" s="362">
        <v>0</v>
      </c>
      <c r="BW153" s="362">
        <v>0</v>
      </c>
      <c r="BX153" s="362">
        <v>0</v>
      </c>
      <c r="BY153" s="367">
        <v>0</v>
      </c>
      <c r="BZ153" s="367">
        <v>0</v>
      </c>
      <c r="CA153" s="367">
        <v>0</v>
      </c>
      <c r="CB153" s="367">
        <v>0</v>
      </c>
      <c r="CC153" s="367">
        <v>0</v>
      </c>
      <c r="CD153" s="367">
        <v>0</v>
      </c>
      <c r="CE153" s="367"/>
      <c r="CF153" s="362">
        <f>SUM(Table14[[#This Row],[Jan-25]:[Dec-25]])</f>
        <v>0</v>
      </c>
      <c r="CG153" s="367"/>
      <c r="CH153" s="367"/>
      <c r="CI153" s="367"/>
      <c r="CJ153" s="414">
        <f>SUM(Table14[[#This Row],[Jan-26]:[Mar-26]])</f>
        <v>0</v>
      </c>
      <c r="CK153" s="531">
        <f>IFERROR(SUM(Table14[[#This Row],[Oct-25]:[Dec-25]],Table14[[#This Row],[Jan-26]:[Mar-26]])/COUNT(Table14[[#This Row],[Oct-25]:[Dec-25]],Table14[[#This Row],[Jan-26]:[Mar-26]]),0)</f>
        <v>0</v>
      </c>
      <c r="CL153" s="363"/>
      <c r="CM153" s="414">
        <f>Table14[[#This Row],[YTD 2024]]+Table14[[#This Row],[YTD 2025]]+Table14[[#This Row],[YTD 2026]]</f>
        <v>2005150</v>
      </c>
      <c r="CN153" s="366">
        <v>23</v>
      </c>
      <c r="CO153" s="353">
        <f t="shared" si="24"/>
        <v>87180.434782608689</v>
      </c>
      <c r="CP153" s="353">
        <f>Table14[[#This Row],[Unit Cost]]-Table14[[#This Row],[Margin on Reagent sale]]</f>
        <v>2181485</v>
      </c>
      <c r="CQ153" s="372">
        <f>Table14[[#This Row],[Avg reagent Sales per month Actual]]-Table14[[#This Row],[Per Month Reagent Commitment]]</f>
        <v>-664112.56521739135</v>
      </c>
      <c r="CR153" s="403" t="s">
        <v>1210</v>
      </c>
      <c r="CS153" s="367">
        <f>Table14[[#This Row],[On Track / (behind) (avg per month)]]/Table14[[#This Row],[Months]]</f>
        <v>-28874.459357277887</v>
      </c>
      <c r="CT153" s="368">
        <v>0.4</v>
      </c>
      <c r="CU153" s="367">
        <f>Table14[[#This Row],[Total Reagent Sales till date Actual]]*Table14[[#This Row],[Margin %]]</f>
        <v>802060</v>
      </c>
      <c r="CV153" s="400">
        <f t="shared" si="25"/>
        <v>0.4</v>
      </c>
      <c r="CX153" s="1"/>
      <c r="CZ153" s="135"/>
      <c r="DA153" s="1"/>
    </row>
    <row r="154" spans="1:105" ht="15" customHeight="1" x14ac:dyDescent="0.3">
      <c r="A154" s="399" t="s">
        <v>438</v>
      </c>
      <c r="B154" s="631" t="s">
        <v>345</v>
      </c>
      <c r="C154" s="401" t="s">
        <v>52</v>
      </c>
      <c r="D154" s="402" t="s">
        <v>848</v>
      </c>
      <c r="E154" s="403">
        <v>15002705</v>
      </c>
      <c r="F154" s="403" t="s">
        <v>448</v>
      </c>
      <c r="G154" s="449"/>
      <c r="H154" s="667"/>
      <c r="I154" s="404" t="s">
        <v>1211</v>
      </c>
      <c r="J154" s="405"/>
      <c r="K154" s="405"/>
      <c r="L154" s="405" t="s">
        <v>1212</v>
      </c>
      <c r="M154" s="443" t="s">
        <v>303</v>
      </c>
      <c r="N154" s="443"/>
      <c r="O154" s="404" t="s">
        <v>348</v>
      </c>
      <c r="P154" s="404" t="s">
        <v>17</v>
      </c>
      <c r="Q154" s="400" t="s">
        <v>440</v>
      </c>
      <c r="R154" s="399">
        <v>3020001475</v>
      </c>
      <c r="S154" s="401" t="s">
        <v>57</v>
      </c>
      <c r="T154" s="401"/>
      <c r="U154" s="401" t="s">
        <v>1213</v>
      </c>
      <c r="V154" s="403" t="s">
        <v>1214</v>
      </c>
      <c r="W154" s="350" t="s">
        <v>1215</v>
      </c>
      <c r="X154" s="408" t="s">
        <v>1216</v>
      </c>
      <c r="Y154" s="399"/>
      <c r="Z154" s="351">
        <v>1790491</v>
      </c>
      <c r="AA154" s="352">
        <v>18</v>
      </c>
      <c r="AB154" s="353">
        <v>243750</v>
      </c>
      <c r="AC154" s="409"/>
      <c r="AD154" s="410"/>
      <c r="AE154" s="411"/>
      <c r="AF154" s="411"/>
      <c r="AG154" s="411"/>
      <c r="AH154" s="411"/>
      <c r="AI154" s="411"/>
      <c r="AJ154" s="411"/>
      <c r="AK154" s="411"/>
      <c r="AL154" s="411"/>
      <c r="AM154" s="412"/>
      <c r="AN154" s="412"/>
      <c r="AO154" s="411"/>
      <c r="AP154" s="411"/>
      <c r="AQ154" s="411"/>
      <c r="AR154" s="411"/>
      <c r="AS154" s="411"/>
      <c r="AT154" s="411"/>
      <c r="AU154" s="411"/>
      <c r="AV154" s="412"/>
      <c r="AW154" s="412"/>
      <c r="AX154" s="354"/>
      <c r="AY154" s="354"/>
      <c r="AZ154" s="354"/>
      <c r="BA154" s="354"/>
      <c r="BB154" s="413"/>
      <c r="BC154" s="597" t="s">
        <v>1545</v>
      </c>
      <c r="BD154" s="597"/>
      <c r="BE154" s="375"/>
      <c r="BF154" s="401" t="s">
        <v>1217</v>
      </c>
      <c r="BG154" s="355"/>
      <c r="BH154" s="355"/>
      <c r="BI154" s="355"/>
      <c r="BJ154" s="355"/>
      <c r="BK154" s="356"/>
      <c r="BL154" s="357"/>
      <c r="BM154" s="358"/>
      <c r="BN154" s="358"/>
      <c r="BO154" s="359"/>
      <c r="BP154" s="359"/>
      <c r="BQ154" s="359"/>
      <c r="BR154" s="359"/>
      <c r="BS154" s="362">
        <f>SUM(Table14[[#This Row],[Jan-24]:[Dec-24]])</f>
        <v>0</v>
      </c>
      <c r="BT154" s="361">
        <v>300000</v>
      </c>
      <c r="BU154" s="414">
        <v>300000</v>
      </c>
      <c r="BV154" s="414">
        <v>330000</v>
      </c>
      <c r="BW154" s="421">
        <v>300000</v>
      </c>
      <c r="BX154" s="421">
        <v>300000</v>
      </c>
      <c r="BY154" s="421">
        <v>0</v>
      </c>
      <c r="BZ154" s="421">
        <v>0</v>
      </c>
      <c r="CA154" s="421">
        <v>0</v>
      </c>
      <c r="CB154" s="421">
        <v>0</v>
      </c>
      <c r="CC154" s="421"/>
      <c r="CD154" s="421"/>
      <c r="CE154" s="421"/>
      <c r="CF154" s="362">
        <f>SUM(Table14[[#This Row],[Jan-25]:[Dec-25]])</f>
        <v>1530000</v>
      </c>
      <c r="CG154" s="421"/>
      <c r="CH154" s="421"/>
      <c r="CI154" s="421"/>
      <c r="CJ154" s="414">
        <f>SUM(Table14[[#This Row],[Jan-26]:[Mar-26]])</f>
        <v>0</v>
      </c>
      <c r="CK154" s="531">
        <f>IFERROR(SUM(Table14[[#This Row],[Oct-25]:[Dec-25]],Table14[[#This Row],[Jan-26]:[Mar-26]])/COUNT(Table14[[#This Row],[Oct-25]:[Dec-25]],Table14[[#This Row],[Jan-26]:[Mar-26]]),0)</f>
        <v>0</v>
      </c>
      <c r="CL154" s="364"/>
      <c r="CM154" s="414">
        <f>Table14[[#This Row],[YTD 2024]]+Table14[[#This Row],[YTD 2025]]+Table14[[#This Row],[YTD 2026]]</f>
        <v>1530000</v>
      </c>
      <c r="CN154" s="381">
        <v>9</v>
      </c>
      <c r="CO154" s="353">
        <f t="shared" si="24"/>
        <v>170000</v>
      </c>
      <c r="CP154" s="353">
        <f>Table14[[#This Row],[Unit Cost]]-Table14[[#This Row],[Margin on Reagent sale]]</f>
        <v>1407991</v>
      </c>
      <c r="CQ154" s="367">
        <f>Table14[[#This Row],[Avg reagent Sales per month Actual]]-Table14[[#This Row],[Per Month Reagent Commitment]]</f>
        <v>-73750</v>
      </c>
      <c r="CR154" s="403" t="s">
        <v>777</v>
      </c>
      <c r="CS154" s="367">
        <f>Table14[[#This Row],[On Track / (behind) (avg per month)]]/Table14[[#This Row],[Months]]</f>
        <v>-8194.4444444444453</v>
      </c>
      <c r="CT154" s="368">
        <v>0.25</v>
      </c>
      <c r="CU154" s="367">
        <f>Table14[[#This Row],[Total Reagent Sales till date Actual]]*Table14[[#This Row],[Margin %]]</f>
        <v>382500</v>
      </c>
      <c r="CV154" s="369">
        <f t="shared" si="25"/>
        <v>0.25</v>
      </c>
      <c r="CX154" s="1"/>
      <c r="CZ154" s="135"/>
      <c r="DA154" s="1"/>
    </row>
    <row r="155" spans="1:105" ht="15" customHeight="1" x14ac:dyDescent="0.3">
      <c r="A155" s="399" t="s">
        <v>438</v>
      </c>
      <c r="B155" s="629" t="s">
        <v>345</v>
      </c>
      <c r="C155" s="401" t="s">
        <v>21</v>
      </c>
      <c r="D155" s="402" t="s">
        <v>485</v>
      </c>
      <c r="E155" s="403">
        <v>15002760</v>
      </c>
      <c r="F155" s="401" t="s">
        <v>298</v>
      </c>
      <c r="G155" s="449"/>
      <c r="H155" s="666" t="s">
        <v>1547</v>
      </c>
      <c r="I155" s="416"/>
      <c r="J155" s="417"/>
      <c r="K155" s="417"/>
      <c r="L155" s="417" t="s">
        <v>509</v>
      </c>
      <c r="M155" s="417"/>
      <c r="N155" s="417"/>
      <c r="O155" s="418" t="s">
        <v>348</v>
      </c>
      <c r="P155" s="418" t="s">
        <v>17</v>
      </c>
      <c r="Q155" s="399" t="s">
        <v>987</v>
      </c>
      <c r="R155" s="399">
        <v>3020001479</v>
      </c>
      <c r="S155" s="419" t="s">
        <v>82</v>
      </c>
      <c r="T155" s="403"/>
      <c r="U155" s="426" t="s">
        <v>1218</v>
      </c>
      <c r="V155" s="403" t="s">
        <v>1219</v>
      </c>
      <c r="W155" s="350" t="s">
        <v>1220</v>
      </c>
      <c r="X155" s="399"/>
      <c r="Y155" s="399" t="s">
        <v>1221</v>
      </c>
      <c r="Z155" s="486">
        <v>14396400</v>
      </c>
      <c r="AA155" s="418">
        <v>31</v>
      </c>
      <c r="AB155" s="486">
        <v>1127700</v>
      </c>
      <c r="AC155" s="409"/>
      <c r="AD155" s="410"/>
      <c r="AE155" s="399"/>
      <c r="AF155" s="399"/>
      <c r="AG155" s="399"/>
      <c r="AH155" s="399"/>
      <c r="AI155" s="403"/>
      <c r="AJ155" s="403"/>
      <c r="AK155" s="403"/>
      <c r="AL155" s="403"/>
      <c r="AM155" s="420"/>
      <c r="AN155" s="420"/>
      <c r="AO155" s="403"/>
      <c r="AP155" s="403"/>
      <c r="AQ155" s="403"/>
      <c r="AR155" s="403"/>
      <c r="AS155" s="403"/>
      <c r="AT155" s="403"/>
      <c r="AU155" s="399"/>
      <c r="AV155" s="420"/>
      <c r="AW155" s="420"/>
      <c r="AX155" s="420"/>
      <c r="AY155" s="420"/>
      <c r="AZ155" s="420"/>
      <c r="BA155" s="370"/>
      <c r="BB155" s="358"/>
      <c r="BC155" s="597" t="s">
        <v>348</v>
      </c>
      <c r="BD155" s="597"/>
      <c r="BE155" s="375"/>
      <c r="BF155" s="419" t="s">
        <v>1222</v>
      </c>
      <c r="BG155" s="370"/>
      <c r="BH155" s="370"/>
      <c r="BI155" s="370"/>
      <c r="BJ155" s="370"/>
      <c r="BK155" s="487"/>
      <c r="BL155" s="488"/>
      <c r="BM155" s="358"/>
      <c r="BN155" s="358"/>
      <c r="BO155" s="370"/>
      <c r="BP155" s="487"/>
      <c r="BQ155" s="487"/>
      <c r="BR155" s="487"/>
      <c r="BS155" s="362">
        <f>SUM(Table14[[#This Row],[Jan-24]:[Dec-24]])</f>
        <v>0</v>
      </c>
      <c r="BT155" s="360"/>
      <c r="BU155" s="360"/>
      <c r="BV155" s="414"/>
      <c r="BW155" s="367">
        <v>0</v>
      </c>
      <c r="BX155" s="367">
        <v>0</v>
      </c>
      <c r="BY155" s="367">
        <v>0</v>
      </c>
      <c r="BZ155" s="367">
        <v>0</v>
      </c>
      <c r="CA155" s="367">
        <v>0</v>
      </c>
      <c r="CB155" s="367">
        <v>438708</v>
      </c>
      <c r="CC155" s="367"/>
      <c r="CD155" s="367"/>
      <c r="CE155" s="367">
        <v>-255468</v>
      </c>
      <c r="CF155" s="362">
        <f>SUM(Table14[[#This Row],[Jan-25]:[Dec-25]])</f>
        <v>183240</v>
      </c>
      <c r="CG155" s="367"/>
      <c r="CH155" s="367"/>
      <c r="CI155" s="367"/>
      <c r="CJ155" s="414">
        <f>SUM(Table14[[#This Row],[Jan-26]:[Mar-26]])</f>
        <v>0</v>
      </c>
      <c r="CK155" s="531">
        <f>IFERROR(SUM(Table14[[#This Row],[Oct-25]:[Dec-25]],Table14[[#This Row],[Jan-26]:[Mar-26]])/COUNT(Table14[[#This Row],[Oct-25]:[Dec-25]],Table14[[#This Row],[Jan-26]:[Mar-26]]),0)</f>
        <v>-255468</v>
      </c>
      <c r="CL155" s="367"/>
      <c r="CM155" s="414">
        <f>Table14[[#This Row],[YTD 2024]]+Table14[[#This Row],[YTD 2025]]+Table14[[#This Row],[YTD 2026]]</f>
        <v>183240</v>
      </c>
      <c r="CN155" s="418">
        <v>7</v>
      </c>
      <c r="CO155" s="353">
        <f t="shared" si="24"/>
        <v>26177.142857142859</v>
      </c>
      <c r="CP155" s="353">
        <f>Table14[[#This Row],[Unit Cost]]-Table14[[#This Row],[Margin on Reagent sale]]</f>
        <v>14323104</v>
      </c>
      <c r="CQ155" s="489">
        <v>-295678.4370370371</v>
      </c>
      <c r="CR155" s="403" t="s">
        <v>343</v>
      </c>
      <c r="CS155" s="367">
        <f>Table14[[#This Row],[On Track / (behind) (avg per month)]]/Table14[[#This Row],[Months]]</f>
        <v>-42239.77671957673</v>
      </c>
      <c r="CT155" s="368">
        <v>0.4</v>
      </c>
      <c r="CU155" s="367">
        <f>Table14[[#This Row],[Total Reagent Sales till date Actual]]*Table14[[#This Row],[Margin %]]</f>
        <v>73296</v>
      </c>
      <c r="CV155" s="371">
        <f t="shared" si="25"/>
        <v>0.4</v>
      </c>
      <c r="CX155" s="1"/>
      <c r="CZ155" s="135"/>
      <c r="DA155" s="1"/>
    </row>
    <row r="156" spans="1:105" ht="15" customHeight="1" x14ac:dyDescent="0.3">
      <c r="A156" s="399" t="s">
        <v>511</v>
      </c>
      <c r="B156" s="629" t="s">
        <v>345</v>
      </c>
      <c r="C156" s="399" t="s">
        <v>25</v>
      </c>
      <c r="D156" s="415" t="s">
        <v>1223</v>
      </c>
      <c r="E156" s="403">
        <v>15002669</v>
      </c>
      <c r="F156" s="403" t="s">
        <v>403</v>
      </c>
      <c r="G156" s="449">
        <v>3002000085</v>
      </c>
      <c r="H156" s="666"/>
      <c r="I156" s="416" t="s">
        <v>1224</v>
      </c>
      <c r="J156" s="417"/>
      <c r="K156" s="417"/>
      <c r="L156" s="417"/>
      <c r="M156" s="417"/>
      <c r="N156" s="417"/>
      <c r="O156" s="418" t="s">
        <v>304</v>
      </c>
      <c r="P156" s="418" t="s">
        <v>15</v>
      </c>
      <c r="Q156" s="399" t="s">
        <v>1225</v>
      </c>
      <c r="R156" s="399">
        <v>3020001511</v>
      </c>
      <c r="S156" s="419" t="s">
        <v>91</v>
      </c>
      <c r="T156" s="403"/>
      <c r="U156" s="403" t="s">
        <v>1226</v>
      </c>
      <c r="V156" s="403" t="s">
        <v>1227</v>
      </c>
      <c r="W156" s="382" t="s">
        <v>1228</v>
      </c>
      <c r="X156" s="399"/>
      <c r="Y156" s="399"/>
      <c r="Z156" s="353">
        <v>162901</v>
      </c>
      <c r="AA156" s="418">
        <v>16</v>
      </c>
      <c r="AB156" s="353">
        <v>38357</v>
      </c>
      <c r="AC156" s="409"/>
      <c r="AD156" s="410"/>
      <c r="AE156" s="399"/>
      <c r="AF156" s="399"/>
      <c r="AG156" s="399"/>
      <c r="AH156" s="399"/>
      <c r="AI156" s="403"/>
      <c r="AJ156" s="403"/>
      <c r="AK156" s="403"/>
      <c r="AL156" s="403"/>
      <c r="AM156" s="420"/>
      <c r="AN156" s="420"/>
      <c r="AO156" s="403"/>
      <c r="AP156" s="403"/>
      <c r="AQ156" s="403"/>
      <c r="AR156" s="403"/>
      <c r="AS156" s="403"/>
      <c r="AT156" s="403"/>
      <c r="AU156" s="399" t="e">
        <v>#N/A</v>
      </c>
      <c r="AV156" s="420"/>
      <c r="AW156" s="420"/>
      <c r="AX156" s="420"/>
      <c r="AY156" s="420"/>
      <c r="AZ156" s="420"/>
      <c r="BA156" s="370"/>
      <c r="BB156" s="370"/>
      <c r="BC156" s="597" t="s">
        <v>1493</v>
      </c>
      <c r="BD156" s="597" t="s">
        <v>1493</v>
      </c>
      <c r="BE156" s="375">
        <v>1</v>
      </c>
      <c r="BF156" s="419" t="s">
        <v>315</v>
      </c>
      <c r="BG156" s="370"/>
      <c r="BH156" s="370"/>
      <c r="BI156" s="370"/>
      <c r="BJ156" s="370"/>
      <c r="BK156" s="370"/>
      <c r="BL156" s="374"/>
      <c r="BM156" s="358"/>
      <c r="BN156" s="358"/>
      <c r="BO156" s="370"/>
      <c r="BP156" s="370"/>
      <c r="BQ156" s="370">
        <v>77700</v>
      </c>
      <c r="BR156" s="370">
        <v>25400</v>
      </c>
      <c r="BS156" s="362">
        <f>SUM(Table14[[#This Row],[Jan-24]:[Dec-24]])</f>
        <v>103100</v>
      </c>
      <c r="BT156" s="362"/>
      <c r="BU156" s="362"/>
      <c r="BV156" s="414">
        <v>74800</v>
      </c>
      <c r="BW156" s="414">
        <v>25400</v>
      </c>
      <c r="BX156" s="414"/>
      <c r="BY156" s="414">
        <v>80600</v>
      </c>
      <c r="BZ156" s="414"/>
      <c r="CA156" s="414"/>
      <c r="CB156" s="414"/>
      <c r="CC156" s="414"/>
      <c r="CD156" s="414"/>
      <c r="CE156" s="414">
        <v>92900</v>
      </c>
      <c r="CF156" s="362">
        <f>SUM(Table14[[#This Row],[Jan-25]:[Dec-25]])</f>
        <v>273700</v>
      </c>
      <c r="CG156" s="414">
        <f>1327900/3</f>
        <v>442633.33333333331</v>
      </c>
      <c r="CH156" s="414">
        <f>-243600/3</f>
        <v>-81200</v>
      </c>
      <c r="CI156" s="414">
        <f>287700/3</f>
        <v>95900</v>
      </c>
      <c r="CJ156" s="414">
        <f>SUM(Table14[[#This Row],[Jan-26]:[Mar-26]])</f>
        <v>457333.33333333331</v>
      </c>
      <c r="CK156" s="531">
        <f>IFERROR(SUM(Table14[[#This Row],[Oct-25]:[Dec-25]],Table14[[#This Row],[Jan-26]:[Mar-26]])/COUNT(Table14[[#This Row],[Oct-25]:[Dec-25]],Table14[[#This Row],[Jan-26]:[Mar-26]]),0)</f>
        <v>137558.33333333331</v>
      </c>
      <c r="CL156" s="367" t="s">
        <v>1229</v>
      </c>
      <c r="CM156" s="414">
        <f>Table14[[#This Row],[YTD 2024]]+Table14[[#This Row],[YTD 2025]]+Table14[[#This Row],[YTD 2026]]</f>
        <v>834133.33333333326</v>
      </c>
      <c r="CN156" s="418">
        <v>11</v>
      </c>
      <c r="CO156" s="353">
        <f t="shared" si="24"/>
        <v>75830.303030303025</v>
      </c>
      <c r="CP156" s="353">
        <f>Table14[[#This Row],[Unit Cost]]-Table14[[#This Row],[Margin on Reagent sale]]</f>
        <v>-170752.33333333331</v>
      </c>
      <c r="CQ156" s="367">
        <f>Table14[[#This Row],[Avg reagent Sales per month Actual]]-Table14[[#This Row],[Per Month Reagent Commitment]]</f>
        <v>37473.303030303025</v>
      </c>
      <c r="CR156" s="373" t="s">
        <v>316</v>
      </c>
      <c r="CS156" s="367">
        <f>Table14[[#This Row],[On Track / (behind) (avg per month)]]/Table14[[#This Row],[Months]]</f>
        <v>3406.6639118457297</v>
      </c>
      <c r="CT156" s="368">
        <v>0.4</v>
      </c>
      <c r="CU156" s="367">
        <f>Table14[[#This Row],[Total Reagent Sales till date Actual]]*Table14[[#This Row],[Margin %]]</f>
        <v>333653.33333333331</v>
      </c>
      <c r="CV156" s="371">
        <f t="shared" si="25"/>
        <v>0.4</v>
      </c>
      <c r="CX156" s="1"/>
      <c r="CZ156" s="135"/>
      <c r="DA156" s="1"/>
    </row>
    <row r="157" spans="1:105" ht="15" customHeight="1" x14ac:dyDescent="0.3">
      <c r="A157" s="430" t="s">
        <v>511</v>
      </c>
      <c r="B157" s="632" t="s">
        <v>345</v>
      </c>
      <c r="C157" s="573" t="s">
        <v>25</v>
      </c>
      <c r="D157" s="574" t="s">
        <v>38</v>
      </c>
      <c r="E157" s="439">
        <v>15002674</v>
      </c>
      <c r="F157" s="439" t="s">
        <v>649</v>
      </c>
      <c r="G157" s="449" t="s">
        <v>1230</v>
      </c>
      <c r="H157" s="671"/>
      <c r="I157" s="440" t="s">
        <v>1231</v>
      </c>
      <c r="J157" s="575"/>
      <c r="K157" s="441"/>
      <c r="L157" s="441" t="s">
        <v>1232</v>
      </c>
      <c r="M157" s="441"/>
      <c r="N157" s="441" t="s">
        <v>1233</v>
      </c>
      <c r="O157" s="576" t="s">
        <v>304</v>
      </c>
      <c r="P157" s="577" t="s">
        <v>15</v>
      </c>
      <c r="Q157" s="578" t="s">
        <v>305</v>
      </c>
      <c r="R157" s="573">
        <v>3020001511</v>
      </c>
      <c r="S157" s="579" t="s">
        <v>92</v>
      </c>
      <c r="T157" s="403"/>
      <c r="U157" s="403" t="s">
        <v>1226</v>
      </c>
      <c r="V157" s="403" t="s">
        <v>1234</v>
      </c>
      <c r="W157" s="382" t="s">
        <v>1228</v>
      </c>
      <c r="X157" s="399" t="s">
        <v>1235</v>
      </c>
      <c r="Y157" s="399"/>
      <c r="Z157" s="580">
        <v>17326991</v>
      </c>
      <c r="AA157" s="576">
        <v>29</v>
      </c>
      <c r="AB157" s="580">
        <v>1242200</v>
      </c>
      <c r="AC157" s="409"/>
      <c r="AD157" s="410"/>
      <c r="AE157" s="399"/>
      <c r="AF157" s="399"/>
      <c r="AG157" s="399"/>
      <c r="AH157" s="399"/>
      <c r="AI157" s="403"/>
      <c r="AJ157" s="403"/>
      <c r="AK157" s="403"/>
      <c r="AL157" s="403"/>
      <c r="AM157" s="420"/>
      <c r="AN157" s="420"/>
      <c r="AO157" s="403"/>
      <c r="AP157" s="403"/>
      <c r="AQ157" s="403"/>
      <c r="AR157" s="403"/>
      <c r="AS157" s="403"/>
      <c r="AT157" s="403"/>
      <c r="AU157" s="399"/>
      <c r="AV157" s="420"/>
      <c r="AW157" s="420"/>
      <c r="AX157" s="420"/>
      <c r="AY157" s="420"/>
      <c r="AZ157" s="420"/>
      <c r="BA157" s="370"/>
      <c r="BB157" s="358"/>
      <c r="BC157" s="600" t="s">
        <v>1513</v>
      </c>
      <c r="BD157" s="600" t="s">
        <v>1654</v>
      </c>
      <c r="BE157" s="383">
        <v>1</v>
      </c>
      <c r="BF157" s="568" t="s">
        <v>1236</v>
      </c>
      <c r="BG157" s="505"/>
      <c r="BH157" s="505"/>
      <c r="BI157" s="505"/>
      <c r="BJ157" s="505"/>
      <c r="BK157" s="505"/>
      <c r="BL157" s="506"/>
      <c r="BM157" s="507"/>
      <c r="BN157" s="507"/>
      <c r="BO157" s="505"/>
      <c r="BP157" s="505"/>
      <c r="BQ157" s="505"/>
      <c r="BR157" s="505"/>
      <c r="BS157" s="362">
        <f>SUM(Table14[[#This Row],[Jan-24]:[Dec-24]])</f>
        <v>0</v>
      </c>
      <c r="BT157" s="509"/>
      <c r="BU157" s="509"/>
      <c r="BV157" s="510"/>
      <c r="BW157" s="511">
        <v>47950</v>
      </c>
      <c r="BX157" s="512">
        <v>344900</v>
      </c>
      <c r="BY157" s="512">
        <v>389200</v>
      </c>
      <c r="BZ157" s="512">
        <v>1633400</v>
      </c>
      <c r="CA157" s="512">
        <v>47950</v>
      </c>
      <c r="CB157" s="512">
        <v>1269750</v>
      </c>
      <c r="CC157" s="512">
        <v>65150</v>
      </c>
      <c r="CD157" s="512">
        <v>0</v>
      </c>
      <c r="CE157" s="544">
        <v>285700</v>
      </c>
      <c r="CF157" s="362">
        <f>SUM(Table14[[#This Row],[Jan-25]:[Dec-25]])</f>
        <v>4084000</v>
      </c>
      <c r="CG157" s="544"/>
      <c r="CH157" s="544"/>
      <c r="CI157" s="544"/>
      <c r="CJ157" s="414">
        <f>SUM(Table14[[#This Row],[Jan-26]:[Mar-26]])</f>
        <v>0</v>
      </c>
      <c r="CK157" s="531">
        <f>IFERROR(SUM(Table14[[#This Row],[Oct-25]:[Dec-25]],Table14[[#This Row],[Jan-26]:[Mar-26]])/COUNT(Table14[[#This Row],[Oct-25]:[Dec-25]],Table14[[#This Row],[Jan-26]:[Mar-26]]),0)</f>
        <v>116950</v>
      </c>
      <c r="CL157" s="581"/>
      <c r="CM157" s="414">
        <f>Table14[[#This Row],[YTD 2024]]+Table14[[#This Row],[YTD 2025]]+Table14[[#This Row],[YTD 2026]]</f>
        <v>4084000</v>
      </c>
      <c r="CN157" s="577">
        <v>7</v>
      </c>
      <c r="CO157" s="582">
        <f t="shared" si="24"/>
        <v>583428.57142857148</v>
      </c>
      <c r="CP157" s="582">
        <f>Table14[[#This Row],[Unit Cost]]-Table14[[#This Row],[Margin on Reagent sale]]</f>
        <v>15693391</v>
      </c>
      <c r="CQ157" s="581">
        <v>-21293.666666666672</v>
      </c>
      <c r="CR157" s="583" t="s">
        <v>1237</v>
      </c>
      <c r="CS157" s="581">
        <f>Table14[[#This Row],[On Track / (behind) (avg per month)]]/Table14[[#This Row],[Months]]</f>
        <v>-3041.9523809523816</v>
      </c>
      <c r="CT157" s="584">
        <v>0.4</v>
      </c>
      <c r="CU157" s="581">
        <f>Table14[[#This Row],[Total Reagent Sales till date Actual]]*Table14[[#This Row],[Margin %]]</f>
        <v>1633600</v>
      </c>
      <c r="CV157" s="585">
        <f t="shared" si="25"/>
        <v>0.4</v>
      </c>
      <c r="CX157" s="1"/>
      <c r="CZ157" s="135"/>
      <c r="DA157" s="1"/>
    </row>
    <row r="158" spans="1:105" ht="15" customHeight="1" x14ac:dyDescent="0.3">
      <c r="A158" s="399" t="s">
        <v>511</v>
      </c>
      <c r="B158" s="629" t="s">
        <v>345</v>
      </c>
      <c r="C158" s="399" t="s">
        <v>25</v>
      </c>
      <c r="D158" s="415" t="s">
        <v>1238</v>
      </c>
      <c r="E158" s="403">
        <v>15002674</v>
      </c>
      <c r="F158" s="403" t="s">
        <v>649</v>
      </c>
      <c r="G158" s="449">
        <v>3002000084</v>
      </c>
      <c r="H158" s="666"/>
      <c r="I158" s="427" t="s">
        <v>1239</v>
      </c>
      <c r="J158" s="417"/>
      <c r="K158" s="417"/>
      <c r="L158" s="417"/>
      <c r="M158" s="417"/>
      <c r="N158" s="417"/>
      <c r="O158" s="418" t="s">
        <v>304</v>
      </c>
      <c r="P158" s="418" t="s">
        <v>15</v>
      </c>
      <c r="Q158" s="399" t="s">
        <v>1225</v>
      </c>
      <c r="R158" s="399">
        <v>3020001511</v>
      </c>
      <c r="S158" s="419" t="s">
        <v>91</v>
      </c>
      <c r="T158" s="403"/>
      <c r="U158" s="403" t="s">
        <v>1226</v>
      </c>
      <c r="V158" s="403" t="s">
        <v>1240</v>
      </c>
      <c r="W158" s="382" t="s">
        <v>1228</v>
      </c>
      <c r="X158" s="399"/>
      <c r="Y158" s="399"/>
      <c r="Z158" s="353">
        <v>275285</v>
      </c>
      <c r="AA158" s="418">
        <v>10</v>
      </c>
      <c r="AB158" s="353">
        <v>64040</v>
      </c>
      <c r="AC158" s="409"/>
      <c r="AD158" s="410"/>
      <c r="AE158" s="399"/>
      <c r="AF158" s="399"/>
      <c r="AG158" s="399"/>
      <c r="AH158" s="399"/>
      <c r="AI158" s="403"/>
      <c r="AJ158" s="403"/>
      <c r="AK158" s="403"/>
      <c r="AL158" s="403"/>
      <c r="AM158" s="420"/>
      <c r="AN158" s="420"/>
      <c r="AO158" s="403"/>
      <c r="AP158" s="403"/>
      <c r="AQ158" s="403"/>
      <c r="AR158" s="403"/>
      <c r="AS158" s="403"/>
      <c r="AT158" s="403"/>
      <c r="AU158" s="399" t="e">
        <v>#N/A</v>
      </c>
      <c r="AV158" s="420"/>
      <c r="AW158" s="420"/>
      <c r="AX158" s="420"/>
      <c r="AY158" s="420"/>
      <c r="AZ158" s="420"/>
      <c r="BA158" s="370"/>
      <c r="BB158" s="370"/>
      <c r="BC158" s="597" t="s">
        <v>1493</v>
      </c>
      <c r="BD158" s="597" t="s">
        <v>1493</v>
      </c>
      <c r="BE158" s="375">
        <v>1</v>
      </c>
      <c r="BF158" s="419" t="s">
        <v>315</v>
      </c>
      <c r="BG158" s="370"/>
      <c r="BH158" s="370"/>
      <c r="BI158" s="370"/>
      <c r="BJ158" s="370"/>
      <c r="BK158" s="370"/>
      <c r="BL158" s="374"/>
      <c r="BM158" s="358"/>
      <c r="BN158" s="358"/>
      <c r="BO158" s="370"/>
      <c r="BP158" s="370"/>
      <c r="BQ158" s="370">
        <v>38800</v>
      </c>
      <c r="BR158" s="370">
        <v>70000</v>
      </c>
      <c r="BS158" s="362">
        <f>SUM(Table14[[#This Row],[Jan-24]:[Dec-24]])</f>
        <v>108800</v>
      </c>
      <c r="BT158" s="362">
        <v>0</v>
      </c>
      <c r="BU158" s="362">
        <v>0</v>
      </c>
      <c r="BV158" s="362">
        <v>0</v>
      </c>
      <c r="BW158" s="421">
        <v>47950</v>
      </c>
      <c r="BX158" s="421">
        <v>344900</v>
      </c>
      <c r="BY158" s="421">
        <v>389200</v>
      </c>
      <c r="BZ158" s="421">
        <v>1633400</v>
      </c>
      <c r="CA158" s="421">
        <v>47950</v>
      </c>
      <c r="CB158" s="421">
        <v>1269750</v>
      </c>
      <c r="CC158" s="421">
        <v>65150</v>
      </c>
      <c r="CD158" s="421">
        <v>0</v>
      </c>
      <c r="CE158" s="421">
        <v>285700</v>
      </c>
      <c r="CF158" s="362">
        <f>SUM(Table14[[#This Row],[Jan-25]:[Dec-25]])</f>
        <v>4084000</v>
      </c>
      <c r="CG158" s="421">
        <f>CG156</f>
        <v>442633.33333333331</v>
      </c>
      <c r="CH158" s="421">
        <f>CH156</f>
        <v>-81200</v>
      </c>
      <c r="CI158" s="421">
        <f>CI156</f>
        <v>95900</v>
      </c>
      <c r="CJ158" s="414">
        <f>SUM(Table14[[#This Row],[Jan-26]:[Mar-26]])</f>
        <v>457333.33333333331</v>
      </c>
      <c r="CK158" s="531">
        <f>IFERROR(SUM(Table14[[#This Row],[Oct-25]:[Dec-25]],Table14[[#This Row],[Jan-26]:[Mar-26]])/COUNT(Table14[[#This Row],[Oct-25]:[Dec-25]],Table14[[#This Row],[Jan-26]:[Mar-26]]),0)</f>
        <v>134697.22222222222</v>
      </c>
      <c r="CL158" s="367" t="s">
        <v>1229</v>
      </c>
      <c r="CM158" s="414">
        <f>Table14[[#This Row],[YTD 2024]]+Table14[[#This Row],[YTD 2025]]+Table14[[#This Row],[YTD 2026]]</f>
        <v>4650133.333333333</v>
      </c>
      <c r="CN158" s="418">
        <v>13</v>
      </c>
      <c r="CO158" s="353">
        <f t="shared" si="24"/>
        <v>357702.56410256407</v>
      </c>
      <c r="CP158" s="353">
        <f>Table14[[#This Row],[Unit Cost]]-Table14[[#This Row],[Margin on Reagent sale]]</f>
        <v>-1584768.3333333333</v>
      </c>
      <c r="CQ158" s="367">
        <f>Table14[[#This Row],[Avg reagent Sales per month Actual]]-Table14[[#This Row],[Per Month Reagent Commitment]]</f>
        <v>293662.56410256407</v>
      </c>
      <c r="CR158" s="373" t="s">
        <v>316</v>
      </c>
      <c r="CS158" s="367">
        <f>Table14[[#This Row],[On Track / (behind) (avg per month)]]/Table14[[#This Row],[Months]]</f>
        <v>22589.428007889543</v>
      </c>
      <c r="CT158" s="368">
        <v>0.4</v>
      </c>
      <c r="CU158" s="367">
        <f>Table14[[#This Row],[Total Reagent Sales till date Actual]]*Table14[[#This Row],[Margin %]]</f>
        <v>1860053.3333333333</v>
      </c>
      <c r="CV158" s="371">
        <f t="shared" si="25"/>
        <v>0.4</v>
      </c>
      <c r="CX158" s="1"/>
      <c r="CZ158" s="135"/>
      <c r="DA158" s="1"/>
    </row>
    <row r="159" spans="1:105" ht="15" customHeight="1" x14ac:dyDescent="0.3">
      <c r="A159" s="399" t="s">
        <v>511</v>
      </c>
      <c r="B159" s="629" t="s">
        <v>345</v>
      </c>
      <c r="C159" s="399" t="s">
        <v>25</v>
      </c>
      <c r="D159" s="415" t="s">
        <v>1241</v>
      </c>
      <c r="E159" s="403">
        <v>15002670</v>
      </c>
      <c r="F159" s="403" t="s">
        <v>508</v>
      </c>
      <c r="G159" s="449">
        <v>3002000086</v>
      </c>
      <c r="H159" s="666"/>
      <c r="I159" s="427" t="s">
        <v>1242</v>
      </c>
      <c r="J159" s="417"/>
      <c r="K159" s="417"/>
      <c r="L159" s="417"/>
      <c r="M159" s="417"/>
      <c r="N159" s="417"/>
      <c r="O159" s="418" t="s">
        <v>304</v>
      </c>
      <c r="P159" s="418" t="s">
        <v>15</v>
      </c>
      <c r="Q159" s="399" t="s">
        <v>1225</v>
      </c>
      <c r="R159" s="399">
        <v>3020001511</v>
      </c>
      <c r="S159" s="419" t="s">
        <v>91</v>
      </c>
      <c r="T159" s="403"/>
      <c r="U159" s="403" t="s">
        <v>1226</v>
      </c>
      <c r="V159" s="403" t="s">
        <v>1243</v>
      </c>
      <c r="W159" s="382" t="s">
        <v>1228</v>
      </c>
      <c r="X159" s="399"/>
      <c r="Y159" s="399"/>
      <c r="Z159" s="353">
        <v>188518</v>
      </c>
      <c r="AA159" s="418">
        <v>16</v>
      </c>
      <c r="AB159" s="353">
        <v>25920</v>
      </c>
      <c r="AC159" s="409"/>
      <c r="AD159" s="410"/>
      <c r="AE159" s="399"/>
      <c r="AF159" s="399"/>
      <c r="AG159" s="399"/>
      <c r="AH159" s="399"/>
      <c r="AI159" s="403"/>
      <c r="AJ159" s="403"/>
      <c r="AK159" s="403"/>
      <c r="AL159" s="403"/>
      <c r="AM159" s="420"/>
      <c r="AN159" s="420"/>
      <c r="AO159" s="403"/>
      <c r="AP159" s="403"/>
      <c r="AQ159" s="403"/>
      <c r="AR159" s="403"/>
      <c r="AS159" s="403"/>
      <c r="AT159" s="403"/>
      <c r="AU159" s="399" t="e">
        <v>#N/A</v>
      </c>
      <c r="AV159" s="420"/>
      <c r="AW159" s="420"/>
      <c r="AX159" s="420"/>
      <c r="AY159" s="420"/>
      <c r="AZ159" s="420"/>
      <c r="BA159" s="370"/>
      <c r="BB159" s="370"/>
      <c r="BC159" s="597" t="s">
        <v>1493</v>
      </c>
      <c r="BD159" s="597" t="s">
        <v>1493</v>
      </c>
      <c r="BE159" s="375">
        <v>1</v>
      </c>
      <c r="BF159" s="419" t="s">
        <v>315</v>
      </c>
      <c r="BG159" s="370"/>
      <c r="BH159" s="370"/>
      <c r="BI159" s="370"/>
      <c r="BJ159" s="370"/>
      <c r="BK159" s="370"/>
      <c r="BL159" s="374"/>
      <c r="BM159" s="358"/>
      <c r="BN159" s="358"/>
      <c r="BO159" s="370"/>
      <c r="BP159" s="370"/>
      <c r="BQ159" s="370"/>
      <c r="BR159" s="370">
        <v>12800</v>
      </c>
      <c r="BS159" s="362">
        <f>SUM(Table14[[#This Row],[Jan-24]:[Dec-24]])</f>
        <v>12800</v>
      </c>
      <c r="BT159" s="362">
        <v>0</v>
      </c>
      <c r="BU159" s="362">
        <v>0</v>
      </c>
      <c r="BV159" s="414">
        <v>51800</v>
      </c>
      <c r="BW159" s="414">
        <v>0</v>
      </c>
      <c r="BX159" s="512">
        <v>0</v>
      </c>
      <c r="BY159" s="512">
        <v>39600</v>
      </c>
      <c r="BZ159" s="512">
        <v>0</v>
      </c>
      <c r="CA159" s="512">
        <v>0</v>
      </c>
      <c r="CB159" s="512">
        <v>0</v>
      </c>
      <c r="CC159" s="512">
        <v>0</v>
      </c>
      <c r="CD159" s="512">
        <v>0</v>
      </c>
      <c r="CE159" s="414">
        <v>25600</v>
      </c>
      <c r="CF159" s="362">
        <f>SUM(Table14[[#This Row],[Jan-25]:[Dec-25]])</f>
        <v>117000</v>
      </c>
      <c r="CG159" s="414">
        <f>CG158</f>
        <v>442633.33333333331</v>
      </c>
      <c r="CH159" s="414">
        <f>CH158</f>
        <v>-81200</v>
      </c>
      <c r="CI159" s="414">
        <f>CI156</f>
        <v>95900</v>
      </c>
      <c r="CJ159" s="414">
        <f>SUM(Table14[[#This Row],[Jan-26]:[Mar-26]])</f>
        <v>457333.33333333331</v>
      </c>
      <c r="CK159" s="531">
        <f>IFERROR(SUM(Table14[[#This Row],[Oct-25]:[Dec-25]],Table14[[#This Row],[Jan-26]:[Mar-26]])/COUNT(Table14[[#This Row],[Oct-25]:[Dec-25]],Table14[[#This Row],[Jan-26]:[Mar-26]]),0)</f>
        <v>80488.888888888891</v>
      </c>
      <c r="CL159" s="367" t="s">
        <v>1229</v>
      </c>
      <c r="CM159" s="414">
        <f>Table14[[#This Row],[YTD 2024]]+Table14[[#This Row],[YTD 2025]]+Table14[[#This Row],[YTD 2026]]</f>
        <v>587133.33333333326</v>
      </c>
      <c r="CN159" s="418">
        <v>11</v>
      </c>
      <c r="CO159" s="353">
        <f t="shared" si="24"/>
        <v>53375.757575757569</v>
      </c>
      <c r="CP159" s="353">
        <f>Table14[[#This Row],[Unit Cost]]-Table14[[#This Row],[Margin on Reagent sale]]</f>
        <v>-46335.333333333314</v>
      </c>
      <c r="CQ159" s="367">
        <f>Table14[[#This Row],[Avg reagent Sales per month Actual]]-Table14[[#This Row],[Per Month Reagent Commitment]]</f>
        <v>27455.757575757569</v>
      </c>
      <c r="CR159" s="403" t="s">
        <v>343</v>
      </c>
      <c r="CS159" s="367">
        <f>Table14[[#This Row],[On Track / (behind) (avg per month)]]/Table14[[#This Row],[Months]]</f>
        <v>2495.9779614325062</v>
      </c>
      <c r="CT159" s="368">
        <v>0.4</v>
      </c>
      <c r="CU159" s="367">
        <f>Table14[[#This Row],[Total Reagent Sales till date Actual]]*Table14[[#This Row],[Margin %]]</f>
        <v>234853.33333333331</v>
      </c>
      <c r="CV159" s="371">
        <f t="shared" si="25"/>
        <v>0.4</v>
      </c>
      <c r="CX159" s="1"/>
      <c r="CZ159" s="135"/>
      <c r="DA159" s="1"/>
    </row>
    <row r="160" spans="1:105" ht="15" customHeight="1" x14ac:dyDescent="0.3">
      <c r="A160" s="399" t="s">
        <v>296</v>
      </c>
      <c r="B160" s="629" t="s">
        <v>297</v>
      </c>
      <c r="C160" s="399" t="s">
        <v>49</v>
      </c>
      <c r="D160" s="415" t="s">
        <v>1244</v>
      </c>
      <c r="E160" s="403">
        <v>15000003</v>
      </c>
      <c r="F160" s="403" t="s">
        <v>317</v>
      </c>
      <c r="G160" s="449">
        <v>3002000083</v>
      </c>
      <c r="H160" s="666"/>
      <c r="I160" s="427" t="s">
        <v>1245</v>
      </c>
      <c r="J160" s="417"/>
      <c r="K160" s="417"/>
      <c r="L160" s="417"/>
      <c r="M160" s="417"/>
      <c r="N160" s="417"/>
      <c r="O160" s="418" t="s">
        <v>304</v>
      </c>
      <c r="P160" s="418" t="s">
        <v>15</v>
      </c>
      <c r="Q160" s="399" t="s">
        <v>1225</v>
      </c>
      <c r="R160" s="399">
        <v>3020001511</v>
      </c>
      <c r="S160" s="419" t="s">
        <v>91</v>
      </c>
      <c r="T160" s="403"/>
      <c r="U160" s="403" t="s">
        <v>1226</v>
      </c>
      <c r="V160" s="403" t="s">
        <v>1234</v>
      </c>
      <c r="W160" s="382" t="s">
        <v>1228</v>
      </c>
      <c r="X160" s="399"/>
      <c r="Y160" s="399"/>
      <c r="Z160" s="353">
        <v>420800</v>
      </c>
      <c r="AA160" s="418">
        <v>3</v>
      </c>
      <c r="AB160" s="353">
        <v>327855</v>
      </c>
      <c r="AC160" s="409"/>
      <c r="AD160" s="410"/>
      <c r="AE160" s="399"/>
      <c r="AF160" s="399"/>
      <c r="AG160" s="399"/>
      <c r="AH160" s="399"/>
      <c r="AI160" s="403"/>
      <c r="AJ160" s="403"/>
      <c r="AK160" s="403"/>
      <c r="AL160" s="403"/>
      <c r="AM160" s="420"/>
      <c r="AN160" s="420"/>
      <c r="AO160" s="403"/>
      <c r="AP160" s="403"/>
      <c r="AQ160" s="403"/>
      <c r="AR160" s="403"/>
      <c r="AS160" s="403"/>
      <c r="AT160" s="403"/>
      <c r="AU160" s="399" t="e">
        <v>#N/A</v>
      </c>
      <c r="AV160" s="420"/>
      <c r="AW160" s="420"/>
      <c r="AX160" s="420"/>
      <c r="AY160" s="420"/>
      <c r="AZ160" s="420"/>
      <c r="BA160" s="370"/>
      <c r="BB160" s="370"/>
      <c r="BC160" s="597" t="s">
        <v>1493</v>
      </c>
      <c r="BD160" s="595" t="s">
        <v>1493</v>
      </c>
      <c r="BE160" s="375">
        <v>1</v>
      </c>
      <c r="BF160" s="419" t="s">
        <v>315</v>
      </c>
      <c r="BG160" s="370"/>
      <c r="BH160" s="370"/>
      <c r="BI160" s="370"/>
      <c r="BJ160" s="370"/>
      <c r="BK160" s="370"/>
      <c r="BL160" s="374"/>
      <c r="BM160" s="358"/>
      <c r="BN160" s="358"/>
      <c r="BO160" s="370"/>
      <c r="BP160" s="370"/>
      <c r="BQ160" s="370">
        <v>463978</v>
      </c>
      <c r="BR160" s="370">
        <v>42978</v>
      </c>
      <c r="BS160" s="362">
        <f>SUM(Table14[[#This Row],[Jan-24]:[Dec-24]])</f>
        <v>506956</v>
      </c>
      <c r="BT160" s="362">
        <v>0</v>
      </c>
      <c r="BU160" s="362">
        <v>0</v>
      </c>
      <c r="BV160" s="414">
        <v>1407054.5</v>
      </c>
      <c r="BW160" s="421">
        <v>578759</v>
      </c>
      <c r="BX160" s="421">
        <v>0</v>
      </c>
      <c r="BY160" s="367">
        <v>313687</v>
      </c>
      <c r="BZ160" s="367">
        <v>199298.5</v>
      </c>
      <c r="CA160" s="367">
        <v>0</v>
      </c>
      <c r="CB160" s="367">
        <v>197023</v>
      </c>
      <c r="CC160" s="367">
        <v>232304</v>
      </c>
      <c r="CD160" s="367"/>
      <c r="CE160" s="414">
        <v>1779910</v>
      </c>
      <c r="CF160" s="362">
        <f>SUM(Table14[[#This Row],[Jan-25]:[Dec-25]])</f>
        <v>4708036</v>
      </c>
      <c r="CG160" s="414">
        <v>184333</v>
      </c>
      <c r="CH160" s="414">
        <f>602718/2</f>
        <v>301359</v>
      </c>
      <c r="CI160" s="414">
        <f>1050917/3</f>
        <v>350305.66666666669</v>
      </c>
      <c r="CJ160" s="414">
        <f>SUM(Table14[[#This Row],[Jan-26]:[Mar-26]])</f>
        <v>835997.66666666674</v>
      </c>
      <c r="CK160" s="531">
        <f>IFERROR(SUM(Table14[[#This Row],[Oct-25]:[Dec-25]],Table14[[#This Row],[Jan-26]:[Mar-26]])/COUNT(Table14[[#This Row],[Oct-25]:[Dec-25]],Table14[[#This Row],[Jan-26]:[Mar-26]]),0)</f>
        <v>569642.33333333326</v>
      </c>
      <c r="CL160" s="367"/>
      <c r="CM160" s="414">
        <f>Table14[[#This Row],[YTD 2024]]+Table14[[#This Row],[YTD 2025]]+Table14[[#This Row],[YTD 2026]]</f>
        <v>6050989.666666667</v>
      </c>
      <c r="CN160" s="418">
        <v>11</v>
      </c>
      <c r="CO160" s="353">
        <f t="shared" si="24"/>
        <v>550089.96969696973</v>
      </c>
      <c r="CP160" s="353">
        <f>Table14[[#This Row],[Unit Cost]]-Table14[[#This Row],[Margin on Reagent sale]]</f>
        <v>-2302145.35</v>
      </c>
      <c r="CQ160" s="367">
        <f>Table14[[#This Row],[Avg reagent Sales per month Actual]]-Table14[[#This Row],[Per Month Reagent Commitment]]</f>
        <v>222234.96969696973</v>
      </c>
      <c r="CR160" s="373" t="s">
        <v>316</v>
      </c>
      <c r="CS160" s="367">
        <f>Table14[[#This Row],[On Track / (behind) (avg per month)]]/Table14[[#This Row],[Months]]</f>
        <v>20203.179063360883</v>
      </c>
      <c r="CT160" s="368">
        <v>0.45</v>
      </c>
      <c r="CU160" s="367">
        <f>Table14[[#This Row],[Total Reagent Sales till date Actual]]*Table14[[#This Row],[Margin %]]</f>
        <v>2722945.35</v>
      </c>
      <c r="CV160" s="371">
        <f t="shared" si="25"/>
        <v>0.45</v>
      </c>
      <c r="CX160" s="1"/>
      <c r="CZ160" s="135"/>
      <c r="DA160" s="1"/>
    </row>
    <row r="161" spans="1:105" ht="15" customHeight="1" x14ac:dyDescent="0.3">
      <c r="A161" s="399" t="s">
        <v>296</v>
      </c>
      <c r="B161" s="630" t="s">
        <v>297</v>
      </c>
      <c r="C161" s="399" t="s">
        <v>22</v>
      </c>
      <c r="D161" s="415" t="s">
        <v>33</v>
      </c>
      <c r="E161" s="403">
        <v>15001967</v>
      </c>
      <c r="F161" s="403" t="s">
        <v>392</v>
      </c>
      <c r="G161" s="449">
        <v>3002000082</v>
      </c>
      <c r="H161" s="666"/>
      <c r="I161" s="416">
        <v>122534</v>
      </c>
      <c r="J161" s="417"/>
      <c r="K161" s="417"/>
      <c r="L161" s="417"/>
      <c r="M161" s="417"/>
      <c r="N161" s="417"/>
      <c r="O161" s="418" t="s">
        <v>304</v>
      </c>
      <c r="P161" s="418" t="s">
        <v>15</v>
      </c>
      <c r="Q161" s="399" t="s">
        <v>1225</v>
      </c>
      <c r="R161" s="399">
        <v>3020001511</v>
      </c>
      <c r="S161" s="419" t="s">
        <v>91</v>
      </c>
      <c r="T161" s="403"/>
      <c r="U161" s="403" t="s">
        <v>1226</v>
      </c>
      <c r="V161" s="403" t="s">
        <v>1246</v>
      </c>
      <c r="W161" s="382" t="s">
        <v>1228</v>
      </c>
      <c r="X161" s="399" t="s">
        <v>1235</v>
      </c>
      <c r="Y161" s="399"/>
      <c r="Z161" s="353">
        <v>1071664</v>
      </c>
      <c r="AA161" s="418">
        <v>26</v>
      </c>
      <c r="AB161" s="353">
        <v>95790</v>
      </c>
      <c r="AC161" s="409"/>
      <c r="AD161" s="410"/>
      <c r="AE161" s="399"/>
      <c r="AF161" s="399"/>
      <c r="AG161" s="399"/>
      <c r="AH161" s="399"/>
      <c r="AI161" s="403"/>
      <c r="AJ161" s="403"/>
      <c r="AK161" s="403"/>
      <c r="AL161" s="403"/>
      <c r="AM161" s="420"/>
      <c r="AN161" s="420"/>
      <c r="AO161" s="403"/>
      <c r="AP161" s="403"/>
      <c r="AQ161" s="403"/>
      <c r="AR161" s="403"/>
      <c r="AS161" s="403"/>
      <c r="AT161" s="403"/>
      <c r="AU161" s="399" t="e">
        <v>#N/A</v>
      </c>
      <c r="AV161" s="420"/>
      <c r="AW161" s="420"/>
      <c r="AX161" s="420"/>
      <c r="AY161" s="420"/>
      <c r="AZ161" s="420"/>
      <c r="BA161" s="370"/>
      <c r="BB161" s="370"/>
      <c r="BC161" s="597" t="s">
        <v>1494</v>
      </c>
      <c r="BD161" s="597" t="s">
        <v>1659</v>
      </c>
      <c r="BE161" s="375">
        <v>1</v>
      </c>
      <c r="BF161" s="419" t="s">
        <v>315</v>
      </c>
      <c r="BG161" s="370"/>
      <c r="BH161" s="370"/>
      <c r="BI161" s="370"/>
      <c r="BJ161" s="370"/>
      <c r="BK161" s="370"/>
      <c r="BL161" s="374"/>
      <c r="BM161" s="358"/>
      <c r="BN161" s="358"/>
      <c r="BO161" s="370"/>
      <c r="BP161" s="370"/>
      <c r="BQ161" s="370">
        <v>126000</v>
      </c>
      <c r="BR161" s="370">
        <v>30000</v>
      </c>
      <c r="BS161" s="362">
        <f>SUM(Table14[[#This Row],[Jan-24]:[Dec-24]])</f>
        <v>156000</v>
      </c>
      <c r="BT161" s="362">
        <v>0</v>
      </c>
      <c r="BU161" s="362">
        <v>0</v>
      </c>
      <c r="BV161" s="414">
        <v>126000</v>
      </c>
      <c r="BW161" s="459">
        <v>0</v>
      </c>
      <c r="BX161" s="459">
        <v>0</v>
      </c>
      <c r="BY161" s="367">
        <v>0</v>
      </c>
      <c r="BZ161" s="367">
        <v>0</v>
      </c>
      <c r="CA161" s="367">
        <v>0</v>
      </c>
      <c r="CB161" s="367">
        <v>30000</v>
      </c>
      <c r="CC161" s="367"/>
      <c r="CD161" s="367"/>
      <c r="CE161" s="367">
        <v>363000</v>
      </c>
      <c r="CF161" s="362">
        <f>SUM(Table14[[#This Row],[Jan-25]:[Dec-25]])</f>
        <v>519000</v>
      </c>
      <c r="CG161" s="367">
        <v>0</v>
      </c>
      <c r="CH161" s="367">
        <v>0</v>
      </c>
      <c r="CI161" s="367"/>
      <c r="CJ161" s="414">
        <f>SUM(Table14[[#This Row],[Jan-26]:[Mar-26]])</f>
        <v>0</v>
      </c>
      <c r="CK161" s="531">
        <f>IFERROR(SUM(Table14[[#This Row],[Oct-25]:[Dec-25]],Table14[[#This Row],[Jan-26]:[Mar-26]])/COUNT(Table14[[#This Row],[Oct-25]:[Dec-25]],Table14[[#This Row],[Jan-26]:[Mar-26]]),0)</f>
        <v>121000</v>
      </c>
      <c r="CL161" s="367"/>
      <c r="CM161" s="414">
        <f>Table14[[#This Row],[YTD 2024]]+Table14[[#This Row],[YTD 2025]]+Table14[[#This Row],[YTD 2026]]</f>
        <v>675000</v>
      </c>
      <c r="CN161" s="418">
        <v>12</v>
      </c>
      <c r="CO161" s="353">
        <f t="shared" si="24"/>
        <v>56250</v>
      </c>
      <c r="CP161" s="353">
        <f>Table14[[#This Row],[Unit Cost]]-Table14[[#This Row],[Margin on Reagent sale]]</f>
        <v>801664</v>
      </c>
      <c r="CQ161" s="367">
        <f>Table14[[#This Row],[Avg reagent Sales per month Actual]]-Table14[[#This Row],[Per Month Reagent Commitment]]</f>
        <v>-39540</v>
      </c>
      <c r="CR161" s="403" t="s">
        <v>343</v>
      </c>
      <c r="CS161" s="367">
        <f>Table14[[#This Row],[On Track / (behind) (avg per month)]]/Table14[[#This Row],[Months]]</f>
        <v>-3295</v>
      </c>
      <c r="CT161" s="368">
        <v>0.4</v>
      </c>
      <c r="CU161" s="367">
        <f>Table14[[#This Row],[Total Reagent Sales till date Actual]]*Table14[[#This Row],[Margin %]]</f>
        <v>270000</v>
      </c>
      <c r="CV161" s="371">
        <f t="shared" si="25"/>
        <v>0.4</v>
      </c>
      <c r="CX161" s="1"/>
      <c r="CZ161" s="135"/>
      <c r="DA161" s="1"/>
    </row>
    <row r="162" spans="1:105" ht="15" customHeight="1" x14ac:dyDescent="0.3">
      <c r="A162" s="399" t="s">
        <v>296</v>
      </c>
      <c r="B162" s="630" t="s">
        <v>297</v>
      </c>
      <c r="C162" s="399" t="s">
        <v>49</v>
      </c>
      <c r="D162" s="415" t="s">
        <v>1244</v>
      </c>
      <c r="E162" s="403">
        <v>15000003</v>
      </c>
      <c r="F162" s="403" t="s">
        <v>317</v>
      </c>
      <c r="G162" s="682" t="s">
        <v>1633</v>
      </c>
      <c r="H162" s="666"/>
      <c r="I162" s="683" t="s">
        <v>1634</v>
      </c>
      <c r="J162" s="417"/>
      <c r="K162" s="417"/>
      <c r="L162" s="417" t="s">
        <v>1247</v>
      </c>
      <c r="M162" s="417"/>
      <c r="N162" s="417"/>
      <c r="O162" s="418" t="s">
        <v>400</v>
      </c>
      <c r="P162" s="418" t="s">
        <v>15</v>
      </c>
      <c r="Q162" s="403" t="s">
        <v>1000</v>
      </c>
      <c r="R162" s="399">
        <v>3020001511</v>
      </c>
      <c r="S162" s="419" t="s">
        <v>170</v>
      </c>
      <c r="T162" s="403"/>
      <c r="U162" s="403" t="s">
        <v>1226</v>
      </c>
      <c r="V162" s="403" t="s">
        <v>1246</v>
      </c>
      <c r="W162" s="382" t="s">
        <v>1228</v>
      </c>
      <c r="X162" s="399" t="s">
        <v>1235</v>
      </c>
      <c r="Y162" s="399"/>
      <c r="Z162" s="486">
        <v>507833</v>
      </c>
      <c r="AA162" s="418">
        <v>3</v>
      </c>
      <c r="AB162" s="486">
        <v>327855</v>
      </c>
      <c r="AC162" s="409"/>
      <c r="AD162" s="410"/>
      <c r="AE162" s="399"/>
      <c r="AF162" s="399"/>
      <c r="AG162" s="399"/>
      <c r="AH162" s="399"/>
      <c r="AI162" s="403"/>
      <c r="AJ162" s="403"/>
      <c r="AK162" s="403"/>
      <c r="AL162" s="403"/>
      <c r="AM162" s="420"/>
      <c r="AN162" s="420"/>
      <c r="AO162" s="403"/>
      <c r="AP162" s="403"/>
      <c r="AQ162" s="403"/>
      <c r="AR162" s="403"/>
      <c r="AS162" s="403"/>
      <c r="AT162" s="403"/>
      <c r="AU162" s="399"/>
      <c r="AV162" s="420"/>
      <c r="AW162" s="420"/>
      <c r="AX162" s="420"/>
      <c r="AY162" s="420"/>
      <c r="AZ162" s="420"/>
      <c r="BA162" s="370"/>
      <c r="BB162" s="358"/>
      <c r="BC162" s="595" t="s">
        <v>1503</v>
      </c>
      <c r="BD162" s="595" t="s">
        <v>1503</v>
      </c>
      <c r="BE162" s="358">
        <v>1</v>
      </c>
      <c r="BF162" s="419" t="s">
        <v>315</v>
      </c>
      <c r="BG162" s="370"/>
      <c r="BH162" s="370"/>
      <c r="BI162" s="370"/>
      <c r="BJ162" s="370"/>
      <c r="BK162" s="487"/>
      <c r="BL162" s="488"/>
      <c r="BM162" s="358"/>
      <c r="BN162" s="358"/>
      <c r="BO162" s="370"/>
      <c r="BP162" s="487"/>
      <c r="BQ162" s="487"/>
      <c r="BR162" s="487"/>
      <c r="BS162" s="362">
        <f>SUM(Table14[[#This Row],[Jan-24]:[Dec-24]])</f>
        <v>0</v>
      </c>
      <c r="BT162" s="360"/>
      <c r="BU162" s="360"/>
      <c r="BV162" s="376"/>
      <c r="BW162" s="376"/>
      <c r="BX162" s="376"/>
      <c r="BY162" s="376"/>
      <c r="BZ162" s="376"/>
      <c r="CA162" s="376"/>
      <c r="CB162" s="376"/>
      <c r="CC162" s="376"/>
      <c r="CD162" s="370"/>
      <c r="CE162" s="370"/>
      <c r="CF162" s="362">
        <f>SUM(Table14[[#This Row],[Jan-25]:[Dec-25]])</f>
        <v>0</v>
      </c>
      <c r="CG162" s="370"/>
      <c r="CH162" s="414">
        <f>602718/2</f>
        <v>301359</v>
      </c>
      <c r="CI162" s="414">
        <f>1050917/3</f>
        <v>350305.66666666669</v>
      </c>
      <c r="CJ162" s="414">
        <f>SUM(Table14[[#This Row],[Jan-26]:[Mar-26]])</f>
        <v>651664.66666666674</v>
      </c>
      <c r="CK162" s="531">
        <f>IFERROR(SUM(Table14[[#This Row],[Oct-25]:[Dec-25]],Table14[[#This Row],[Jan-26]:[Mar-26]])/COUNT(Table14[[#This Row],[Oct-25]:[Dec-25]],Table14[[#This Row],[Jan-26]:[Mar-26]]),0)</f>
        <v>325832.33333333337</v>
      </c>
      <c r="CL162" s="367"/>
      <c r="CM162" s="414">
        <f>Table14[[#This Row],[YTD 2024]]+Table14[[#This Row],[YTD 2025]]+Table14[[#This Row],[YTD 2026]]</f>
        <v>651664.66666666674</v>
      </c>
      <c r="CN162" s="418">
        <v>2</v>
      </c>
      <c r="CO162" s="486">
        <f t="shared" si="24"/>
        <v>325832.33333333337</v>
      </c>
      <c r="CP162" s="353">
        <f>Table14[[#This Row],[Unit Cost]]-Table14[[#This Row],[Margin on Reagent sale]]</f>
        <v>507833</v>
      </c>
      <c r="CQ162" s="489">
        <f>Table14[[#This Row],[Avg reagent Sales per month Actual]]-Table14[[#This Row],[Per Month Reagent Commitment]]</f>
        <v>-2022.6666666666279</v>
      </c>
      <c r="CR162" s="373"/>
      <c r="CS162" s="367">
        <f>Table14[[#This Row],[On Track / (behind) (avg per month)]]/Table14[[#This Row],[Months]]</f>
        <v>-1011.3333333333139</v>
      </c>
      <c r="CT162" s="491"/>
      <c r="CU162" s="367">
        <f>Table14[[#This Row],[Total Reagent Sales till date Actual]]*Table14[[#This Row],[Margin %]]</f>
        <v>0</v>
      </c>
      <c r="CV162" s="371">
        <f t="shared" si="25"/>
        <v>0</v>
      </c>
      <c r="CX162" s="1"/>
      <c r="CZ162" s="135"/>
      <c r="DA162" s="1"/>
    </row>
    <row r="163" spans="1:105" ht="15" customHeight="1" x14ac:dyDescent="0.3">
      <c r="A163" s="399" t="s">
        <v>693</v>
      </c>
      <c r="B163" s="630" t="s">
        <v>345</v>
      </c>
      <c r="C163" s="502" t="s">
        <v>25</v>
      </c>
      <c r="D163" s="503" t="s">
        <v>1248</v>
      </c>
      <c r="E163" s="403">
        <v>15002674</v>
      </c>
      <c r="F163" s="403" t="s">
        <v>1147</v>
      </c>
      <c r="G163" s="449"/>
      <c r="H163" s="666"/>
      <c r="I163" s="416"/>
      <c r="J163" s="417"/>
      <c r="K163" s="417"/>
      <c r="L163" s="417" t="s">
        <v>1249</v>
      </c>
      <c r="M163" s="417"/>
      <c r="N163" s="417"/>
      <c r="O163" s="418" t="s">
        <v>400</v>
      </c>
      <c r="P163" s="514" t="s">
        <v>15</v>
      </c>
      <c r="Q163" s="403" t="s">
        <v>1250</v>
      </c>
      <c r="R163" s="502">
        <v>3020001511</v>
      </c>
      <c r="S163" s="504" t="s">
        <v>154</v>
      </c>
      <c r="T163" s="403"/>
      <c r="U163" s="403" t="s">
        <v>1226</v>
      </c>
      <c r="V163" s="403" t="s">
        <v>1246</v>
      </c>
      <c r="W163" s="382" t="s">
        <v>1228</v>
      </c>
      <c r="X163" s="399" t="s">
        <v>1235</v>
      </c>
      <c r="Y163" s="399"/>
      <c r="Z163" s="486">
        <v>597824</v>
      </c>
      <c r="AA163" s="418">
        <v>37</v>
      </c>
      <c r="AB163" s="486">
        <v>28928</v>
      </c>
      <c r="AC163" s="409"/>
      <c r="AD163" s="410"/>
      <c r="AE163" s="399"/>
      <c r="AF163" s="399"/>
      <c r="AG163" s="399"/>
      <c r="AH163" s="399"/>
      <c r="AI163" s="403"/>
      <c r="AJ163" s="403"/>
      <c r="AK163" s="403"/>
      <c r="AL163" s="403"/>
      <c r="AM163" s="420"/>
      <c r="AN163" s="420"/>
      <c r="AO163" s="403"/>
      <c r="AP163" s="403"/>
      <c r="AQ163" s="403"/>
      <c r="AR163" s="403"/>
      <c r="AS163" s="403"/>
      <c r="AT163" s="403"/>
      <c r="AU163" s="399"/>
      <c r="AV163" s="420"/>
      <c r="AW163" s="420"/>
      <c r="AX163" s="420"/>
      <c r="AY163" s="420"/>
      <c r="AZ163" s="420"/>
      <c r="BA163" s="370"/>
      <c r="BB163" s="358"/>
      <c r="BC163" s="595" t="s">
        <v>1514</v>
      </c>
      <c r="BD163" s="595" t="s">
        <v>1655</v>
      </c>
      <c r="BE163" s="358">
        <v>1</v>
      </c>
      <c r="BF163" s="358" t="s">
        <v>315</v>
      </c>
      <c r="BG163" s="505"/>
      <c r="BH163" s="505"/>
      <c r="BI163" s="505"/>
      <c r="BJ163" s="505"/>
      <c r="BK163" s="505"/>
      <c r="BL163" s="506"/>
      <c r="BM163" s="507"/>
      <c r="BN163" s="507"/>
      <c r="BO163" s="505"/>
      <c r="BP163" s="505"/>
      <c r="BQ163" s="505"/>
      <c r="BR163" s="505"/>
      <c r="BS163" s="362">
        <f>SUM(Table14[[#This Row],[Jan-24]:[Dec-24]])</f>
        <v>0</v>
      </c>
      <c r="BT163" s="508"/>
      <c r="BU163" s="508"/>
      <c r="BV163" s="515"/>
      <c r="BW163" s="515"/>
      <c r="BX163" s="515"/>
      <c r="BY163" s="515"/>
      <c r="BZ163" s="515"/>
      <c r="CA163" s="515"/>
      <c r="CB163" s="515"/>
      <c r="CC163" s="515"/>
      <c r="CD163" s="505"/>
      <c r="CE163" s="505"/>
      <c r="CF163" s="362">
        <f>SUM(Table14[[#This Row],[Jan-25]:[Dec-25]])</f>
        <v>0</v>
      </c>
      <c r="CG163" s="505"/>
      <c r="CH163" s="505"/>
      <c r="CI163" s="505"/>
      <c r="CJ163" s="414">
        <f>SUM(Table14[[#This Row],[Jan-26]:[Mar-26]])</f>
        <v>0</v>
      </c>
      <c r="CK163" s="531">
        <f>IFERROR(SUM(Table14[[#This Row],[Oct-25]:[Dec-25]],Table14[[#This Row],[Jan-26]:[Mar-26]])/COUNT(Table14[[#This Row],[Oct-25]:[Dec-25]],Table14[[#This Row],[Jan-26]:[Mar-26]]),0)</f>
        <v>0</v>
      </c>
      <c r="CL163" s="516"/>
      <c r="CM163" s="414">
        <f>Table14[[#This Row],[YTD 2024]]+Table14[[#This Row],[YTD 2025]]+Table14[[#This Row],[YTD 2026]]</f>
        <v>0</v>
      </c>
      <c r="CN163" s="514"/>
      <c r="CO163" s="517" t="e">
        <f t="shared" si="24"/>
        <v>#DIV/0!</v>
      </c>
      <c r="CP163" s="518"/>
      <c r="CQ163" s="516" t="e">
        <f>Table14[[#This Row],[Avg reagent Sales per month Actual]]-Table14[[#This Row],[Per Month Reagent Commitment]]</f>
        <v>#DIV/0!</v>
      </c>
      <c r="CR163" s="519"/>
      <c r="CS163" s="516" t="e">
        <f>Table14[[#This Row],[On Track / (behind) (avg per month)]]/Table14[[#This Row],[Months]]</f>
        <v>#DIV/0!</v>
      </c>
      <c r="CT163" s="502"/>
      <c r="CU163" s="516">
        <f>Table14[[#This Row],[Total Reagent Sales till date Actual]]*Table14[[#This Row],[Margin %]]</f>
        <v>0</v>
      </c>
      <c r="CV163" s="520">
        <f t="shared" si="25"/>
        <v>0</v>
      </c>
      <c r="CX163" s="1"/>
      <c r="CZ163" s="135"/>
      <c r="DA163" s="1"/>
    </row>
    <row r="164" spans="1:105" ht="15" customHeight="1" x14ac:dyDescent="0.3">
      <c r="A164" s="399" t="s">
        <v>511</v>
      </c>
      <c r="B164" s="629" t="s">
        <v>345</v>
      </c>
      <c r="C164" s="399" t="s">
        <v>25</v>
      </c>
      <c r="D164" s="415" t="s">
        <v>829</v>
      </c>
      <c r="E164" s="403">
        <v>15002671</v>
      </c>
      <c r="F164" s="403" t="s">
        <v>508</v>
      </c>
      <c r="G164" s="703">
        <v>3002000038</v>
      </c>
      <c r="H164" s="666"/>
      <c r="I164" s="416" t="s">
        <v>1251</v>
      </c>
      <c r="J164" s="417"/>
      <c r="K164" s="417" t="s">
        <v>1252</v>
      </c>
      <c r="L164" s="417" t="s">
        <v>1253</v>
      </c>
      <c r="M164" s="417"/>
      <c r="N164" s="417"/>
      <c r="O164" s="418" t="s">
        <v>753</v>
      </c>
      <c r="P164" s="418" t="s">
        <v>15</v>
      </c>
      <c r="Q164" s="399" t="s">
        <v>305</v>
      </c>
      <c r="R164" s="435">
        <v>3020001552</v>
      </c>
      <c r="S164" s="419" t="s">
        <v>156</v>
      </c>
      <c r="T164" s="403"/>
      <c r="U164" s="403" t="s">
        <v>1254</v>
      </c>
      <c r="V164" s="403" t="s">
        <v>1255</v>
      </c>
      <c r="W164" s="399" t="s">
        <v>1256</v>
      </c>
      <c r="X164" s="399" t="s">
        <v>1257</v>
      </c>
      <c r="Y164" s="399" t="s">
        <v>299</v>
      </c>
      <c r="Z164" s="353">
        <v>200000</v>
      </c>
      <c r="AA164" s="418">
        <v>27</v>
      </c>
      <c r="AB164" s="353">
        <f>192608/2</f>
        <v>96304</v>
      </c>
      <c r="AC164" s="409"/>
      <c r="AD164" s="410"/>
      <c r="AE164" s="399"/>
      <c r="AF164" s="399"/>
      <c r="AG164" s="399"/>
      <c r="AH164" s="399"/>
      <c r="AI164" s="403"/>
      <c r="AJ164" s="403"/>
      <c r="AK164" s="403"/>
      <c r="AL164" s="403"/>
      <c r="AM164" s="420"/>
      <c r="AN164" s="420"/>
      <c r="AO164" s="403"/>
      <c r="AP164" s="403"/>
      <c r="AQ164" s="403"/>
      <c r="AR164" s="403"/>
      <c r="AS164" s="403"/>
      <c r="AT164" s="403"/>
      <c r="AU164" s="393" t="e">
        <v>#N/A</v>
      </c>
      <c r="AV164" s="420"/>
      <c r="AW164" s="370"/>
      <c r="AX164" s="420"/>
      <c r="AY164" s="420"/>
      <c r="AZ164" s="420" t="s">
        <v>1258</v>
      </c>
      <c r="BA164" s="420"/>
      <c r="BB164" s="420"/>
      <c r="BC164" s="415"/>
      <c r="BD164" s="415"/>
      <c r="BE164" s="420"/>
      <c r="BF164" s="419"/>
      <c r="BG164" s="370">
        <v>0</v>
      </c>
      <c r="BH164" s="370">
        <f>1678750/2</f>
        <v>839375</v>
      </c>
      <c r="BI164" s="370">
        <v>0</v>
      </c>
      <c r="BJ164" s="370">
        <v>0</v>
      </c>
      <c r="BK164" s="370">
        <v>0</v>
      </c>
      <c r="BL164" s="370">
        <v>0</v>
      </c>
      <c r="BM164" s="370">
        <v>0</v>
      </c>
      <c r="BN164" s="370">
        <v>0</v>
      </c>
      <c r="BO164" s="370">
        <v>0</v>
      </c>
      <c r="BP164" s="370">
        <v>0</v>
      </c>
      <c r="BQ164" s="370">
        <v>0</v>
      </c>
      <c r="BR164" s="370">
        <v>0</v>
      </c>
      <c r="BS164" s="362">
        <f>SUM(Table14[[#This Row],[Jan-24]:[Dec-24]])</f>
        <v>839375</v>
      </c>
      <c r="BT164" s="362">
        <v>0</v>
      </c>
      <c r="BU164" s="362">
        <v>0</v>
      </c>
      <c r="BV164" s="362">
        <v>0</v>
      </c>
      <c r="BW164" s="367">
        <v>0</v>
      </c>
      <c r="BX164" s="362">
        <v>0</v>
      </c>
      <c r="BY164" s="367">
        <v>0</v>
      </c>
      <c r="BZ164" s="367">
        <v>0</v>
      </c>
      <c r="CA164" s="367">
        <v>0</v>
      </c>
      <c r="CB164" s="367">
        <v>0</v>
      </c>
      <c r="CC164" s="367"/>
      <c r="CD164" s="367"/>
      <c r="CE164" s="367"/>
      <c r="CF164" s="362">
        <f>SUM(Table14[[#This Row],[Jan-25]:[Dec-25]])</f>
        <v>0</v>
      </c>
      <c r="CG164" s="367">
        <v>0</v>
      </c>
      <c r="CH164" s="367">
        <v>0</v>
      </c>
      <c r="CI164" s="367"/>
      <c r="CJ164" s="414">
        <f>SUM(Table14[[#This Row],[Jan-26]:[Mar-26]])</f>
        <v>0</v>
      </c>
      <c r="CK164" s="531">
        <f>IFERROR(SUM(Table14[[#This Row],[Oct-25]:[Dec-25]],Table14[[#This Row],[Jan-26]:[Mar-26]])/COUNT(Table14[[#This Row],[Oct-25]:[Dec-25]],Table14[[#This Row],[Jan-26]:[Mar-26]]),0)</f>
        <v>0</v>
      </c>
      <c r="CL164" s="367" t="s">
        <v>1259</v>
      </c>
      <c r="CM164" s="414">
        <f>Table14[[#This Row],[YTD 2024]]+Table14[[#This Row],[YTD 2025]]+Table14[[#This Row],[YTD 2026]]</f>
        <v>839375</v>
      </c>
      <c r="CN164" s="418">
        <v>24</v>
      </c>
      <c r="CO164" s="353">
        <f t="shared" si="24"/>
        <v>34973.958333333336</v>
      </c>
      <c r="CP164" s="353">
        <f>Table14[[#This Row],[Unit Cost]]-Table14[[#This Row],[Margin on Reagent sale]]</f>
        <v>-135750</v>
      </c>
      <c r="CQ164" s="372">
        <f>Table14[[#This Row],[Avg reagent Sales per month Actual]]-Table14[[#This Row],[Per Month Reagent Commitment]]</f>
        <v>-61330.041666666664</v>
      </c>
      <c r="CR164" s="403" t="s">
        <v>777</v>
      </c>
      <c r="CS164" s="367">
        <f>Table14[[#This Row],[On Track / (behind) (avg per month)]]/Table14[[#This Row],[Months]]</f>
        <v>-2555.4184027777778</v>
      </c>
      <c r="CT164" s="368">
        <v>0.4</v>
      </c>
      <c r="CU164" s="367">
        <f>Table14[[#This Row],[Total Reagent Sales till date Actual]]*Table14[[#This Row],[Margin %]]</f>
        <v>335750</v>
      </c>
      <c r="CV164" s="400">
        <f t="shared" si="25"/>
        <v>0.4</v>
      </c>
      <c r="CX164" s="1"/>
      <c r="CZ164" s="135"/>
      <c r="DA164" s="1"/>
    </row>
    <row r="165" spans="1:105" ht="15" customHeight="1" x14ac:dyDescent="0.3">
      <c r="A165" s="399" t="s">
        <v>511</v>
      </c>
      <c r="B165" s="629" t="s">
        <v>345</v>
      </c>
      <c r="C165" s="399" t="s">
        <v>25</v>
      </c>
      <c r="D165" s="415" t="s">
        <v>829</v>
      </c>
      <c r="E165" s="403">
        <v>15002671</v>
      </c>
      <c r="F165" s="403" t="s">
        <v>508</v>
      </c>
      <c r="G165" s="449" t="s">
        <v>1260</v>
      </c>
      <c r="H165" s="672"/>
      <c r="I165" s="464" t="s">
        <v>1261</v>
      </c>
      <c r="J165" s="417"/>
      <c r="K165" s="417" t="s">
        <v>1252</v>
      </c>
      <c r="L165" s="417" t="s">
        <v>1253</v>
      </c>
      <c r="M165" s="417"/>
      <c r="N165" s="417"/>
      <c r="O165" s="418" t="s">
        <v>753</v>
      </c>
      <c r="P165" s="418" t="s">
        <v>15</v>
      </c>
      <c r="Q165" s="399" t="s">
        <v>305</v>
      </c>
      <c r="R165" s="435">
        <v>3020001552</v>
      </c>
      <c r="S165" s="419" t="s">
        <v>156</v>
      </c>
      <c r="T165" s="448"/>
      <c r="U165" s="445" t="s">
        <v>1254</v>
      </c>
      <c r="V165" s="403" t="s">
        <v>1255</v>
      </c>
      <c r="W165" s="350" t="s">
        <v>1256</v>
      </c>
      <c r="X165" s="399" t="s">
        <v>1257</v>
      </c>
      <c r="Y165" s="399" t="s">
        <v>299</v>
      </c>
      <c r="Z165" s="353">
        <v>200000</v>
      </c>
      <c r="AA165" s="418">
        <v>27</v>
      </c>
      <c r="AB165" s="353">
        <f>192608/2</f>
        <v>96304</v>
      </c>
      <c r="AC165" s="409"/>
      <c r="AD165" s="410"/>
      <c r="AE165" s="399"/>
      <c r="AF165" s="399"/>
      <c r="AG165" s="399"/>
      <c r="AH165" s="399"/>
      <c r="AI165" s="403"/>
      <c r="AJ165" s="403"/>
      <c r="AK165" s="403"/>
      <c r="AL165" s="403"/>
      <c r="AM165" s="420"/>
      <c r="AN165" s="420"/>
      <c r="AO165" s="403"/>
      <c r="AP165" s="403"/>
      <c r="AQ165" s="403"/>
      <c r="AR165" s="403"/>
      <c r="AS165" s="403"/>
      <c r="AT165" s="403"/>
      <c r="AU165" s="399" t="e">
        <v>#N/A</v>
      </c>
      <c r="AV165" s="420"/>
      <c r="AW165" s="420"/>
      <c r="AX165" s="420"/>
      <c r="AY165" s="420"/>
      <c r="AZ165" s="420" t="s">
        <v>1258</v>
      </c>
      <c r="BA165" s="420"/>
      <c r="BB165" s="420"/>
      <c r="BC165" s="415"/>
      <c r="BD165" s="415"/>
      <c r="BE165" s="420"/>
      <c r="BF165" s="419"/>
      <c r="BG165" s="370">
        <v>0</v>
      </c>
      <c r="BH165" s="370">
        <f>1678750/2</f>
        <v>839375</v>
      </c>
      <c r="BI165" s="370">
        <v>0</v>
      </c>
      <c r="BJ165" s="370">
        <v>0</v>
      </c>
      <c r="BK165" s="370">
        <v>0</v>
      </c>
      <c r="BL165" s="370">
        <v>0</v>
      </c>
      <c r="BM165" s="370">
        <v>0</v>
      </c>
      <c r="BN165" s="370">
        <v>0</v>
      </c>
      <c r="BO165" s="370">
        <v>0</v>
      </c>
      <c r="BP165" s="370">
        <v>0</v>
      </c>
      <c r="BQ165" s="370">
        <v>0</v>
      </c>
      <c r="BR165" s="370">
        <v>0</v>
      </c>
      <c r="BS165" s="362">
        <f>SUM(Table14[[#This Row],[Jan-24]:[Dec-24]])</f>
        <v>839375</v>
      </c>
      <c r="BT165" s="362">
        <v>0</v>
      </c>
      <c r="BU165" s="362">
        <v>0</v>
      </c>
      <c r="BV165" s="362">
        <v>0</v>
      </c>
      <c r="BW165" s="367">
        <v>0</v>
      </c>
      <c r="BX165" s="362">
        <v>0</v>
      </c>
      <c r="BY165" s="367">
        <v>0</v>
      </c>
      <c r="BZ165" s="367">
        <v>0</v>
      </c>
      <c r="CA165" s="367">
        <v>0</v>
      </c>
      <c r="CB165" s="367">
        <v>0</v>
      </c>
      <c r="CC165" s="367"/>
      <c r="CD165" s="367"/>
      <c r="CE165" s="367"/>
      <c r="CF165" s="362">
        <f>SUM(Table14[[#This Row],[Jan-25]:[Dec-25]])</f>
        <v>0</v>
      </c>
      <c r="CG165" s="367">
        <v>0</v>
      </c>
      <c r="CH165" s="367">
        <v>0</v>
      </c>
      <c r="CI165" s="367"/>
      <c r="CJ165" s="414">
        <f>SUM(Table14[[#This Row],[Jan-26]:[Mar-26]])</f>
        <v>0</v>
      </c>
      <c r="CK165" s="531">
        <f>IFERROR(SUM(Table14[[#This Row],[Oct-25]:[Dec-25]],Table14[[#This Row],[Jan-26]:[Mar-26]])/COUNT(Table14[[#This Row],[Oct-25]:[Dec-25]],Table14[[#This Row],[Jan-26]:[Mar-26]]),0)</f>
        <v>0</v>
      </c>
      <c r="CL165" s="367" t="s">
        <v>1262</v>
      </c>
      <c r="CM165" s="414">
        <f>Table14[[#This Row],[YTD 2024]]+Table14[[#This Row],[YTD 2025]]+Table14[[#This Row],[YTD 2026]]</f>
        <v>839375</v>
      </c>
      <c r="CN165" s="418">
        <v>23</v>
      </c>
      <c r="CO165" s="353">
        <f t="shared" si="24"/>
        <v>36494.565217391304</v>
      </c>
      <c r="CP165" s="353">
        <f>Table14[[#This Row],[Unit Cost]]-Table14[[#This Row],[Margin on Reagent sale]]</f>
        <v>-135750</v>
      </c>
      <c r="CQ165" s="372">
        <f>Table14[[#This Row],[Avg reagent Sales per month Actual]]-Table14[[#This Row],[Per Month Reagent Commitment]]</f>
        <v>-59809.434782608696</v>
      </c>
      <c r="CR165" s="403" t="s">
        <v>777</v>
      </c>
      <c r="CS165" s="367">
        <f>Table14[[#This Row],[On Track / (behind) (avg per month)]]/Table14[[#This Row],[Months]]</f>
        <v>-2600.4102079395084</v>
      </c>
      <c r="CT165" s="368">
        <v>0.4</v>
      </c>
      <c r="CU165" s="367">
        <f>Table14[[#This Row],[Total Reagent Sales till date Actual]]*Table14[[#This Row],[Margin %]]</f>
        <v>335750</v>
      </c>
      <c r="CV165" s="400">
        <f t="shared" si="25"/>
        <v>0.4</v>
      </c>
      <c r="CX165" s="1"/>
      <c r="CZ165" s="135"/>
      <c r="DA165" s="1"/>
    </row>
    <row r="166" spans="1:105" ht="15" customHeight="1" x14ac:dyDescent="0.3">
      <c r="A166" s="399" t="s">
        <v>511</v>
      </c>
      <c r="B166" s="629" t="s">
        <v>345</v>
      </c>
      <c r="C166" s="399" t="s">
        <v>25</v>
      </c>
      <c r="D166" s="415" t="s">
        <v>507</v>
      </c>
      <c r="E166" s="403">
        <v>15002673</v>
      </c>
      <c r="F166" s="403" t="s">
        <v>508</v>
      </c>
      <c r="G166" s="449">
        <v>3002000042</v>
      </c>
      <c r="H166" s="464" t="s">
        <v>1263</v>
      </c>
      <c r="I166" s="416" t="s">
        <v>1264</v>
      </c>
      <c r="J166" s="417"/>
      <c r="K166" s="417" t="s">
        <v>1252</v>
      </c>
      <c r="L166" s="417" t="s">
        <v>1253</v>
      </c>
      <c r="M166" s="417"/>
      <c r="N166" s="417"/>
      <c r="O166" s="418" t="s">
        <v>753</v>
      </c>
      <c r="P166" s="418" t="s">
        <v>15</v>
      </c>
      <c r="Q166" s="399" t="s">
        <v>305</v>
      </c>
      <c r="R166" s="435">
        <v>3020001552</v>
      </c>
      <c r="S166" s="419" t="s">
        <v>156</v>
      </c>
      <c r="T166" s="403"/>
      <c r="U166" s="445" t="s">
        <v>1254</v>
      </c>
      <c r="V166" s="403"/>
      <c r="W166" s="399"/>
      <c r="X166" s="399" t="s">
        <v>1257</v>
      </c>
      <c r="Y166" s="399" t="s">
        <v>299</v>
      </c>
      <c r="Z166" s="353">
        <v>1600000</v>
      </c>
      <c r="AA166" s="418">
        <v>27</v>
      </c>
      <c r="AB166" s="353">
        <v>109972</v>
      </c>
      <c r="AC166" s="409"/>
      <c r="AD166" s="410"/>
      <c r="AE166" s="399"/>
      <c r="AF166" s="399"/>
      <c r="AG166" s="399"/>
      <c r="AH166" s="399"/>
      <c r="AI166" s="403"/>
      <c r="AJ166" s="403"/>
      <c r="AK166" s="403"/>
      <c r="AL166" s="403"/>
      <c r="AM166" s="420"/>
      <c r="AN166" s="420"/>
      <c r="AO166" s="403"/>
      <c r="AP166" s="403"/>
      <c r="AQ166" s="403"/>
      <c r="AR166" s="403"/>
      <c r="AS166" s="403"/>
      <c r="AT166" s="403"/>
      <c r="AU166" s="399" t="e">
        <v>#N/A</v>
      </c>
      <c r="AV166" s="420"/>
      <c r="AW166" s="420"/>
      <c r="AX166" s="420"/>
      <c r="AY166" s="420"/>
      <c r="AZ166" s="420"/>
      <c r="BA166" s="370"/>
      <c r="BB166" s="370"/>
      <c r="BC166" s="595"/>
      <c r="BD166" s="595"/>
      <c r="BE166" s="358"/>
      <c r="BF166" s="419"/>
      <c r="BG166" s="370"/>
      <c r="BH166" s="370"/>
      <c r="BI166" s="370"/>
      <c r="BJ166" s="370"/>
      <c r="BK166" s="370"/>
      <c r="BL166" s="374"/>
      <c r="BM166" s="358"/>
      <c r="BN166" s="358"/>
      <c r="BO166" s="370"/>
      <c r="BP166" s="370"/>
      <c r="BQ166" s="370"/>
      <c r="BR166" s="370"/>
      <c r="BS166" s="362">
        <f>SUM(Table14[[#This Row],[Jan-24]:[Dec-24]])</f>
        <v>0</v>
      </c>
      <c r="BT166" s="362"/>
      <c r="BU166" s="362"/>
      <c r="BV166" s="362">
        <v>0</v>
      </c>
      <c r="BW166" s="362"/>
      <c r="BX166" s="362">
        <v>0</v>
      </c>
      <c r="BY166" s="362"/>
      <c r="BZ166" s="362">
        <v>0</v>
      </c>
      <c r="CA166" s="362">
        <v>0</v>
      </c>
      <c r="CB166" s="362">
        <v>0</v>
      </c>
      <c r="CC166" s="362"/>
      <c r="CD166" s="362"/>
      <c r="CE166" s="362"/>
      <c r="CF166" s="362">
        <f>SUM(Table14[[#This Row],[Jan-25]:[Dec-25]])</f>
        <v>0</v>
      </c>
      <c r="CG166" s="362">
        <v>0</v>
      </c>
      <c r="CH166" s="362">
        <v>0</v>
      </c>
      <c r="CI166" s="362"/>
      <c r="CJ166" s="414">
        <f>SUM(Table14[[#This Row],[Jan-26]:[Mar-26]])</f>
        <v>0</v>
      </c>
      <c r="CK166" s="531">
        <f>IFERROR(SUM(Table14[[#This Row],[Oct-25]:[Dec-25]],Table14[[#This Row],[Jan-26]:[Mar-26]])/COUNT(Table14[[#This Row],[Oct-25]:[Dec-25]],Table14[[#This Row],[Jan-26]:[Mar-26]]),0)</f>
        <v>0</v>
      </c>
      <c r="CL166" s="367" t="s">
        <v>1229</v>
      </c>
      <c r="CM166" s="414">
        <f>Table14[[#This Row],[YTD 2024]]+Table14[[#This Row],[YTD 2025]]+Table14[[#This Row],[YTD 2026]]</f>
        <v>0</v>
      </c>
      <c r="CN166" s="418"/>
      <c r="CO166" s="353" t="e">
        <f t="shared" si="24"/>
        <v>#DIV/0!</v>
      </c>
      <c r="CP166" s="353">
        <f>Table14[[#This Row],[Unit Cost]]-Table14[[#This Row],[Margin on Reagent sale]]</f>
        <v>1600000</v>
      </c>
      <c r="CQ166" s="367"/>
      <c r="CR166" s="373"/>
      <c r="CS166" s="367" t="e">
        <f>Table14[[#This Row],[On Track / (behind) (avg per month)]]/Table14[[#This Row],[Months]]</f>
        <v>#DIV/0!</v>
      </c>
      <c r="CT166" s="368">
        <v>0.4</v>
      </c>
      <c r="CU166" s="367">
        <f>Table14[[#This Row],[Total Reagent Sales till date Actual]]*Table14[[#This Row],[Margin %]]</f>
        <v>0</v>
      </c>
      <c r="CV166" s="371"/>
      <c r="CX166" s="1"/>
      <c r="CZ166" s="135"/>
      <c r="DA166" s="1"/>
    </row>
    <row r="167" spans="1:105" ht="15" customHeight="1" x14ac:dyDescent="0.3">
      <c r="A167" s="399" t="s">
        <v>511</v>
      </c>
      <c r="B167" s="629" t="s">
        <v>345</v>
      </c>
      <c r="C167" s="399" t="s">
        <v>25</v>
      </c>
      <c r="D167" s="415" t="s">
        <v>507</v>
      </c>
      <c r="E167" s="403">
        <v>15002673</v>
      </c>
      <c r="F167" s="403" t="s">
        <v>508</v>
      </c>
      <c r="G167" s="449">
        <v>3002000049</v>
      </c>
      <c r="H167" s="464" t="s">
        <v>1263</v>
      </c>
      <c r="I167" s="464" t="s">
        <v>1263</v>
      </c>
      <c r="J167" s="417"/>
      <c r="K167" s="417"/>
      <c r="L167" s="417"/>
      <c r="M167" s="417"/>
      <c r="N167" s="417"/>
      <c r="O167" s="418" t="s">
        <v>753</v>
      </c>
      <c r="P167" s="418" t="s">
        <v>15</v>
      </c>
      <c r="Q167" s="399" t="s">
        <v>305</v>
      </c>
      <c r="R167" s="435">
        <v>3020001552</v>
      </c>
      <c r="S167" s="419" t="s">
        <v>156</v>
      </c>
      <c r="T167" s="403"/>
      <c r="U167" s="445" t="s">
        <v>1254</v>
      </c>
      <c r="V167" s="403"/>
      <c r="W167" s="399"/>
      <c r="X167" s="399" t="s">
        <v>1257</v>
      </c>
      <c r="Y167" s="399" t="s">
        <v>299</v>
      </c>
      <c r="Z167" s="353">
        <v>3378744</v>
      </c>
      <c r="AA167" s="418">
        <v>37</v>
      </c>
      <c r="AB167" s="353">
        <v>365779</v>
      </c>
      <c r="AC167" s="409"/>
      <c r="AD167" s="410"/>
      <c r="AE167" s="399"/>
      <c r="AF167" s="399"/>
      <c r="AG167" s="399"/>
      <c r="AH167" s="399"/>
      <c r="AI167" s="403"/>
      <c r="AJ167" s="403"/>
      <c r="AK167" s="403"/>
      <c r="AL167" s="403"/>
      <c r="AM167" s="420"/>
      <c r="AN167" s="420"/>
      <c r="AO167" s="403"/>
      <c r="AP167" s="403"/>
      <c r="AQ167" s="403"/>
      <c r="AR167" s="403"/>
      <c r="AS167" s="403"/>
      <c r="AT167" s="403"/>
      <c r="AU167" s="399" t="e">
        <v>#N/A</v>
      </c>
      <c r="AV167" s="420"/>
      <c r="AW167" s="420"/>
      <c r="AX167" s="420"/>
      <c r="AY167" s="420"/>
      <c r="AZ167" s="420"/>
      <c r="BA167" s="370"/>
      <c r="BB167" s="370"/>
      <c r="BC167" s="595"/>
      <c r="BD167" s="595"/>
      <c r="BE167" s="358"/>
      <c r="BF167" s="419"/>
      <c r="BG167" s="370"/>
      <c r="BH167" s="370"/>
      <c r="BI167" s="370"/>
      <c r="BJ167" s="370"/>
      <c r="BK167" s="370"/>
      <c r="BL167" s="374"/>
      <c r="BM167" s="358"/>
      <c r="BN167" s="358"/>
      <c r="BO167" s="370"/>
      <c r="BP167" s="370"/>
      <c r="BQ167" s="370"/>
      <c r="BR167" s="370"/>
      <c r="BS167" s="362">
        <f>SUM(Table14[[#This Row],[Jan-24]:[Dec-24]])</f>
        <v>0</v>
      </c>
      <c r="BT167" s="362"/>
      <c r="BU167" s="362"/>
      <c r="BV167" s="362">
        <v>0</v>
      </c>
      <c r="BW167" s="362"/>
      <c r="BX167" s="362">
        <v>0</v>
      </c>
      <c r="BY167" s="362"/>
      <c r="BZ167" s="362">
        <v>0</v>
      </c>
      <c r="CA167" s="362">
        <v>0</v>
      </c>
      <c r="CB167" s="362">
        <v>0</v>
      </c>
      <c r="CC167" s="362"/>
      <c r="CD167" s="362"/>
      <c r="CE167" s="362"/>
      <c r="CF167" s="362">
        <f>SUM(Table14[[#This Row],[Jan-25]:[Dec-25]])</f>
        <v>0</v>
      </c>
      <c r="CG167" s="362">
        <v>0</v>
      </c>
      <c r="CH167" s="362">
        <v>0</v>
      </c>
      <c r="CI167" s="362"/>
      <c r="CJ167" s="414">
        <f>SUM(Table14[[#This Row],[Jan-26]:[Mar-26]])</f>
        <v>0</v>
      </c>
      <c r="CK167" s="531">
        <f>IFERROR(SUM(Table14[[#This Row],[Oct-25]:[Dec-25]],Table14[[#This Row],[Jan-26]:[Mar-26]])/COUNT(Table14[[#This Row],[Oct-25]:[Dec-25]],Table14[[#This Row],[Jan-26]:[Mar-26]]),0)</f>
        <v>0</v>
      </c>
      <c r="CL167" s="367" t="s">
        <v>1229</v>
      </c>
      <c r="CM167" s="414">
        <f>Table14[[#This Row],[YTD 2024]]+Table14[[#This Row],[YTD 2025]]+Table14[[#This Row],[YTD 2026]]</f>
        <v>0</v>
      </c>
      <c r="CN167" s="418"/>
      <c r="CO167" s="353" t="e">
        <f t="shared" ref="CO167:CO197" si="26">CM167/CN167</f>
        <v>#DIV/0!</v>
      </c>
      <c r="CP167" s="353">
        <f>Table14[[#This Row],[Unit Cost]]-Table14[[#This Row],[Margin on Reagent sale]]</f>
        <v>3378744</v>
      </c>
      <c r="CQ167" s="367"/>
      <c r="CR167" s="373"/>
      <c r="CS167" s="367" t="e">
        <f>Table14[[#This Row],[On Track / (behind) (avg per month)]]/Table14[[#This Row],[Months]]</f>
        <v>#DIV/0!</v>
      </c>
      <c r="CT167" s="368">
        <v>0.4</v>
      </c>
      <c r="CU167" s="367">
        <f>Table14[[#This Row],[Total Reagent Sales till date Actual]]*Table14[[#This Row],[Margin %]]</f>
        <v>0</v>
      </c>
      <c r="CV167" s="371"/>
      <c r="CX167" s="1"/>
      <c r="CZ167" s="135"/>
      <c r="DA167" s="1"/>
    </row>
    <row r="168" spans="1:105" ht="15" customHeight="1" x14ac:dyDescent="0.3">
      <c r="A168" s="399" t="s">
        <v>511</v>
      </c>
      <c r="B168" s="630" t="s">
        <v>345</v>
      </c>
      <c r="C168" s="399" t="s">
        <v>51</v>
      </c>
      <c r="D168" s="415" t="s">
        <v>988</v>
      </c>
      <c r="E168" s="403">
        <v>15003000</v>
      </c>
      <c r="F168" s="403" t="s">
        <v>403</v>
      </c>
      <c r="G168" s="449">
        <v>3002000058</v>
      </c>
      <c r="H168" s="666"/>
      <c r="I168" s="449">
        <v>8657</v>
      </c>
      <c r="J168" s="417"/>
      <c r="K168" s="450" t="s">
        <v>1265</v>
      </c>
      <c r="L168" s="451" t="s">
        <v>1266</v>
      </c>
      <c r="M168" s="450" t="s">
        <v>303</v>
      </c>
      <c r="N168" s="450"/>
      <c r="O168" s="450" t="s">
        <v>753</v>
      </c>
      <c r="P168" s="450" t="s">
        <v>15</v>
      </c>
      <c r="Q168" s="431" t="s">
        <v>305</v>
      </c>
      <c r="R168" s="435">
        <v>3020001552</v>
      </c>
      <c r="S168" s="467" t="s">
        <v>157</v>
      </c>
      <c r="T168" s="403"/>
      <c r="U168" s="403" t="s">
        <v>1254</v>
      </c>
      <c r="V168" s="403" t="s">
        <v>1255</v>
      </c>
      <c r="W168" s="399" t="s">
        <v>1256</v>
      </c>
      <c r="X168" s="399" t="s">
        <v>1257</v>
      </c>
      <c r="Y168" s="399" t="s">
        <v>299</v>
      </c>
      <c r="Z168" s="394">
        <v>5274883</v>
      </c>
      <c r="AA168" s="450">
        <v>36</v>
      </c>
      <c r="AB168" s="394">
        <v>1615386</v>
      </c>
      <c r="AC168" s="409"/>
      <c r="AD168" s="410"/>
      <c r="AE168" s="399"/>
      <c r="AF168" s="399"/>
      <c r="AG168" s="399"/>
      <c r="AH168" s="399"/>
      <c r="AI168" s="403"/>
      <c r="AJ168" s="403"/>
      <c r="AK168" s="403"/>
      <c r="AL168" s="403"/>
      <c r="AM168" s="420"/>
      <c r="AN168" s="420"/>
      <c r="AO168" s="403"/>
      <c r="AP168" s="403"/>
      <c r="AQ168" s="403"/>
      <c r="AR168" s="403"/>
      <c r="AS168" s="403"/>
      <c r="AT168" s="403"/>
      <c r="AU168" s="399" t="e">
        <v>#N/A</v>
      </c>
      <c r="AV168" s="420"/>
      <c r="AW168" s="420"/>
      <c r="AX168" s="420"/>
      <c r="AY168" s="420"/>
      <c r="AZ168" s="420" t="s">
        <v>1267</v>
      </c>
      <c r="BA168" s="420"/>
      <c r="BB168" s="420"/>
      <c r="BC168" s="415" t="s">
        <v>1508</v>
      </c>
      <c r="BD168" s="415"/>
      <c r="BE168" s="420"/>
      <c r="BF168" s="467"/>
      <c r="BG168" s="394"/>
      <c r="BH168" s="394">
        <v>3585000</v>
      </c>
      <c r="BI168" s="394">
        <v>0</v>
      </c>
      <c r="BJ168" s="394">
        <v>0</v>
      </c>
      <c r="BK168" s="394">
        <v>0</v>
      </c>
      <c r="BL168" s="394">
        <v>0</v>
      </c>
      <c r="BM168" s="394">
        <v>0</v>
      </c>
      <c r="BN168" s="394">
        <v>0</v>
      </c>
      <c r="BO168" s="394">
        <v>0</v>
      </c>
      <c r="BP168" s="394">
        <v>0</v>
      </c>
      <c r="BQ168" s="394">
        <v>0</v>
      </c>
      <c r="BR168" s="394">
        <v>0</v>
      </c>
      <c r="BS168" s="362">
        <f>SUM(Table14[[#This Row],[Jan-24]:[Dec-24]])</f>
        <v>3585000</v>
      </c>
      <c r="BT168" s="362">
        <v>0</v>
      </c>
      <c r="BU168" s="362">
        <v>0</v>
      </c>
      <c r="BV168" s="362">
        <v>0</v>
      </c>
      <c r="BW168" s="367">
        <v>0</v>
      </c>
      <c r="BX168" s="362">
        <v>0</v>
      </c>
      <c r="BY168" s="367">
        <v>0</v>
      </c>
      <c r="BZ168" s="367">
        <v>0</v>
      </c>
      <c r="CA168" s="367">
        <v>0</v>
      </c>
      <c r="CB168" s="367">
        <v>0</v>
      </c>
      <c r="CC168" s="367">
        <v>0</v>
      </c>
      <c r="CD168" s="367"/>
      <c r="CE168" s="367"/>
      <c r="CF168" s="362">
        <f>SUM(Table14[[#This Row],[Jan-25]:[Dec-25]])</f>
        <v>0</v>
      </c>
      <c r="CG168" s="367"/>
      <c r="CH168" s="367"/>
      <c r="CI168" s="367"/>
      <c r="CJ168" s="414">
        <f>SUM(Table14[[#This Row],[Jan-26]:[Mar-26]])</f>
        <v>0</v>
      </c>
      <c r="CK168" s="531">
        <f>IFERROR(SUM(Table14[[#This Row],[Oct-25]:[Dec-25]],Table14[[#This Row],[Jan-26]:[Mar-26]])/COUNT(Table14[[#This Row],[Oct-25]:[Dec-25]],Table14[[#This Row],[Jan-26]:[Mar-26]]),0)</f>
        <v>0</v>
      </c>
      <c r="CL168" s="367" t="s">
        <v>1268</v>
      </c>
      <c r="CM168" s="414">
        <f>Table14[[#This Row],[YTD 2024]]+Table14[[#This Row],[YTD 2025]]+Table14[[#This Row],[YTD 2026]]</f>
        <v>3585000</v>
      </c>
      <c r="CN168" s="418">
        <v>17</v>
      </c>
      <c r="CO168" s="353">
        <f t="shared" si="26"/>
        <v>210882.35294117648</v>
      </c>
      <c r="CP168" s="353">
        <f>Table14[[#This Row],[Unit Cost]]-Table14[[#This Row],[Margin on Reagent sale]]</f>
        <v>3840883</v>
      </c>
      <c r="CQ168" s="367">
        <f>Table14[[#This Row],[Avg reagent Sales per month Actual]]-Table14[[#This Row],[Per Month Reagent Commitment]]</f>
        <v>-1404503.6470588236</v>
      </c>
      <c r="CR168" s="403" t="s">
        <v>343</v>
      </c>
      <c r="CS168" s="367">
        <f>Table14[[#This Row],[On Track / (behind) (avg per month)]]/Table14[[#This Row],[Months]]</f>
        <v>-82617.861591695502</v>
      </c>
      <c r="CT168" s="368">
        <v>0.4</v>
      </c>
      <c r="CU168" s="367">
        <f>Table14[[#This Row],[Total Reagent Sales till date Actual]]*Table14[[#This Row],[Margin %]]</f>
        <v>1434000</v>
      </c>
      <c r="CV168" s="400">
        <f>CT168</f>
        <v>0.4</v>
      </c>
      <c r="CX168" s="1"/>
      <c r="CZ168" s="135"/>
      <c r="DA168" s="1"/>
    </row>
    <row r="169" spans="1:105" ht="15" customHeight="1" x14ac:dyDescent="0.3">
      <c r="A169" s="399" t="s">
        <v>423</v>
      </c>
      <c r="B169" s="630" t="s">
        <v>297</v>
      </c>
      <c r="C169" s="399" t="s">
        <v>24</v>
      </c>
      <c r="D169" s="415" t="s">
        <v>32</v>
      </c>
      <c r="E169" s="403">
        <v>15002462</v>
      </c>
      <c r="F169" s="403" t="s">
        <v>298</v>
      </c>
      <c r="G169" s="449" t="s">
        <v>1269</v>
      </c>
      <c r="H169" s="409" t="s">
        <v>299</v>
      </c>
      <c r="I169" s="416" t="s">
        <v>1166</v>
      </c>
      <c r="J169" s="417" t="s">
        <v>1270</v>
      </c>
      <c r="K169" s="417" t="s">
        <v>1271</v>
      </c>
      <c r="L169" s="417" t="s">
        <v>1272</v>
      </c>
      <c r="M169" s="417" t="s">
        <v>303</v>
      </c>
      <c r="N169" s="417"/>
      <c r="O169" s="416" t="s">
        <v>348</v>
      </c>
      <c r="P169" s="418" t="s">
        <v>16</v>
      </c>
      <c r="Q169" s="399" t="s">
        <v>1273</v>
      </c>
      <c r="R169" s="399">
        <v>3020001659</v>
      </c>
      <c r="S169" s="419" t="s">
        <v>152</v>
      </c>
      <c r="T169" s="403" t="s">
        <v>299</v>
      </c>
      <c r="U169" s="403" t="s">
        <v>1274</v>
      </c>
      <c r="V169" s="403" t="s">
        <v>1275</v>
      </c>
      <c r="W169" s="350" t="s">
        <v>1276</v>
      </c>
      <c r="X169" s="399" t="s">
        <v>1277</v>
      </c>
      <c r="Y169" s="399"/>
      <c r="Z169" s="353">
        <v>4497465</v>
      </c>
      <c r="AA169" s="366">
        <v>34</v>
      </c>
      <c r="AB169" s="353">
        <v>592145</v>
      </c>
      <c r="AC169" s="423"/>
      <c r="AD169" s="424"/>
      <c r="AE169" s="424"/>
      <c r="AF169" s="424"/>
      <c r="AG169" s="424"/>
      <c r="AH169" s="424"/>
      <c r="AI169" s="409" t="e">
        <v>#N/A</v>
      </c>
      <c r="AJ169" s="409" t="e">
        <v>#N/A</v>
      </c>
      <c r="AK169" s="409"/>
      <c r="AL169" s="409"/>
      <c r="AM169" s="425" t="s">
        <v>1278</v>
      </c>
      <c r="AN169" s="425" t="s">
        <v>1278</v>
      </c>
      <c r="AO169" s="409"/>
      <c r="AP169" s="409"/>
      <c r="AQ169" s="409"/>
      <c r="AR169" s="409"/>
      <c r="AS169" s="409"/>
      <c r="AT169" s="409"/>
      <c r="AU169" s="409" t="s">
        <v>1279</v>
      </c>
      <c r="AV169" s="409"/>
      <c r="AW169" s="409"/>
      <c r="AX169" s="409"/>
      <c r="AY169" s="409"/>
      <c r="AZ169" s="409" t="s">
        <v>1280</v>
      </c>
      <c r="BA169" s="409"/>
      <c r="BB169" s="409"/>
      <c r="BC169" s="596" t="s">
        <v>348</v>
      </c>
      <c r="BD169" s="596"/>
      <c r="BE169" s="409"/>
      <c r="BF169" s="419"/>
      <c r="BG169" s="363"/>
      <c r="BH169" s="363"/>
      <c r="BI169" s="363"/>
      <c r="BJ169" s="363"/>
      <c r="BK169" s="363"/>
      <c r="BL169" s="363"/>
      <c r="BM169" s="363"/>
      <c r="BN169" s="363"/>
      <c r="BO169" s="363"/>
      <c r="BP169" s="363"/>
      <c r="BQ169" s="363"/>
      <c r="BR169" s="363"/>
      <c r="BS169" s="362">
        <f>SUM(Table14[[#This Row],[Jan-24]:[Dec-24]])</f>
        <v>0</v>
      </c>
      <c r="BT169" s="362"/>
      <c r="BU169" s="362"/>
      <c r="BV169" s="362"/>
      <c r="BW169" s="362"/>
      <c r="BX169" s="362"/>
      <c r="BY169" s="362"/>
      <c r="BZ169" s="362"/>
      <c r="CA169" s="362"/>
      <c r="CB169" s="362"/>
      <c r="CC169" s="362"/>
      <c r="CD169" s="362">
        <v>0</v>
      </c>
      <c r="CE169" s="362"/>
      <c r="CF169" s="362">
        <f>SUM(Table14[[#This Row],[Jan-25]:[Dec-25]])</f>
        <v>0</v>
      </c>
      <c r="CG169" s="362"/>
      <c r="CH169" s="362"/>
      <c r="CI169" s="362"/>
      <c r="CJ169" s="414">
        <f>SUM(Table14[[#This Row],[Jan-26]:[Mar-26]])</f>
        <v>0</v>
      </c>
      <c r="CK169" s="531">
        <f>IFERROR(SUM(Table14[[#This Row],[Oct-25]:[Dec-25]],Table14[[#This Row],[Jan-26]:[Mar-26]])/COUNT(Table14[[#This Row],[Oct-25]:[Dec-25]],Table14[[#This Row],[Jan-26]:[Mar-26]]),0)</f>
        <v>0</v>
      </c>
      <c r="CL169" s="363" t="s">
        <v>1281</v>
      </c>
      <c r="CM169" s="414">
        <f>Table14[[#This Row],[YTD 2024]]+Table14[[#This Row],[YTD 2025]]+Table14[[#This Row],[YTD 2026]]</f>
        <v>0</v>
      </c>
      <c r="CN169" s="366" t="s">
        <v>733</v>
      </c>
      <c r="CO169" s="353" t="e">
        <f t="shared" si="26"/>
        <v>#VALUE!</v>
      </c>
      <c r="CP169" s="353">
        <f>Table14[[#This Row],[Unit Cost]]-Table14[[#This Row],[Margin on Reagent sale]]</f>
        <v>4497465</v>
      </c>
      <c r="CQ169" s="372" t="e">
        <f>Table14[[#This Row],[Avg reagent Sales per month Actual]]-Table14[[#This Row],[Per Month Reagent Commitment]]</f>
        <v>#VALUE!</v>
      </c>
      <c r="CR169" s="403" t="s">
        <v>1282</v>
      </c>
      <c r="CS169" s="367" t="e">
        <f>Table14[[#This Row],[On Track / (behind) (avg per month)]]/Table14[[#This Row],[Months]]</f>
        <v>#VALUE!</v>
      </c>
      <c r="CT169" s="368">
        <v>0.4</v>
      </c>
      <c r="CU169" s="367">
        <f>Table14[[#This Row],[Total Reagent Sales till date Actual]]*Table14[[#This Row],[Margin %]]</f>
        <v>0</v>
      </c>
      <c r="CV169" s="400">
        <f>CT169</f>
        <v>0.4</v>
      </c>
      <c r="CX169" s="1"/>
      <c r="CZ169" s="135"/>
      <c r="DA169" s="1"/>
    </row>
    <row r="170" spans="1:105" ht="15" customHeight="1" x14ac:dyDescent="0.3">
      <c r="A170" s="399" t="s">
        <v>296</v>
      </c>
      <c r="B170" s="631" t="s">
        <v>297</v>
      </c>
      <c r="C170" s="401" t="s">
        <v>24</v>
      </c>
      <c r="D170" s="402" t="s">
        <v>35</v>
      </c>
      <c r="E170" s="403">
        <v>15002553</v>
      </c>
      <c r="F170" s="403" t="s">
        <v>298</v>
      </c>
      <c r="G170" s="449"/>
      <c r="H170" s="667"/>
      <c r="I170" s="404" t="s">
        <v>1283</v>
      </c>
      <c r="J170" s="405"/>
      <c r="K170" s="405"/>
      <c r="L170" s="405" t="s">
        <v>385</v>
      </c>
      <c r="M170" s="406"/>
      <c r="N170" s="406"/>
      <c r="O170" s="404" t="s">
        <v>304</v>
      </c>
      <c r="P170" s="404" t="s">
        <v>15</v>
      </c>
      <c r="Q170" s="400" t="s">
        <v>1000</v>
      </c>
      <c r="R170" s="399">
        <v>3020001748</v>
      </c>
      <c r="S170" s="402" t="s">
        <v>85</v>
      </c>
      <c r="T170" s="401"/>
      <c r="U170" s="436"/>
      <c r="V170" s="403" t="s">
        <v>1284</v>
      </c>
      <c r="W170" s="350" t="s">
        <v>1285</v>
      </c>
      <c r="X170" s="434" t="s">
        <v>1286</v>
      </c>
      <c r="Y170" s="399" t="s">
        <v>1287</v>
      </c>
      <c r="Z170" s="351">
        <v>2587355</v>
      </c>
      <c r="AA170" s="352">
        <v>35</v>
      </c>
      <c r="AB170" s="353">
        <v>223571</v>
      </c>
      <c r="AC170" s="409"/>
      <c r="AD170" s="410"/>
      <c r="AE170" s="411"/>
      <c r="AF170" s="411"/>
      <c r="AG170" s="411"/>
      <c r="AH170" s="411"/>
      <c r="AI170" s="411"/>
      <c r="AJ170" s="411"/>
      <c r="AK170" s="411"/>
      <c r="AL170" s="411"/>
      <c r="AM170" s="412"/>
      <c r="AN170" s="412"/>
      <c r="AO170" s="411"/>
      <c r="AP170" s="411"/>
      <c r="AQ170" s="411"/>
      <c r="AR170" s="411"/>
      <c r="AS170" s="411"/>
      <c r="AT170" s="411"/>
      <c r="AU170" s="411" t="s">
        <v>1288</v>
      </c>
      <c r="AV170" s="412"/>
      <c r="AW170" s="412"/>
      <c r="AX170" s="354"/>
      <c r="AY170" s="354"/>
      <c r="AZ170" s="354"/>
      <c r="BA170" s="354"/>
      <c r="BB170" s="413"/>
      <c r="BC170" s="597" t="s">
        <v>1569</v>
      </c>
      <c r="BD170" s="597" t="s">
        <v>1664</v>
      </c>
      <c r="BE170" s="375">
        <v>1</v>
      </c>
      <c r="BF170" s="402" t="s">
        <v>1492</v>
      </c>
      <c r="BG170" s="355"/>
      <c r="BH170" s="355"/>
      <c r="BI170" s="414"/>
      <c r="BJ170" s="355"/>
      <c r="BK170" s="356"/>
      <c r="BL170" s="357"/>
      <c r="BM170" s="358"/>
      <c r="BN170" s="358"/>
      <c r="BO170" s="359"/>
      <c r="BP170" s="359"/>
      <c r="BQ170" s="370"/>
      <c r="BR170" s="359"/>
      <c r="BS170" s="362">
        <f>SUM(Table14[[#This Row],[Jan-24]:[Dec-24]])</f>
        <v>0</v>
      </c>
      <c r="BT170" s="414">
        <v>123186</v>
      </c>
      <c r="BU170" s="414">
        <v>1367339</v>
      </c>
      <c r="BV170" s="414"/>
      <c r="BW170" s="414">
        <v>0</v>
      </c>
      <c r="BX170" s="414">
        <v>859806</v>
      </c>
      <c r="BY170" s="414"/>
      <c r="BZ170" s="414">
        <v>373472</v>
      </c>
      <c r="CA170" s="414">
        <v>514242</v>
      </c>
      <c r="CB170" s="414">
        <v>3201023</v>
      </c>
      <c r="CC170" s="414">
        <v>3372670</v>
      </c>
      <c r="CD170" s="414">
        <v>539515</v>
      </c>
      <c r="CE170" s="414">
        <v>4130990</v>
      </c>
      <c r="CF170" s="362">
        <f>SUM(Table14[[#This Row],[Jan-25]:[Dec-25]])</f>
        <v>14482243</v>
      </c>
      <c r="CG170" s="414">
        <f>820960/4</f>
        <v>205240</v>
      </c>
      <c r="CH170" s="414">
        <f>1699912/4</f>
        <v>424978</v>
      </c>
      <c r="CI170" s="414">
        <f>317250/4</f>
        <v>79312.5</v>
      </c>
      <c r="CJ170" s="414">
        <f>SUM(Table14[[#This Row],[Jan-26]:[Mar-26]])</f>
        <v>709530.5</v>
      </c>
      <c r="CK170" s="531">
        <f>IFERROR(SUM(Table14[[#This Row],[Oct-25]:[Dec-25]],Table14[[#This Row],[Jan-26]:[Mar-26]])/COUNT(Table14[[#This Row],[Oct-25]:[Dec-25]],Table14[[#This Row],[Jan-26]:[Mar-26]]),0)</f>
        <v>1458784.25</v>
      </c>
      <c r="CL170" s="380"/>
      <c r="CM170" s="414">
        <f>Table14[[#This Row],[YTD 2024]]+Table14[[#This Row],[YTD 2025]]+Table14[[#This Row],[YTD 2026]]</f>
        <v>15191773.5</v>
      </c>
      <c r="CN170" s="381">
        <v>14</v>
      </c>
      <c r="CO170" s="353">
        <f t="shared" si="26"/>
        <v>1085126.6785714286</v>
      </c>
      <c r="CP170" s="353">
        <f>Table14[[#This Row],[Unit Cost]]-Table14[[#This Row],[Margin on Reagent sale]]</f>
        <v>-3489354.4000000004</v>
      </c>
      <c r="CQ170" s="367">
        <f>Table14[[#This Row],[Avg reagent Sales per month Actual]]-Table14[[#This Row],[Per Month Reagent Commitment]]</f>
        <v>861555.67857142864</v>
      </c>
      <c r="CR170" s="403" t="s">
        <v>343</v>
      </c>
      <c r="CS170" s="367">
        <f>Table14[[#This Row],[On Track / (behind) (avg per month)]]/Table14[[#This Row],[Months]]</f>
        <v>61539.691326530614</v>
      </c>
      <c r="CT170" s="368">
        <v>0.4</v>
      </c>
      <c r="CU170" s="367">
        <f>Table14[[#This Row],[Total Reagent Sales till date Actual]]*Table14[[#This Row],[Margin %]]</f>
        <v>6076709.4000000004</v>
      </c>
      <c r="CV170" s="369">
        <f>CT170</f>
        <v>0.4</v>
      </c>
      <c r="CX170" s="1"/>
      <c r="CZ170" s="135"/>
      <c r="DA170" s="1"/>
    </row>
    <row r="171" spans="1:105" ht="15" customHeight="1" x14ac:dyDescent="0.3">
      <c r="A171" s="399" t="s">
        <v>511</v>
      </c>
      <c r="B171" s="631" t="s">
        <v>345</v>
      </c>
      <c r="C171" s="401" t="s">
        <v>21</v>
      </c>
      <c r="D171" s="402" t="s">
        <v>691</v>
      </c>
      <c r="E171" s="403">
        <v>15002760</v>
      </c>
      <c r="F171" s="401" t="s">
        <v>298</v>
      </c>
      <c r="G171" s="682" t="s">
        <v>1631</v>
      </c>
      <c r="H171" s="667"/>
      <c r="I171" s="682">
        <v>30006366</v>
      </c>
      <c r="J171" s="500" t="s">
        <v>1289</v>
      </c>
      <c r="K171" s="405"/>
      <c r="L171" s="405" t="s">
        <v>1290</v>
      </c>
      <c r="M171" s="406"/>
      <c r="N171" s="406"/>
      <c r="O171" s="404" t="s">
        <v>304</v>
      </c>
      <c r="P171" s="404" t="s">
        <v>15</v>
      </c>
      <c r="Q171" s="400" t="s">
        <v>1000</v>
      </c>
      <c r="R171" s="399">
        <v>3020001748</v>
      </c>
      <c r="S171" s="402" t="s">
        <v>115</v>
      </c>
      <c r="T171" s="401"/>
      <c r="U171" s="436"/>
      <c r="V171" s="403" t="s">
        <v>1284</v>
      </c>
      <c r="W171" s="350" t="s">
        <v>1285</v>
      </c>
      <c r="X171" s="434" t="s">
        <v>1286</v>
      </c>
      <c r="Y171" s="399" t="s">
        <v>1287</v>
      </c>
      <c r="Z171" s="351">
        <v>18824399</v>
      </c>
      <c r="AA171" s="352">
        <v>34</v>
      </c>
      <c r="AB171" s="353">
        <v>1550725</v>
      </c>
      <c r="AC171" s="409"/>
      <c r="AD171" s="410"/>
      <c r="AE171" s="411"/>
      <c r="AF171" s="411"/>
      <c r="AG171" s="411"/>
      <c r="AH171" s="411"/>
      <c r="AI171" s="411"/>
      <c r="AJ171" s="411"/>
      <c r="AK171" s="411"/>
      <c r="AL171" s="411"/>
      <c r="AM171" s="412"/>
      <c r="AN171" s="412"/>
      <c r="AO171" s="411"/>
      <c r="AP171" s="411"/>
      <c r="AQ171" s="411"/>
      <c r="AR171" s="411"/>
      <c r="AS171" s="411"/>
      <c r="AT171" s="411"/>
      <c r="AU171" s="411"/>
      <c r="AV171" s="412"/>
      <c r="AW171" s="412"/>
      <c r="AX171" s="354"/>
      <c r="AY171" s="354"/>
      <c r="AZ171" s="354"/>
      <c r="BA171" s="354"/>
      <c r="BB171" s="413"/>
      <c r="BC171" s="597" t="s">
        <v>1505</v>
      </c>
      <c r="BD171" s="597" t="s">
        <v>1644</v>
      </c>
      <c r="BE171" s="375">
        <v>1</v>
      </c>
      <c r="BF171" s="402" t="s">
        <v>315</v>
      </c>
      <c r="BG171" s="355"/>
      <c r="BH171" s="355"/>
      <c r="BI171" s="355"/>
      <c r="BJ171" s="355"/>
      <c r="BK171" s="356"/>
      <c r="BL171" s="357"/>
      <c r="BM171" s="358"/>
      <c r="BN171" s="358"/>
      <c r="BO171" s="359"/>
      <c r="BP171" s="414"/>
      <c r="BQ171" s="370"/>
      <c r="BR171" s="414"/>
      <c r="BS171" s="362">
        <f>SUM(Table14[[#This Row],[Jan-24]:[Dec-24]])</f>
        <v>0</v>
      </c>
      <c r="BT171" s="361"/>
      <c r="BU171" s="361"/>
      <c r="BV171" s="361">
        <v>1089608</v>
      </c>
      <c r="BW171" s="361">
        <v>578220</v>
      </c>
      <c r="BX171" s="361">
        <v>1859355.5561303066</v>
      </c>
      <c r="BY171" s="361">
        <v>0</v>
      </c>
      <c r="BZ171" s="361">
        <v>350113</v>
      </c>
      <c r="CA171" s="455">
        <v>210000</v>
      </c>
      <c r="CB171" s="455">
        <v>425000</v>
      </c>
      <c r="CC171" s="455"/>
      <c r="CD171" s="455">
        <f>335767/2</f>
        <v>167883.5</v>
      </c>
      <c r="CE171" s="455"/>
      <c r="CF171" s="362">
        <f>SUM(Table14[[#This Row],[Jan-25]:[Dec-25]])</f>
        <v>4680180.0561303068</v>
      </c>
      <c r="CG171" s="455">
        <f>48600/2</f>
        <v>24300</v>
      </c>
      <c r="CH171" s="455">
        <f>656077/2</f>
        <v>328038.5</v>
      </c>
      <c r="CI171" s="455">
        <f>252962/2</f>
        <v>126481</v>
      </c>
      <c r="CJ171" s="414">
        <f>SUM(Table14[[#This Row],[Jan-26]:[Mar-26]])</f>
        <v>478819.5</v>
      </c>
      <c r="CK171" s="531">
        <f>IFERROR(SUM(Table14[[#This Row],[Oct-25]:[Dec-25]],Table14[[#This Row],[Jan-26]:[Mar-26]])/COUNT(Table14[[#This Row],[Oct-25]:[Dec-25]],Table14[[#This Row],[Jan-26]:[Mar-26]]),0)</f>
        <v>161675.75</v>
      </c>
      <c r="CL171" s="364"/>
      <c r="CM171" s="414">
        <f>Table14[[#This Row],[YTD 2024]]+Table14[[#This Row],[YTD 2025]]+Table14[[#This Row],[YTD 2026]]</f>
        <v>5158999.5561303068</v>
      </c>
      <c r="CN171" s="381">
        <v>6</v>
      </c>
      <c r="CO171" s="353">
        <f t="shared" si="26"/>
        <v>859833.25935505109</v>
      </c>
      <c r="CP171" s="353">
        <f>Table14[[#This Row],[Unit Cost]]-Table14[[#This Row],[Margin on Reagent sale]]</f>
        <v>16760799.177547878</v>
      </c>
      <c r="CQ171" s="367">
        <f>Table14[[#This Row],[Avg reagent Sales per month Actual]]-Table14[[#This Row],[Per Month Reagent Commitment]]</f>
        <v>-690891.74064494891</v>
      </c>
      <c r="CR171" s="403" t="s">
        <v>640</v>
      </c>
      <c r="CS171" s="367">
        <f>Table14[[#This Row],[On Track / (behind) (avg per month)]]/Table14[[#This Row],[Months]]</f>
        <v>-115148.62344082481</v>
      </c>
      <c r="CT171" s="368">
        <v>0.4</v>
      </c>
      <c r="CU171" s="367">
        <f>Table14[[#This Row],[Total Reagent Sales till date Actual]]*Table14[[#This Row],[Margin %]]</f>
        <v>2063599.8224521228</v>
      </c>
      <c r="CV171" s="442">
        <v>0.35</v>
      </c>
      <c r="CX171" s="1"/>
      <c r="CZ171" s="135"/>
      <c r="DA171" s="1"/>
    </row>
    <row r="172" spans="1:105" ht="15" customHeight="1" x14ac:dyDescent="0.3">
      <c r="A172" s="399" t="s">
        <v>511</v>
      </c>
      <c r="B172" s="631" t="s">
        <v>345</v>
      </c>
      <c r="C172" s="401" t="s">
        <v>21</v>
      </c>
      <c r="D172" s="402" t="s">
        <v>691</v>
      </c>
      <c r="E172" s="403">
        <v>15002760</v>
      </c>
      <c r="F172" s="401" t="s">
        <v>298</v>
      </c>
      <c r="G172" s="449">
        <v>3002000089</v>
      </c>
      <c r="H172" s="667"/>
      <c r="I172" s="499">
        <v>30006362</v>
      </c>
      <c r="J172" s="500" t="s">
        <v>1291</v>
      </c>
      <c r="K172" s="405"/>
      <c r="L172" s="405" t="s">
        <v>1092</v>
      </c>
      <c r="M172" s="406"/>
      <c r="N172" s="406"/>
      <c r="O172" s="404" t="s">
        <v>304</v>
      </c>
      <c r="P172" s="404" t="s">
        <v>15</v>
      </c>
      <c r="Q172" s="400" t="s">
        <v>1000</v>
      </c>
      <c r="R172" s="399">
        <v>3020001748</v>
      </c>
      <c r="S172" s="402" t="s">
        <v>116</v>
      </c>
      <c r="T172" s="401"/>
      <c r="U172" s="436"/>
      <c r="V172" s="403" t="s">
        <v>1284</v>
      </c>
      <c r="W172" s="350" t="s">
        <v>1285</v>
      </c>
      <c r="X172" s="434" t="s">
        <v>1286</v>
      </c>
      <c r="Y172" s="399" t="s">
        <v>1287</v>
      </c>
      <c r="Z172" s="351">
        <v>8002112</v>
      </c>
      <c r="AA172" s="352">
        <v>48</v>
      </c>
      <c r="AB172" s="353">
        <v>497587</v>
      </c>
      <c r="AC172" s="409"/>
      <c r="AD172" s="410"/>
      <c r="AE172" s="411"/>
      <c r="AF172" s="411"/>
      <c r="AG172" s="411"/>
      <c r="AH172" s="411"/>
      <c r="AI172" s="411"/>
      <c r="AJ172" s="411"/>
      <c r="AK172" s="411"/>
      <c r="AL172" s="411"/>
      <c r="AM172" s="412"/>
      <c r="AN172" s="412"/>
      <c r="AO172" s="411"/>
      <c r="AP172" s="411"/>
      <c r="AQ172" s="411"/>
      <c r="AR172" s="411"/>
      <c r="AS172" s="411"/>
      <c r="AT172" s="411"/>
      <c r="AU172" s="411"/>
      <c r="AV172" s="412"/>
      <c r="AW172" s="412"/>
      <c r="AX172" s="354"/>
      <c r="AY172" s="354"/>
      <c r="AZ172" s="354"/>
      <c r="BA172" s="354"/>
      <c r="BB172" s="413"/>
      <c r="BC172" s="597" t="s">
        <v>1505</v>
      </c>
      <c r="BD172" s="597" t="s">
        <v>1644</v>
      </c>
      <c r="BE172" s="375">
        <v>1</v>
      </c>
      <c r="BF172" s="402" t="s">
        <v>315</v>
      </c>
      <c r="BG172" s="355"/>
      <c r="BH172" s="355"/>
      <c r="BI172" s="355"/>
      <c r="BJ172" s="355"/>
      <c r="BK172" s="356"/>
      <c r="BL172" s="357"/>
      <c r="BM172" s="358"/>
      <c r="BN172" s="358"/>
      <c r="BO172" s="359"/>
      <c r="BP172" s="414"/>
      <c r="BQ172" s="370"/>
      <c r="BR172" s="414"/>
      <c r="BS172" s="362">
        <f>SUM(Table14[[#This Row],[Jan-24]:[Dec-24]])</f>
        <v>0</v>
      </c>
      <c r="BT172" s="361"/>
      <c r="BU172" s="456">
        <v>170450</v>
      </c>
      <c r="BV172" s="456">
        <v>386349</v>
      </c>
      <c r="BW172" s="456">
        <v>80000</v>
      </c>
      <c r="BX172" s="455">
        <v>585500</v>
      </c>
      <c r="BY172" s="455">
        <v>72000</v>
      </c>
      <c r="BZ172" s="455">
        <v>188000</v>
      </c>
      <c r="CA172" s="455">
        <v>120000</v>
      </c>
      <c r="CB172" s="455">
        <v>398000</v>
      </c>
      <c r="CC172" s="455"/>
      <c r="CD172" s="455">
        <f>CD171</f>
        <v>167883.5</v>
      </c>
      <c r="CE172" s="455"/>
      <c r="CF172" s="362">
        <f>SUM(Table14[[#This Row],[Jan-25]:[Dec-25]])</f>
        <v>2168182.5</v>
      </c>
      <c r="CG172" s="455">
        <f>CG171</f>
        <v>24300</v>
      </c>
      <c r="CH172" s="455">
        <f>CH171</f>
        <v>328038.5</v>
      </c>
      <c r="CI172" s="455">
        <f>252962/2</f>
        <v>126481</v>
      </c>
      <c r="CJ172" s="414">
        <f>SUM(Table14[[#This Row],[Jan-26]:[Mar-26]])</f>
        <v>478819.5</v>
      </c>
      <c r="CK172" s="531">
        <f>IFERROR(SUM(Table14[[#This Row],[Oct-25]:[Dec-25]],Table14[[#This Row],[Jan-26]:[Mar-26]])/COUNT(Table14[[#This Row],[Oct-25]:[Dec-25]],Table14[[#This Row],[Jan-26]:[Mar-26]]),0)</f>
        <v>161675.75</v>
      </c>
      <c r="CL172" s="364"/>
      <c r="CM172" s="414">
        <f>Table14[[#This Row],[YTD 2024]]+Table14[[#This Row],[YTD 2025]]+Table14[[#This Row],[YTD 2026]]</f>
        <v>2647002</v>
      </c>
      <c r="CN172" s="381">
        <v>8</v>
      </c>
      <c r="CO172" s="353">
        <f t="shared" si="26"/>
        <v>330875.25</v>
      </c>
      <c r="CP172" s="353">
        <f>Table14[[#This Row],[Unit Cost]]-Table14[[#This Row],[Margin on Reagent sale]]</f>
        <v>6943311.2000000002</v>
      </c>
      <c r="CQ172" s="367">
        <f>Table14[[#This Row],[Avg reagent Sales per month Actual]]-Table14[[#This Row],[Per Month Reagent Commitment]]</f>
        <v>-166711.75</v>
      </c>
      <c r="CR172" s="403" t="s">
        <v>640</v>
      </c>
      <c r="CS172" s="367">
        <f>Table14[[#This Row],[On Track / (behind) (avg per month)]]/Table14[[#This Row],[Months]]</f>
        <v>-20838.96875</v>
      </c>
      <c r="CT172" s="368">
        <v>0.4</v>
      </c>
      <c r="CU172" s="367">
        <f>Table14[[#This Row],[Total Reagent Sales till date Actual]]*Table14[[#This Row],[Margin %]]</f>
        <v>1058800.8</v>
      </c>
      <c r="CV172" s="442">
        <v>0.35</v>
      </c>
      <c r="CX172" s="1"/>
      <c r="CZ172" s="135"/>
      <c r="DA172" s="1"/>
    </row>
    <row r="173" spans="1:105" ht="15" customHeight="1" x14ac:dyDescent="0.3">
      <c r="A173" s="399" t="s">
        <v>296</v>
      </c>
      <c r="B173" s="631" t="s">
        <v>297</v>
      </c>
      <c r="C173" s="401" t="s">
        <v>24</v>
      </c>
      <c r="D173" s="402" t="s">
        <v>35</v>
      </c>
      <c r="E173" s="403">
        <v>15002553</v>
      </c>
      <c r="F173" s="403" t="s">
        <v>298</v>
      </c>
      <c r="G173" s="449" t="s">
        <v>1292</v>
      </c>
      <c r="H173" s="673"/>
      <c r="I173" s="404" t="s">
        <v>1293</v>
      </c>
      <c r="J173" s="405"/>
      <c r="K173" s="405"/>
      <c r="L173" s="405" t="s">
        <v>385</v>
      </c>
      <c r="M173" s="406"/>
      <c r="N173" s="406"/>
      <c r="O173" s="404" t="s">
        <v>348</v>
      </c>
      <c r="P173" s="404" t="s">
        <v>15</v>
      </c>
      <c r="Q173" s="400" t="s">
        <v>1000</v>
      </c>
      <c r="R173" s="399">
        <v>3020001748</v>
      </c>
      <c r="S173" s="402" t="s">
        <v>140</v>
      </c>
      <c r="T173" s="403"/>
      <c r="U173" s="436"/>
      <c r="V173" s="403" t="s">
        <v>1284</v>
      </c>
      <c r="W173" s="350" t="s">
        <v>1285</v>
      </c>
      <c r="X173" s="434" t="s">
        <v>1286</v>
      </c>
      <c r="Y173" s="399" t="s">
        <v>1287</v>
      </c>
      <c r="Z173" s="391">
        <v>2587355</v>
      </c>
      <c r="AA173" s="352">
        <v>35</v>
      </c>
      <c r="AB173" s="392">
        <v>223571</v>
      </c>
      <c r="AC173" s="409"/>
      <c r="AD173" s="410"/>
      <c r="AE173" s="411"/>
      <c r="AF173" s="411"/>
      <c r="AG173" s="411"/>
      <c r="AH173" s="411"/>
      <c r="AI173" s="411"/>
      <c r="AJ173" s="411"/>
      <c r="AK173" s="411"/>
      <c r="AL173" s="411"/>
      <c r="AM173" s="412"/>
      <c r="AN173" s="412"/>
      <c r="AO173" s="411"/>
      <c r="AP173" s="411"/>
      <c r="AQ173" s="411"/>
      <c r="AR173" s="411"/>
      <c r="AS173" s="411"/>
      <c r="AT173" s="411"/>
      <c r="AU173" s="411" t="s">
        <v>1288</v>
      </c>
      <c r="AV173" s="412"/>
      <c r="AW173" s="412"/>
      <c r="AX173" s="354"/>
      <c r="AY173" s="354"/>
      <c r="AZ173" s="354"/>
      <c r="BA173" s="354"/>
      <c r="BB173" s="413"/>
      <c r="BC173" s="597"/>
      <c r="BD173" s="597"/>
      <c r="BE173" s="375">
        <v>1</v>
      </c>
      <c r="BF173" s="402"/>
      <c r="BG173" s="355"/>
      <c r="BH173" s="355"/>
      <c r="BI173" s="355"/>
      <c r="BJ173" s="355"/>
      <c r="BK173" s="356"/>
      <c r="BL173" s="357"/>
      <c r="BM173" s="358"/>
      <c r="BN173" s="358"/>
      <c r="BO173" s="359"/>
      <c r="BP173" s="359"/>
      <c r="BQ173" s="359"/>
      <c r="BR173" s="359"/>
      <c r="BS173" s="362">
        <f>SUM(Table14[[#This Row],[Jan-24]:[Dec-24]])</f>
        <v>0</v>
      </c>
      <c r="BT173" s="361">
        <f>123186/4</f>
        <v>30796.5</v>
      </c>
      <c r="BU173" s="421">
        <f>1367339/4</f>
        <v>341834.75</v>
      </c>
      <c r="BV173" s="361">
        <v>0</v>
      </c>
      <c r="BW173" s="361">
        <v>0</v>
      </c>
      <c r="BX173" s="361">
        <v>225000</v>
      </c>
      <c r="BY173" s="361">
        <v>870000</v>
      </c>
      <c r="BZ173" s="361">
        <v>95000</v>
      </c>
      <c r="CA173" s="361">
        <v>130000</v>
      </c>
      <c r="CB173" s="361">
        <v>166475</v>
      </c>
      <c r="CC173" s="361">
        <f>3372670/4</f>
        <v>843167.5</v>
      </c>
      <c r="CD173" s="361">
        <f>539515/4</f>
        <v>134878.75</v>
      </c>
      <c r="CE173" s="361"/>
      <c r="CF173" s="362">
        <f>SUM(Table14[[#This Row],[Jan-25]:[Dec-25]])</f>
        <v>2837152.5</v>
      </c>
      <c r="CG173" s="361"/>
      <c r="CH173" s="361"/>
      <c r="CI173" s="361"/>
      <c r="CJ173" s="414">
        <f>SUM(Table14[[#This Row],[Jan-26]:[Mar-26]])</f>
        <v>0</v>
      </c>
      <c r="CK173" s="531">
        <f>IFERROR(SUM(Table14[[#This Row],[Oct-25]:[Dec-25]],Table14[[#This Row],[Jan-26]:[Mar-26]])/COUNT(Table14[[#This Row],[Oct-25]:[Dec-25]],Table14[[#This Row],[Jan-26]:[Mar-26]]),0)</f>
        <v>489023.125</v>
      </c>
      <c r="CL173" s="364"/>
      <c r="CM173" s="414">
        <f>Table14[[#This Row],[YTD 2024]]+Table14[[#This Row],[YTD 2025]]+Table14[[#This Row],[YTD 2026]]</f>
        <v>2837152.5</v>
      </c>
      <c r="CN173" s="381">
        <v>11</v>
      </c>
      <c r="CO173" s="353">
        <f t="shared" si="26"/>
        <v>257922.95454545456</v>
      </c>
      <c r="CP173" s="353">
        <f>Table14[[#This Row],[Unit Cost]]-Table14[[#This Row],[Margin on Reagent sale]]</f>
        <v>1452494</v>
      </c>
      <c r="CQ173" s="367">
        <f>Table14[[#This Row],[Avg reagent Sales per month Actual]]-Table14[[#This Row],[Per Month Reagent Commitment]]</f>
        <v>34351.954545454559</v>
      </c>
      <c r="CR173" s="403" t="s">
        <v>343</v>
      </c>
      <c r="CS173" s="367">
        <f>Table14[[#This Row],[On Track / (behind) (avg per month)]]/Table14[[#This Row],[Months]]</f>
        <v>3122.9049586776873</v>
      </c>
      <c r="CT173" s="368">
        <v>0.4</v>
      </c>
      <c r="CU173" s="367">
        <f>Table14[[#This Row],[Total Reagent Sales till date Actual]]*Table14[[#This Row],[Margin %]]</f>
        <v>1134861</v>
      </c>
      <c r="CV173" s="369">
        <f>CT173</f>
        <v>0.4</v>
      </c>
      <c r="CX173" s="1"/>
      <c r="CZ173" s="135"/>
      <c r="DA173" s="1"/>
    </row>
    <row r="174" spans="1:105" ht="15" customHeight="1" x14ac:dyDescent="0.3">
      <c r="A174" s="399" t="s">
        <v>296</v>
      </c>
      <c r="B174" s="631" t="s">
        <v>297</v>
      </c>
      <c r="C174" s="401" t="s">
        <v>24</v>
      </c>
      <c r="D174" s="402" t="s">
        <v>35</v>
      </c>
      <c r="E174" s="403">
        <v>15002553</v>
      </c>
      <c r="F174" s="403" t="s">
        <v>298</v>
      </c>
      <c r="G174" s="449">
        <v>3002000109</v>
      </c>
      <c r="H174" s="667"/>
      <c r="I174" s="427" t="s">
        <v>1294</v>
      </c>
      <c r="J174" s="405"/>
      <c r="K174" s="405"/>
      <c r="L174" s="405" t="s">
        <v>491</v>
      </c>
      <c r="M174" s="406"/>
      <c r="N174" s="406"/>
      <c r="O174" s="404" t="s">
        <v>348</v>
      </c>
      <c r="P174" s="404" t="s">
        <v>15</v>
      </c>
      <c r="Q174" s="400" t="s">
        <v>1000</v>
      </c>
      <c r="R174" s="399">
        <v>3020001748</v>
      </c>
      <c r="S174" s="402" t="s">
        <v>149</v>
      </c>
      <c r="T174" s="401"/>
      <c r="U174" s="436"/>
      <c r="V174" s="403" t="s">
        <v>1284</v>
      </c>
      <c r="W174" s="350" t="s">
        <v>1285</v>
      </c>
      <c r="X174" s="434" t="s">
        <v>1286</v>
      </c>
      <c r="Y174" s="399" t="s">
        <v>1287</v>
      </c>
      <c r="Z174" s="351">
        <v>2587355</v>
      </c>
      <c r="AA174" s="352">
        <v>31</v>
      </c>
      <c r="AB174" s="353">
        <v>302952</v>
      </c>
      <c r="AC174" s="409"/>
      <c r="AD174" s="410"/>
      <c r="AE174" s="411"/>
      <c r="AF174" s="411"/>
      <c r="AG174" s="411"/>
      <c r="AH174" s="411"/>
      <c r="AI174" s="411"/>
      <c r="AJ174" s="411"/>
      <c r="AK174" s="411"/>
      <c r="AL174" s="411"/>
      <c r="AM174" s="412"/>
      <c r="AN174" s="412"/>
      <c r="AO174" s="411"/>
      <c r="AP174" s="411"/>
      <c r="AQ174" s="411"/>
      <c r="AR174" s="411"/>
      <c r="AS174" s="411"/>
      <c r="AT174" s="411"/>
      <c r="AU174" s="411" t="s">
        <v>1288</v>
      </c>
      <c r="AV174" s="412"/>
      <c r="AW174" s="412"/>
      <c r="AX174" s="354"/>
      <c r="AY174" s="354"/>
      <c r="AZ174" s="354"/>
      <c r="BA174" s="354"/>
      <c r="BB174" s="413"/>
      <c r="BC174" s="597"/>
      <c r="BD174" s="597"/>
      <c r="BE174" s="375">
        <v>1</v>
      </c>
      <c r="BF174" s="402"/>
      <c r="BG174" s="355"/>
      <c r="BH174" s="355"/>
      <c r="BI174" s="355"/>
      <c r="BJ174" s="355"/>
      <c r="BK174" s="356"/>
      <c r="BL174" s="357"/>
      <c r="BM174" s="358"/>
      <c r="BN174" s="358"/>
      <c r="BO174" s="359"/>
      <c r="BP174" s="359"/>
      <c r="BQ174" s="359"/>
      <c r="BR174" s="359"/>
      <c r="BS174" s="362">
        <f>SUM(Table14[[#This Row],[Jan-24]:[Dec-24]])</f>
        <v>0</v>
      </c>
      <c r="BT174" s="361">
        <f>123186/4</f>
        <v>30796.5</v>
      </c>
      <c r="BU174" s="361">
        <v>341834.75</v>
      </c>
      <c r="BV174" s="361">
        <v>0</v>
      </c>
      <c r="BW174" s="361">
        <v>0</v>
      </c>
      <c r="BX174" s="361">
        <v>198000</v>
      </c>
      <c r="BY174" s="361">
        <v>246000</v>
      </c>
      <c r="BZ174" s="361">
        <v>136000</v>
      </c>
      <c r="CA174" s="361">
        <v>142000</v>
      </c>
      <c r="CB174" s="361">
        <v>201000</v>
      </c>
      <c r="CC174" s="361">
        <f>3372670/4</f>
        <v>843167.5</v>
      </c>
      <c r="CD174" s="361">
        <f>539515/4</f>
        <v>134878.75</v>
      </c>
      <c r="CE174" s="361"/>
      <c r="CF174" s="362">
        <f>SUM(Table14[[#This Row],[Jan-25]:[Dec-25]])</f>
        <v>2273677.5</v>
      </c>
      <c r="CG174" s="361"/>
      <c r="CH174" s="361"/>
      <c r="CI174" s="361"/>
      <c r="CJ174" s="414">
        <f>SUM(Table14[[#This Row],[Jan-26]:[Mar-26]])</f>
        <v>0</v>
      </c>
      <c r="CK174" s="531">
        <f>IFERROR(SUM(Table14[[#This Row],[Oct-25]:[Dec-25]],Table14[[#This Row],[Jan-26]:[Mar-26]])/COUNT(Table14[[#This Row],[Oct-25]:[Dec-25]],Table14[[#This Row],[Jan-26]:[Mar-26]]),0)</f>
        <v>489023.125</v>
      </c>
      <c r="CL174" s="380" t="s">
        <v>1295</v>
      </c>
      <c r="CM174" s="414">
        <f>Table14[[#This Row],[YTD 2024]]+Table14[[#This Row],[YTD 2025]]+Table14[[#This Row],[YTD 2026]]</f>
        <v>2273677.5</v>
      </c>
      <c r="CN174" s="381">
        <v>11</v>
      </c>
      <c r="CO174" s="353">
        <f t="shared" si="26"/>
        <v>206697.95454545456</v>
      </c>
      <c r="CP174" s="353">
        <f>Table14[[#This Row],[Unit Cost]]-Table14[[#This Row],[Margin on Reagent sale]]</f>
        <v>1677884</v>
      </c>
      <c r="CQ174" s="367">
        <f>Table14[[#This Row],[Avg reagent Sales per month Actual]]-Table14[[#This Row],[Per Month Reagent Commitment]]</f>
        <v>-96254.045454545441</v>
      </c>
      <c r="CR174" s="403" t="s">
        <v>343</v>
      </c>
      <c r="CS174" s="367">
        <f>Table14[[#This Row],[On Track / (behind) (avg per month)]]/Table14[[#This Row],[Months]]</f>
        <v>-8750.3677685950406</v>
      </c>
      <c r="CT174" s="368">
        <v>0.4</v>
      </c>
      <c r="CU174" s="367">
        <f>Table14[[#This Row],[Total Reagent Sales till date Actual]]*Table14[[#This Row],[Margin %]]</f>
        <v>909471</v>
      </c>
      <c r="CV174" s="369">
        <f>CT174</f>
        <v>0.4</v>
      </c>
      <c r="CX174" s="1"/>
      <c r="CZ174" s="135"/>
      <c r="DA174" s="1"/>
    </row>
    <row r="175" spans="1:105" ht="15" customHeight="1" x14ac:dyDescent="0.3">
      <c r="A175" s="399" t="s">
        <v>296</v>
      </c>
      <c r="B175" s="631" t="s">
        <v>297</v>
      </c>
      <c r="C175" s="401" t="s">
        <v>24</v>
      </c>
      <c r="D175" s="402" t="s">
        <v>35</v>
      </c>
      <c r="E175" s="403">
        <v>15002553</v>
      </c>
      <c r="F175" s="403" t="s">
        <v>298</v>
      </c>
      <c r="G175" s="449">
        <v>3002000108</v>
      </c>
      <c r="H175" s="667"/>
      <c r="I175" s="427" t="s">
        <v>1296</v>
      </c>
      <c r="J175" s="405"/>
      <c r="K175" s="405"/>
      <c r="L175" s="405" t="s">
        <v>491</v>
      </c>
      <c r="M175" s="406"/>
      <c r="N175" s="406"/>
      <c r="O175" s="404" t="s">
        <v>348</v>
      </c>
      <c r="P175" s="404" t="s">
        <v>15</v>
      </c>
      <c r="Q175" s="400" t="s">
        <v>1000</v>
      </c>
      <c r="R175" s="399">
        <v>3020001748</v>
      </c>
      <c r="S175" s="402" t="s">
        <v>179</v>
      </c>
      <c r="T175" s="403"/>
      <c r="U175" s="436"/>
      <c r="V175" s="403" t="s">
        <v>1284</v>
      </c>
      <c r="W175" s="350" t="s">
        <v>1285</v>
      </c>
      <c r="X175" s="434" t="s">
        <v>1286</v>
      </c>
      <c r="Y175" s="399" t="s">
        <v>1287</v>
      </c>
      <c r="Z175" s="351">
        <v>2587355</v>
      </c>
      <c r="AA175" s="352">
        <v>30</v>
      </c>
      <c r="AB175" s="353">
        <v>291732</v>
      </c>
      <c r="AC175" s="409"/>
      <c r="AD175" s="410"/>
      <c r="AE175" s="411"/>
      <c r="AF175" s="411"/>
      <c r="AG175" s="411"/>
      <c r="AH175" s="411"/>
      <c r="AI175" s="411"/>
      <c r="AJ175" s="411"/>
      <c r="AK175" s="411"/>
      <c r="AL175" s="411"/>
      <c r="AM175" s="412"/>
      <c r="AN175" s="412"/>
      <c r="AO175" s="411"/>
      <c r="AP175" s="411"/>
      <c r="AQ175" s="411"/>
      <c r="AR175" s="411"/>
      <c r="AS175" s="411"/>
      <c r="AT175" s="411"/>
      <c r="AU175" s="411" t="s">
        <v>1288</v>
      </c>
      <c r="AV175" s="412"/>
      <c r="AW175" s="412"/>
      <c r="AX175" s="354"/>
      <c r="AY175" s="354"/>
      <c r="AZ175" s="354"/>
      <c r="BA175" s="354"/>
      <c r="BB175" s="413"/>
      <c r="BC175" s="597"/>
      <c r="BD175" s="597"/>
      <c r="BE175" s="375">
        <v>1</v>
      </c>
      <c r="BF175" s="402"/>
      <c r="BG175" s="355"/>
      <c r="BH175" s="355"/>
      <c r="BI175" s="355"/>
      <c r="BJ175" s="355"/>
      <c r="BK175" s="356"/>
      <c r="BL175" s="357"/>
      <c r="BM175" s="358"/>
      <c r="BN175" s="358"/>
      <c r="BO175" s="359"/>
      <c r="BP175" s="359"/>
      <c r="BQ175" s="359"/>
      <c r="BR175" s="359"/>
      <c r="BS175" s="362">
        <f>SUM(Table14[[#This Row],[Jan-24]:[Dec-24]])</f>
        <v>0</v>
      </c>
      <c r="BT175" s="361">
        <f>123186/4</f>
        <v>30796.5</v>
      </c>
      <c r="BU175" s="361">
        <v>341834.75</v>
      </c>
      <c r="BV175" s="361">
        <v>0</v>
      </c>
      <c r="BW175" s="361">
        <v>0</v>
      </c>
      <c r="BX175" s="361">
        <v>229806</v>
      </c>
      <c r="BY175" s="361">
        <v>299331</v>
      </c>
      <c r="BZ175" s="361">
        <v>0</v>
      </c>
      <c r="CA175" s="437">
        <v>92242</v>
      </c>
      <c r="CB175" s="361">
        <v>214000</v>
      </c>
      <c r="CC175" s="361">
        <f>3372670/4</f>
        <v>843167.5</v>
      </c>
      <c r="CD175" s="361">
        <f>539515/4</f>
        <v>134878.75</v>
      </c>
      <c r="CE175" s="361"/>
      <c r="CF175" s="362">
        <f>SUM(Table14[[#This Row],[Jan-25]:[Dec-25]])</f>
        <v>2186056.5</v>
      </c>
      <c r="CG175" s="361"/>
      <c r="CH175" s="361"/>
      <c r="CI175" s="361"/>
      <c r="CJ175" s="414">
        <f>SUM(Table14[[#This Row],[Jan-26]:[Mar-26]])</f>
        <v>0</v>
      </c>
      <c r="CK175" s="531">
        <f>IFERROR(SUM(Table14[[#This Row],[Oct-25]:[Dec-25]],Table14[[#This Row],[Jan-26]:[Mar-26]])/COUNT(Table14[[#This Row],[Oct-25]:[Dec-25]],Table14[[#This Row],[Jan-26]:[Mar-26]]),0)</f>
        <v>489023.125</v>
      </c>
      <c r="CL175" s="380" t="s">
        <v>1295</v>
      </c>
      <c r="CM175" s="414">
        <f>Table14[[#This Row],[YTD 2024]]+Table14[[#This Row],[YTD 2025]]+Table14[[#This Row],[YTD 2026]]</f>
        <v>2186056.5</v>
      </c>
      <c r="CN175" s="381">
        <v>11</v>
      </c>
      <c r="CO175" s="353">
        <f t="shared" si="26"/>
        <v>198732.40909090909</v>
      </c>
      <c r="CP175" s="353">
        <f>Table14[[#This Row],[Unit Cost]]-Table14[[#This Row],[Margin on Reagent sale]]</f>
        <v>1712932.4</v>
      </c>
      <c r="CQ175" s="367">
        <f>Table14[[#This Row],[Avg reagent Sales per month Actual]]-Table14[[#This Row],[Per Month Reagent Commitment]]</f>
        <v>-92999.590909090912</v>
      </c>
      <c r="CR175" s="403" t="s">
        <v>343</v>
      </c>
      <c r="CS175" s="367">
        <f>Table14[[#This Row],[On Track / (behind) (avg per month)]]/Table14[[#This Row],[Months]]</f>
        <v>-8454.508264462811</v>
      </c>
      <c r="CT175" s="368">
        <v>0.4</v>
      </c>
      <c r="CU175" s="367">
        <f>Table14[[#This Row],[Total Reagent Sales till date Actual]]*Table14[[#This Row],[Margin %]]</f>
        <v>874422.60000000009</v>
      </c>
      <c r="CV175" s="369">
        <f>CT175</f>
        <v>0.4</v>
      </c>
      <c r="CX175" s="1"/>
      <c r="CZ175" s="135"/>
      <c r="DA175" s="1"/>
    </row>
    <row r="176" spans="1:105" ht="43.2" x14ac:dyDescent="0.3">
      <c r="A176" s="399" t="s">
        <v>511</v>
      </c>
      <c r="B176" s="629" t="s">
        <v>345</v>
      </c>
      <c r="C176" s="399" t="s">
        <v>21</v>
      </c>
      <c r="D176" s="415" t="s">
        <v>1297</v>
      </c>
      <c r="E176" s="403">
        <v>15002758</v>
      </c>
      <c r="F176" s="403" t="s">
        <v>298</v>
      </c>
      <c r="G176" s="449">
        <v>3002000025</v>
      </c>
      <c r="H176" s="409" t="s">
        <v>299</v>
      </c>
      <c r="I176" s="416">
        <v>36000907</v>
      </c>
      <c r="J176" s="417" t="s">
        <v>1298</v>
      </c>
      <c r="K176" s="417" t="s">
        <v>1299</v>
      </c>
      <c r="L176" s="417" t="s">
        <v>1299</v>
      </c>
      <c r="M176" s="417" t="s">
        <v>303</v>
      </c>
      <c r="N176" s="417"/>
      <c r="O176" s="416" t="s">
        <v>1300</v>
      </c>
      <c r="P176" s="418" t="s">
        <v>15</v>
      </c>
      <c r="Q176" s="399" t="s">
        <v>1000</v>
      </c>
      <c r="R176" s="399">
        <v>3020001748</v>
      </c>
      <c r="S176" s="466" t="s">
        <v>80</v>
      </c>
      <c r="T176" s="403" t="s">
        <v>1301</v>
      </c>
      <c r="U176" s="403" t="s">
        <v>1302</v>
      </c>
      <c r="V176" s="403" t="s">
        <v>1303</v>
      </c>
      <c r="W176" s="350" t="s">
        <v>425</v>
      </c>
      <c r="X176" s="434" t="s">
        <v>1286</v>
      </c>
      <c r="Y176" s="399" t="s">
        <v>1287</v>
      </c>
      <c r="Z176" s="353">
        <v>10856400</v>
      </c>
      <c r="AA176" s="366">
        <v>29</v>
      </c>
      <c r="AB176" s="353">
        <v>1266339</v>
      </c>
      <c r="AC176" s="423"/>
      <c r="AD176" s="424"/>
      <c r="AE176" s="424" t="s">
        <v>519</v>
      </c>
      <c r="AF176" s="424" t="s">
        <v>520</v>
      </c>
      <c r="AG176" s="424" t="s">
        <v>897</v>
      </c>
      <c r="AH176" s="424" t="s">
        <v>1304</v>
      </c>
      <c r="AI176" s="409" t="s">
        <v>897</v>
      </c>
      <c r="AJ176" s="409" t="s">
        <v>1305</v>
      </c>
      <c r="AK176" s="409" t="s">
        <v>1306</v>
      </c>
      <c r="AL176" s="409" t="s">
        <v>610</v>
      </c>
      <c r="AM176" s="425" t="s">
        <v>524</v>
      </c>
      <c r="AN176" s="425" t="s">
        <v>525</v>
      </c>
      <c r="AO176" s="409"/>
      <c r="AP176" s="409"/>
      <c r="AQ176" s="409"/>
      <c r="AR176" s="409"/>
      <c r="AS176" s="409"/>
      <c r="AT176" s="409" t="s">
        <v>1307</v>
      </c>
      <c r="AU176" s="409" t="s">
        <v>1288</v>
      </c>
      <c r="AV176" s="409"/>
      <c r="AW176" s="409" t="s">
        <v>1308</v>
      </c>
      <c r="AX176" s="430"/>
      <c r="AY176" s="430"/>
      <c r="AZ176" s="430"/>
      <c r="BA176" s="430"/>
      <c r="BB176" s="430"/>
      <c r="BC176" s="415"/>
      <c r="BD176" s="415"/>
      <c r="BE176" s="430"/>
      <c r="BF176" s="466"/>
      <c r="BG176" s="359">
        <v>301920</v>
      </c>
      <c r="BH176" s="359">
        <v>604500</v>
      </c>
      <c r="BI176" s="359">
        <v>602950</v>
      </c>
      <c r="BJ176" s="359">
        <v>0</v>
      </c>
      <c r="BK176" s="359">
        <v>432564</v>
      </c>
      <c r="BL176" s="359">
        <v>1646505</v>
      </c>
      <c r="BM176" s="359">
        <v>625224</v>
      </c>
      <c r="BN176" s="359">
        <v>334868</v>
      </c>
      <c r="BO176" s="359">
        <v>160290</v>
      </c>
      <c r="BP176" s="359">
        <v>103427</v>
      </c>
      <c r="BQ176" s="359">
        <v>617018.57999999996</v>
      </c>
      <c r="BR176" s="359">
        <v>744021</v>
      </c>
      <c r="BS176" s="362">
        <f>SUM(Table14[[#This Row],[Jan-24]:[Dec-24]])</f>
        <v>6173287.5800000001</v>
      </c>
      <c r="BT176" s="362">
        <v>405650</v>
      </c>
      <c r="BU176" s="362"/>
      <c r="BV176" s="362"/>
      <c r="BW176" s="362"/>
      <c r="BX176" s="362"/>
      <c r="BY176" s="362"/>
      <c r="BZ176" s="362"/>
      <c r="CA176" s="362"/>
      <c r="CB176" s="362"/>
      <c r="CC176" s="362"/>
      <c r="CD176" s="362"/>
      <c r="CE176" s="362"/>
      <c r="CF176" s="362">
        <f>SUM(Table14[[#This Row],[Jan-25]:[Dec-25]])</f>
        <v>405650</v>
      </c>
      <c r="CG176" s="362"/>
      <c r="CH176" s="362"/>
      <c r="CI176" s="362"/>
      <c r="CJ176" s="414">
        <f>SUM(Table14[[#This Row],[Jan-26]:[Mar-26]])</f>
        <v>0</v>
      </c>
      <c r="CK176" s="531">
        <f>IFERROR(SUM(Table14[[#This Row],[Oct-25]:[Dec-25]],Table14[[#This Row],[Jan-26]:[Mar-26]])/COUNT(Table14[[#This Row],[Oct-25]:[Dec-25]],Table14[[#This Row],[Jan-26]:[Mar-26]]),0)</f>
        <v>0</v>
      </c>
      <c r="CL176" s="359"/>
      <c r="CM176" s="414">
        <f>Table14[[#This Row],[YTD 2024]]+Table14[[#This Row],[YTD 2025]]+Table14[[#This Row],[YTD 2026]]</f>
        <v>6578937.5800000001</v>
      </c>
      <c r="CN176" s="381">
        <v>25</v>
      </c>
      <c r="CO176" s="353">
        <f t="shared" si="26"/>
        <v>263157.50319999998</v>
      </c>
      <c r="CP176" s="353">
        <f>Table14[[#This Row],[Unit Cost]]-Table14[[#This Row],[Margin on Reagent sale]]</f>
        <v>8224824.9680000003</v>
      </c>
      <c r="CQ176" s="372">
        <f>Table14[[#This Row],[Avg reagent Sales per month Actual]]-Table14[[#This Row],[Per Month Reagent Commitment]]</f>
        <v>-1003181.4968000001</v>
      </c>
      <c r="CR176" s="403" t="s">
        <v>618</v>
      </c>
      <c r="CS176" s="367">
        <f>Table14[[#This Row],[On Track / (behind) (avg per month)]]/Table14[[#This Row],[Months]]</f>
        <v>-40127.259872000002</v>
      </c>
      <c r="CT176" s="368">
        <v>0.4</v>
      </c>
      <c r="CU176" s="367">
        <f>Table14[[#This Row],[Total Reagent Sales till date Actual]]*Table14[[#This Row],[Margin %]]</f>
        <v>2631575.0320000001</v>
      </c>
      <c r="CV176" s="442">
        <v>0.35</v>
      </c>
      <c r="CX176" s="1"/>
      <c r="CZ176" s="135"/>
      <c r="DA176" s="1"/>
    </row>
    <row r="177" spans="1:105" ht="43.2" x14ac:dyDescent="0.3">
      <c r="A177" s="399" t="s">
        <v>511</v>
      </c>
      <c r="B177" s="629" t="s">
        <v>345</v>
      </c>
      <c r="C177" s="399" t="s">
        <v>21</v>
      </c>
      <c r="D177" s="415" t="s">
        <v>28</v>
      </c>
      <c r="E177" s="403">
        <v>15002760</v>
      </c>
      <c r="F177" s="403" t="s">
        <v>298</v>
      </c>
      <c r="G177" s="449">
        <v>3002000021</v>
      </c>
      <c r="H177" s="409" t="s">
        <v>299</v>
      </c>
      <c r="I177" s="416">
        <v>30006248</v>
      </c>
      <c r="J177" s="417" t="s">
        <v>1309</v>
      </c>
      <c r="K177" s="417" t="s">
        <v>1310</v>
      </c>
      <c r="L177" s="417" t="s">
        <v>1311</v>
      </c>
      <c r="M177" s="417" t="s">
        <v>303</v>
      </c>
      <c r="N177" s="417"/>
      <c r="O177" s="416" t="s">
        <v>1300</v>
      </c>
      <c r="P177" s="418" t="s">
        <v>15</v>
      </c>
      <c r="Q177" s="399" t="s">
        <v>1000</v>
      </c>
      <c r="R177" s="399">
        <v>3020001748</v>
      </c>
      <c r="S177" s="466" t="s">
        <v>96</v>
      </c>
      <c r="T177" s="403" t="s">
        <v>1312</v>
      </c>
      <c r="U177" s="403" t="s">
        <v>1313</v>
      </c>
      <c r="V177" s="403" t="s">
        <v>1284</v>
      </c>
      <c r="W177" s="350" t="s">
        <v>1285</v>
      </c>
      <c r="X177" s="434" t="s">
        <v>1286</v>
      </c>
      <c r="Y177" s="399" t="s">
        <v>1287</v>
      </c>
      <c r="Z177" s="353">
        <v>9297200</v>
      </c>
      <c r="AA177" s="366">
        <v>30</v>
      </c>
      <c r="AB177" s="353">
        <v>1002975</v>
      </c>
      <c r="AC177" s="423"/>
      <c r="AD177" s="424" t="s">
        <v>1314</v>
      </c>
      <c r="AE177" s="424" t="s">
        <v>519</v>
      </c>
      <c r="AF177" s="424" t="s">
        <v>520</v>
      </c>
      <c r="AG177" s="424" t="s">
        <v>521</v>
      </c>
      <c r="AH177" s="424"/>
      <c r="AI177" s="409" t="s">
        <v>521</v>
      </c>
      <c r="AJ177" s="409" t="s">
        <v>1315</v>
      </c>
      <c r="AK177" s="409" t="s">
        <v>1306</v>
      </c>
      <c r="AL177" s="409" t="s">
        <v>610</v>
      </c>
      <c r="AM177" s="425" t="s">
        <v>524</v>
      </c>
      <c r="AN177" s="425" t="s">
        <v>525</v>
      </c>
      <c r="AO177" s="409"/>
      <c r="AP177" s="409"/>
      <c r="AQ177" s="409"/>
      <c r="AR177" s="409"/>
      <c r="AS177" s="409"/>
      <c r="AT177" s="409" t="s">
        <v>1307</v>
      </c>
      <c r="AU177" s="409" t="s">
        <v>1316</v>
      </c>
      <c r="AV177" s="409"/>
      <c r="AW177" s="409" t="s">
        <v>1317</v>
      </c>
      <c r="AX177" s="430"/>
      <c r="AY177" s="430"/>
      <c r="AZ177" s="430"/>
      <c r="BA177" s="430"/>
      <c r="BB177" s="430"/>
      <c r="BC177" s="415"/>
      <c r="BD177" s="415"/>
      <c r="BE177" s="430"/>
      <c r="BF177" s="466"/>
      <c r="BG177" s="359">
        <v>208000</v>
      </c>
      <c r="BH177" s="359">
        <v>452532</v>
      </c>
      <c r="BI177" s="359">
        <v>411355</v>
      </c>
      <c r="BJ177" s="359">
        <v>0</v>
      </c>
      <c r="BK177" s="359">
        <v>405250</v>
      </c>
      <c r="BL177" s="359">
        <v>1372088</v>
      </c>
      <c r="BM177" s="359">
        <v>729428</v>
      </c>
      <c r="BN177" s="359">
        <v>298852</v>
      </c>
      <c r="BO177" s="359">
        <v>280510</v>
      </c>
      <c r="BP177" s="359">
        <v>120665</v>
      </c>
      <c r="BQ177" s="359">
        <v>594166.04</v>
      </c>
      <c r="BR177" s="359">
        <v>637733</v>
      </c>
      <c r="BS177" s="362">
        <f>SUM(Table14[[#This Row],[Jan-24]:[Dec-24]])</f>
        <v>5510579.04</v>
      </c>
      <c r="BT177" s="362">
        <v>376675</v>
      </c>
      <c r="BU177" s="362"/>
      <c r="BV177" s="362"/>
      <c r="BW177" s="362"/>
      <c r="BX177" s="362"/>
      <c r="BY177" s="362"/>
      <c r="BZ177" s="362"/>
      <c r="CA177" s="362"/>
      <c r="CB177" s="362"/>
      <c r="CC177" s="362"/>
      <c r="CD177" s="362"/>
      <c r="CE177" s="362"/>
      <c r="CF177" s="362">
        <f>SUM(Table14[[#This Row],[Jan-25]:[Dec-25]])</f>
        <v>376675</v>
      </c>
      <c r="CG177" s="362"/>
      <c r="CH177" s="362"/>
      <c r="CI177" s="362"/>
      <c r="CJ177" s="414">
        <f>SUM(Table14[[#This Row],[Jan-26]:[Mar-26]])</f>
        <v>0</v>
      </c>
      <c r="CK177" s="531">
        <f>IFERROR(SUM(Table14[[#This Row],[Oct-25]:[Dec-25]],Table14[[#This Row],[Jan-26]:[Mar-26]])/COUNT(Table14[[#This Row],[Oct-25]:[Dec-25]],Table14[[#This Row],[Jan-26]:[Mar-26]]),0)</f>
        <v>0</v>
      </c>
      <c r="CL177" s="359"/>
      <c r="CM177" s="414">
        <f>Table14[[#This Row],[YTD 2024]]+Table14[[#This Row],[YTD 2025]]+Table14[[#This Row],[YTD 2026]]</f>
        <v>5887254.04</v>
      </c>
      <c r="CN177" s="381">
        <v>25</v>
      </c>
      <c r="CO177" s="353">
        <f t="shared" si="26"/>
        <v>235490.16159999999</v>
      </c>
      <c r="CP177" s="353">
        <f>Table14[[#This Row],[Unit Cost]]-Table14[[#This Row],[Margin on Reagent sale]]</f>
        <v>6942298.3839999996</v>
      </c>
      <c r="CQ177" s="372">
        <f>Table14[[#This Row],[Avg reagent Sales per month Actual]]-Table14[[#This Row],[Per Month Reagent Commitment]]</f>
        <v>-767484.83840000001</v>
      </c>
      <c r="CR177" s="403" t="s">
        <v>1318</v>
      </c>
      <c r="CS177" s="367">
        <f>Table14[[#This Row],[On Track / (behind) (avg per month)]]/Table14[[#This Row],[Months]]</f>
        <v>-30699.393536</v>
      </c>
      <c r="CT177" s="368">
        <v>0.4</v>
      </c>
      <c r="CU177" s="367">
        <f>Table14[[#This Row],[Total Reagent Sales till date Actual]]*Table14[[#This Row],[Margin %]]</f>
        <v>2354901.6159999999</v>
      </c>
      <c r="CV177" s="442">
        <v>0.35</v>
      </c>
      <c r="CX177" s="1"/>
      <c r="CZ177" s="135"/>
      <c r="DA177" s="1"/>
    </row>
    <row r="178" spans="1:105" ht="31.5" customHeight="1" x14ac:dyDescent="0.3">
      <c r="A178" s="399" t="s">
        <v>511</v>
      </c>
      <c r="B178" s="629" t="s">
        <v>345</v>
      </c>
      <c r="C178" s="399" t="s">
        <v>21</v>
      </c>
      <c r="D178" s="415" t="s">
        <v>28</v>
      </c>
      <c r="E178" s="403">
        <v>15002760</v>
      </c>
      <c r="F178" s="403" t="s">
        <v>298</v>
      </c>
      <c r="G178" s="682">
        <v>3002000020</v>
      </c>
      <c r="H178" s="409" t="s">
        <v>299</v>
      </c>
      <c r="I178" s="682">
        <v>30006249</v>
      </c>
      <c r="J178" s="417" t="s">
        <v>1309</v>
      </c>
      <c r="K178" s="417" t="s">
        <v>1311</v>
      </c>
      <c r="L178" s="417" t="s">
        <v>1311</v>
      </c>
      <c r="M178" s="417" t="s">
        <v>303</v>
      </c>
      <c r="N178" s="417"/>
      <c r="O178" s="416" t="s">
        <v>1300</v>
      </c>
      <c r="P178" s="418" t="s">
        <v>15</v>
      </c>
      <c r="Q178" s="399" t="s">
        <v>1000</v>
      </c>
      <c r="R178" s="399">
        <v>3020001748</v>
      </c>
      <c r="S178" s="466" t="s">
        <v>114</v>
      </c>
      <c r="T178" s="403" t="s">
        <v>1312</v>
      </c>
      <c r="U178" s="403" t="s">
        <v>1319</v>
      </c>
      <c r="V178" s="403" t="s">
        <v>1284</v>
      </c>
      <c r="W178" s="350" t="s">
        <v>1285</v>
      </c>
      <c r="X178" s="434" t="s">
        <v>1286</v>
      </c>
      <c r="Y178" s="399" t="s">
        <v>1287</v>
      </c>
      <c r="Z178" s="353">
        <v>9297200</v>
      </c>
      <c r="AA178" s="366">
        <v>30</v>
      </c>
      <c r="AB178" s="353">
        <v>1380048</v>
      </c>
      <c r="AC178" s="423"/>
      <c r="AD178" s="424" t="s">
        <v>1314</v>
      </c>
      <c r="AE178" s="424" t="s">
        <v>519</v>
      </c>
      <c r="AF178" s="424" t="s">
        <v>520</v>
      </c>
      <c r="AG178" s="424" t="s">
        <v>521</v>
      </c>
      <c r="AH178" s="424"/>
      <c r="AI178" s="409" t="s">
        <v>521</v>
      </c>
      <c r="AJ178" s="409" t="s">
        <v>1315</v>
      </c>
      <c r="AK178" s="409" t="s">
        <v>1306</v>
      </c>
      <c r="AL178" s="409" t="s">
        <v>610</v>
      </c>
      <c r="AM178" s="425" t="s">
        <v>524</v>
      </c>
      <c r="AN178" s="425" t="s">
        <v>525</v>
      </c>
      <c r="AO178" s="409"/>
      <c r="AP178" s="409"/>
      <c r="AQ178" s="409"/>
      <c r="AR178" s="409"/>
      <c r="AS178" s="409"/>
      <c r="AT178" s="409" t="s">
        <v>1307</v>
      </c>
      <c r="AU178" s="409" t="s">
        <v>1316</v>
      </c>
      <c r="AV178" s="409"/>
      <c r="AW178" s="409" t="s">
        <v>1317</v>
      </c>
      <c r="AX178" s="430"/>
      <c r="AY178" s="430"/>
      <c r="AZ178" s="430"/>
      <c r="BA178" s="430"/>
      <c r="BB178" s="430"/>
      <c r="BC178" s="415"/>
      <c r="BD178" s="415"/>
      <c r="BE178" s="430"/>
      <c r="BF178" s="466"/>
      <c r="BG178" s="359">
        <v>221000</v>
      </c>
      <c r="BH178" s="359">
        <v>425300</v>
      </c>
      <c r="BI178" s="359">
        <v>425361</v>
      </c>
      <c r="BJ178" s="359">
        <v>0</v>
      </c>
      <c r="BK178" s="359">
        <v>412580</v>
      </c>
      <c r="BL178" s="359">
        <v>1317204</v>
      </c>
      <c r="BM178" s="359">
        <v>573122</v>
      </c>
      <c r="BN178" s="359">
        <v>286810</v>
      </c>
      <c r="BO178" s="359">
        <v>240438</v>
      </c>
      <c r="BP178" s="359">
        <v>94809</v>
      </c>
      <c r="BQ178" s="359">
        <v>525723.42000000004</v>
      </c>
      <c r="BR178" s="359">
        <v>584588</v>
      </c>
      <c r="BS178" s="362">
        <f>SUM(Table14[[#This Row],[Jan-24]:[Dec-24]])</f>
        <v>5106935.42</v>
      </c>
      <c r="BT178" s="362">
        <v>318725</v>
      </c>
      <c r="BU178" s="362"/>
      <c r="BV178" s="362"/>
      <c r="BW178" s="362"/>
      <c r="BX178" s="362"/>
      <c r="BY178" s="362"/>
      <c r="BZ178" s="362"/>
      <c r="CA178" s="362"/>
      <c r="CB178" s="362"/>
      <c r="CC178" s="362"/>
      <c r="CD178" s="362"/>
      <c r="CE178" s="362"/>
      <c r="CF178" s="362">
        <f>SUM(Table14[[#This Row],[Jan-25]:[Dec-25]])</f>
        <v>318725</v>
      </c>
      <c r="CG178" s="362"/>
      <c r="CH178" s="362"/>
      <c r="CI178" s="362"/>
      <c r="CJ178" s="414">
        <f>SUM(Table14[[#This Row],[Jan-26]:[Mar-26]])</f>
        <v>0</v>
      </c>
      <c r="CK178" s="531">
        <f>IFERROR(SUM(Table14[[#This Row],[Oct-25]:[Dec-25]],Table14[[#This Row],[Jan-26]:[Mar-26]])/COUNT(Table14[[#This Row],[Oct-25]:[Dec-25]],Table14[[#This Row],[Jan-26]:[Mar-26]]),0)</f>
        <v>0</v>
      </c>
      <c r="CL178" s="359"/>
      <c r="CM178" s="414">
        <f>Table14[[#This Row],[YTD 2024]]+Table14[[#This Row],[YTD 2025]]+Table14[[#This Row],[YTD 2026]]</f>
        <v>5425660.4199999999</v>
      </c>
      <c r="CN178" s="381">
        <v>25</v>
      </c>
      <c r="CO178" s="353">
        <f t="shared" si="26"/>
        <v>217026.41680000001</v>
      </c>
      <c r="CP178" s="353">
        <f>Table14[[#This Row],[Unit Cost]]-Table14[[#This Row],[Margin on Reagent sale]]</f>
        <v>7126935.8320000004</v>
      </c>
      <c r="CQ178" s="372">
        <f>Table14[[#This Row],[Avg reagent Sales per month Actual]]-Table14[[#This Row],[Per Month Reagent Commitment]]</f>
        <v>-1163021.5832</v>
      </c>
      <c r="CR178" s="403" t="s">
        <v>1318</v>
      </c>
      <c r="CS178" s="367">
        <f>Table14[[#This Row],[On Track / (behind) (avg per month)]]/Table14[[#This Row],[Months]]</f>
        <v>-46520.863327999999</v>
      </c>
      <c r="CT178" s="368">
        <v>0.4</v>
      </c>
      <c r="CU178" s="367">
        <f>Table14[[#This Row],[Total Reagent Sales till date Actual]]*Table14[[#This Row],[Margin %]]</f>
        <v>2170264.1680000001</v>
      </c>
      <c r="CV178" s="442">
        <v>0.35</v>
      </c>
      <c r="CX178" s="1"/>
      <c r="CZ178" s="135"/>
      <c r="DA178" s="1"/>
    </row>
    <row r="179" spans="1:105" ht="37.5" customHeight="1" x14ac:dyDescent="0.3">
      <c r="A179" s="399" t="s">
        <v>511</v>
      </c>
      <c r="B179" s="629" t="s">
        <v>345</v>
      </c>
      <c r="C179" s="399" t="s">
        <v>21</v>
      </c>
      <c r="D179" s="415" t="s">
        <v>28</v>
      </c>
      <c r="E179" s="403">
        <v>15002760</v>
      </c>
      <c r="F179" s="403" t="s">
        <v>298</v>
      </c>
      <c r="G179" s="449">
        <v>3002000022</v>
      </c>
      <c r="H179" s="409" t="s">
        <v>299</v>
      </c>
      <c r="I179" s="416">
        <v>30006240</v>
      </c>
      <c r="J179" s="417" t="s">
        <v>512</v>
      </c>
      <c r="K179" s="417" t="s">
        <v>1320</v>
      </c>
      <c r="L179" s="417" t="s">
        <v>1320</v>
      </c>
      <c r="M179" s="417" t="s">
        <v>303</v>
      </c>
      <c r="N179" s="417"/>
      <c r="O179" s="416" t="s">
        <v>1300</v>
      </c>
      <c r="P179" s="418" t="s">
        <v>15</v>
      </c>
      <c r="Q179" s="399" t="s">
        <v>1000</v>
      </c>
      <c r="R179" s="399">
        <v>3020001748</v>
      </c>
      <c r="S179" s="466" t="s">
        <v>133</v>
      </c>
      <c r="T179" s="403" t="s">
        <v>1321</v>
      </c>
      <c r="U179" s="403" t="s">
        <v>1322</v>
      </c>
      <c r="V179" s="403" t="s">
        <v>1284</v>
      </c>
      <c r="W179" s="350" t="s">
        <v>1285</v>
      </c>
      <c r="X179" s="434" t="s">
        <v>1286</v>
      </c>
      <c r="Y179" s="399" t="s">
        <v>1287</v>
      </c>
      <c r="Z179" s="353">
        <v>9297200</v>
      </c>
      <c r="AA179" s="366">
        <v>29</v>
      </c>
      <c r="AB179" s="353">
        <v>1059783</v>
      </c>
      <c r="AC179" s="423"/>
      <c r="AD179" s="424"/>
      <c r="AE179" s="424" t="s">
        <v>519</v>
      </c>
      <c r="AF179" s="424" t="s">
        <v>520</v>
      </c>
      <c r="AG179" s="424" t="s">
        <v>521</v>
      </c>
      <c r="AH179" s="424"/>
      <c r="AI179" s="409" t="s">
        <v>521</v>
      </c>
      <c r="AJ179" s="409" t="s">
        <v>1315</v>
      </c>
      <c r="AK179" s="409" t="s">
        <v>1306</v>
      </c>
      <c r="AL179" s="409" t="s">
        <v>610</v>
      </c>
      <c r="AM179" s="425" t="s">
        <v>524</v>
      </c>
      <c r="AN179" s="425" t="s">
        <v>525</v>
      </c>
      <c r="AO179" s="409"/>
      <c r="AP179" s="409"/>
      <c r="AQ179" s="409"/>
      <c r="AR179" s="409"/>
      <c r="AS179" s="409"/>
      <c r="AT179" s="409" t="s">
        <v>1307</v>
      </c>
      <c r="AU179" s="409" t="s">
        <v>1316</v>
      </c>
      <c r="AV179" s="409"/>
      <c r="AW179" s="409" t="s">
        <v>1317</v>
      </c>
      <c r="AX179" s="430"/>
      <c r="AY179" s="430"/>
      <c r="AZ179" s="430"/>
      <c r="BA179" s="430"/>
      <c r="BB179" s="430"/>
      <c r="BC179" s="415"/>
      <c r="BD179" s="415"/>
      <c r="BE179" s="430"/>
      <c r="BF179" s="466"/>
      <c r="BG179" s="359">
        <v>208820</v>
      </c>
      <c r="BH179" s="359">
        <v>384000</v>
      </c>
      <c r="BI179" s="359">
        <v>458717</v>
      </c>
      <c r="BJ179" s="359">
        <v>0</v>
      </c>
      <c r="BK179" s="359">
        <v>380600</v>
      </c>
      <c r="BL179" s="359">
        <v>1152556</v>
      </c>
      <c r="BM179" s="359">
        <v>677326</v>
      </c>
      <c r="BN179" s="359">
        <v>323429</v>
      </c>
      <c r="BO179" s="359">
        <v>120257</v>
      </c>
      <c r="BP179" s="359">
        <v>112046</v>
      </c>
      <c r="BQ179" s="359">
        <v>548460.96</v>
      </c>
      <c r="BR179" s="359">
        <v>690877</v>
      </c>
      <c r="BS179" s="362">
        <f>SUM(Table14[[#This Row],[Jan-24]:[Dec-24]])</f>
        <v>5057088.96</v>
      </c>
      <c r="BT179" s="362">
        <v>347700</v>
      </c>
      <c r="BU179" s="362"/>
      <c r="BV179" s="362"/>
      <c r="BW179" s="362"/>
      <c r="BX179" s="362"/>
      <c r="BY179" s="362"/>
      <c r="BZ179" s="362"/>
      <c r="CA179" s="362"/>
      <c r="CB179" s="362"/>
      <c r="CC179" s="362"/>
      <c r="CD179" s="362"/>
      <c r="CE179" s="362"/>
      <c r="CF179" s="362">
        <f>SUM(Table14[[#This Row],[Jan-25]:[Dec-25]])</f>
        <v>347700</v>
      </c>
      <c r="CG179" s="362"/>
      <c r="CH179" s="362"/>
      <c r="CI179" s="362"/>
      <c r="CJ179" s="414">
        <f>SUM(Table14[[#This Row],[Jan-26]:[Mar-26]])</f>
        <v>0</v>
      </c>
      <c r="CK179" s="531">
        <f>IFERROR(SUM(Table14[[#This Row],[Oct-25]:[Dec-25]],Table14[[#This Row],[Jan-26]:[Mar-26]])/COUNT(Table14[[#This Row],[Oct-25]:[Dec-25]],Table14[[#This Row],[Jan-26]:[Mar-26]]),0)</f>
        <v>0</v>
      </c>
      <c r="CL179" s="359"/>
      <c r="CM179" s="414">
        <f>Table14[[#This Row],[YTD 2024]]+Table14[[#This Row],[YTD 2025]]+Table14[[#This Row],[YTD 2026]]</f>
        <v>5404788.96</v>
      </c>
      <c r="CN179" s="381">
        <v>25</v>
      </c>
      <c r="CO179" s="353">
        <f t="shared" si="26"/>
        <v>216191.55840000001</v>
      </c>
      <c r="CP179" s="353">
        <f>Table14[[#This Row],[Unit Cost]]-Table14[[#This Row],[Margin on Reagent sale]]</f>
        <v>7135284.4159999993</v>
      </c>
      <c r="CQ179" s="372">
        <f>Table14[[#This Row],[Avg reagent Sales per month Actual]]-Table14[[#This Row],[Per Month Reagent Commitment]]</f>
        <v>-843591.44160000002</v>
      </c>
      <c r="CR179" s="403" t="s">
        <v>1318</v>
      </c>
      <c r="CS179" s="367">
        <f>Table14[[#This Row],[On Track / (behind) (avg per month)]]/Table14[[#This Row],[Months]]</f>
        <v>-33743.657663999998</v>
      </c>
      <c r="CT179" s="368">
        <v>0.4</v>
      </c>
      <c r="CU179" s="367">
        <f>Table14[[#This Row],[Total Reagent Sales till date Actual]]*Table14[[#This Row],[Margin %]]</f>
        <v>2161915.5840000003</v>
      </c>
      <c r="CV179" s="442">
        <v>0.35</v>
      </c>
      <c r="CX179" s="1"/>
      <c r="CZ179" s="135"/>
      <c r="DA179" s="1"/>
    </row>
    <row r="180" spans="1:105" ht="43.2" x14ac:dyDescent="0.3">
      <c r="A180" s="399" t="s">
        <v>511</v>
      </c>
      <c r="B180" s="629" t="s">
        <v>345</v>
      </c>
      <c r="C180" s="399" t="s">
        <v>21</v>
      </c>
      <c r="D180" s="415" t="s">
        <v>1297</v>
      </c>
      <c r="E180" s="403">
        <v>15002760</v>
      </c>
      <c r="F180" s="403" t="s">
        <v>298</v>
      </c>
      <c r="G180" s="449">
        <v>3002000090</v>
      </c>
      <c r="H180" s="409" t="s">
        <v>299</v>
      </c>
      <c r="I180" s="427">
        <v>30006326</v>
      </c>
      <c r="J180" s="417" t="s">
        <v>1298</v>
      </c>
      <c r="K180" s="417" t="s">
        <v>1299</v>
      </c>
      <c r="L180" s="417" t="s">
        <v>491</v>
      </c>
      <c r="M180" s="417" t="s">
        <v>303</v>
      </c>
      <c r="N180" s="417"/>
      <c r="O180" s="416" t="s">
        <v>1323</v>
      </c>
      <c r="P180" s="418" t="s">
        <v>15</v>
      </c>
      <c r="Q180" s="399" t="s">
        <v>1000</v>
      </c>
      <c r="R180" s="399">
        <v>3020001748</v>
      </c>
      <c r="S180" s="466" t="s">
        <v>80</v>
      </c>
      <c r="T180" s="403" t="s">
        <v>1301</v>
      </c>
      <c r="U180" s="403" t="s">
        <v>1302</v>
      </c>
      <c r="V180" s="403" t="s">
        <v>1303</v>
      </c>
      <c r="W180" s="350" t="s">
        <v>425</v>
      </c>
      <c r="X180" s="434" t="s">
        <v>1286</v>
      </c>
      <c r="Y180" s="399" t="s">
        <v>1287</v>
      </c>
      <c r="Z180" s="353">
        <v>8595000</v>
      </c>
      <c r="AA180" s="366">
        <v>45</v>
      </c>
      <c r="AB180" s="353">
        <v>529967</v>
      </c>
      <c r="AC180" s="423"/>
      <c r="AD180" s="424"/>
      <c r="AE180" s="424" t="s">
        <v>519</v>
      </c>
      <c r="AF180" s="424" t="s">
        <v>520</v>
      </c>
      <c r="AG180" s="424" t="s">
        <v>897</v>
      </c>
      <c r="AH180" s="424" t="s">
        <v>1304</v>
      </c>
      <c r="AI180" s="409" t="s">
        <v>897</v>
      </c>
      <c r="AJ180" s="409" t="s">
        <v>1305</v>
      </c>
      <c r="AK180" s="409" t="s">
        <v>1306</v>
      </c>
      <c r="AL180" s="409" t="s">
        <v>610</v>
      </c>
      <c r="AM180" s="425" t="s">
        <v>524</v>
      </c>
      <c r="AN180" s="425" t="s">
        <v>525</v>
      </c>
      <c r="AO180" s="409"/>
      <c r="AP180" s="409"/>
      <c r="AQ180" s="409"/>
      <c r="AR180" s="409"/>
      <c r="AS180" s="409"/>
      <c r="AT180" s="409" t="s">
        <v>1307</v>
      </c>
      <c r="AU180" s="409" t="s">
        <v>1288</v>
      </c>
      <c r="AV180" s="409"/>
      <c r="AW180" s="409" t="s">
        <v>1308</v>
      </c>
      <c r="AX180" s="430"/>
      <c r="AY180" s="430"/>
      <c r="AZ180" s="430"/>
      <c r="BA180" s="430"/>
      <c r="BB180" s="430"/>
      <c r="BC180" s="415" t="s">
        <v>1505</v>
      </c>
      <c r="BD180" s="415" t="s">
        <v>1645</v>
      </c>
      <c r="BE180" s="430">
        <v>1</v>
      </c>
      <c r="BF180" s="466" t="s">
        <v>635</v>
      </c>
      <c r="BG180" s="359">
        <v>301920</v>
      </c>
      <c r="BH180" s="359">
        <v>604500</v>
      </c>
      <c r="BI180" s="359">
        <v>602950</v>
      </c>
      <c r="BJ180" s="359">
        <v>0</v>
      </c>
      <c r="BK180" s="359">
        <v>432564</v>
      </c>
      <c r="BL180" s="359">
        <v>1646505</v>
      </c>
      <c r="BM180" s="359">
        <v>625224</v>
      </c>
      <c r="BN180" s="359">
        <v>334868</v>
      </c>
      <c r="BO180" s="359">
        <v>160290</v>
      </c>
      <c r="BP180" s="359">
        <v>103427</v>
      </c>
      <c r="BQ180" s="359">
        <v>617018.57999999996</v>
      </c>
      <c r="BR180" s="359">
        <v>744021</v>
      </c>
      <c r="BS180" s="362">
        <f>SUM(Table14[[#This Row],[Jan-24]:[Dec-24]])</f>
        <v>6173287.5800000001</v>
      </c>
      <c r="BT180" s="456">
        <v>405650</v>
      </c>
      <c r="BU180" s="456">
        <v>317365</v>
      </c>
      <c r="BV180" s="456">
        <v>416000</v>
      </c>
      <c r="BW180" s="456">
        <v>96500</v>
      </c>
      <c r="BX180" s="455">
        <v>676000</v>
      </c>
      <c r="BY180" s="455">
        <v>120000</v>
      </c>
      <c r="BZ180" s="455">
        <v>190000</v>
      </c>
      <c r="CA180" s="455">
        <v>176000</v>
      </c>
      <c r="CB180" s="455">
        <v>340000</v>
      </c>
      <c r="CC180" s="455"/>
      <c r="CD180" s="455"/>
      <c r="CE180" s="455"/>
      <c r="CF180" s="362">
        <f>SUM(Table14[[#This Row],[Jan-25]:[Dec-25]])</f>
        <v>2737515</v>
      </c>
      <c r="CG180" s="455"/>
      <c r="CH180" s="455"/>
      <c r="CI180" s="455"/>
      <c r="CJ180" s="414">
        <f>SUM(Table14[[#This Row],[Jan-26]:[Mar-26]])</f>
        <v>0</v>
      </c>
      <c r="CK180" s="531">
        <f>IFERROR(SUM(Table14[[#This Row],[Oct-25]:[Dec-25]],Table14[[#This Row],[Jan-26]:[Mar-26]])/COUNT(Table14[[#This Row],[Oct-25]:[Dec-25]],Table14[[#This Row],[Jan-26]:[Mar-26]]),0)</f>
        <v>0</v>
      </c>
      <c r="CL180" s="359"/>
      <c r="CM180" s="414">
        <f>Table14[[#This Row],[YTD 2024]]+Table14[[#This Row],[YTD 2025]]+Table14[[#This Row],[YTD 2026]]</f>
        <v>8910802.5800000001</v>
      </c>
      <c r="CN180" s="381">
        <v>31</v>
      </c>
      <c r="CO180" s="353">
        <f t="shared" si="26"/>
        <v>287445.24451612902</v>
      </c>
      <c r="CP180" s="353">
        <f>Table14[[#This Row],[Unit Cost]]-Table14[[#This Row],[Margin on Reagent sale]]</f>
        <v>5030678.9680000003</v>
      </c>
      <c r="CQ180" s="372">
        <f>Table14[[#This Row],[Avg reagent Sales per month Actual]]-Table14[[#This Row],[Per Month Reagent Commitment]]</f>
        <v>-242521.75548387098</v>
      </c>
      <c r="CR180" s="403" t="s">
        <v>1318</v>
      </c>
      <c r="CS180" s="367">
        <f>Table14[[#This Row],[On Track / (behind) (avg per month)]]/Table14[[#This Row],[Months]]</f>
        <v>-7823.2824349635803</v>
      </c>
      <c r="CT180" s="368">
        <v>0.4</v>
      </c>
      <c r="CU180" s="367">
        <f>Table14[[#This Row],[Total Reagent Sales till date Actual]]*Table14[[#This Row],[Margin %]]</f>
        <v>3564321.0320000001</v>
      </c>
      <c r="CV180" s="442">
        <v>0.35</v>
      </c>
      <c r="CX180" s="1"/>
      <c r="CZ180" s="135"/>
      <c r="DA180" s="1"/>
    </row>
    <row r="181" spans="1:105" ht="28.8" x14ac:dyDescent="0.3">
      <c r="A181" s="399" t="s">
        <v>511</v>
      </c>
      <c r="B181" s="629" t="s">
        <v>345</v>
      </c>
      <c r="C181" s="399" t="s">
        <v>21</v>
      </c>
      <c r="D181" s="415" t="s">
        <v>28</v>
      </c>
      <c r="E181" s="403">
        <v>15002760</v>
      </c>
      <c r="F181" s="403" t="s">
        <v>298</v>
      </c>
      <c r="G181" s="449">
        <v>3002000021</v>
      </c>
      <c r="H181" s="409" t="s">
        <v>299</v>
      </c>
      <c r="I181" s="416">
        <v>30006248</v>
      </c>
      <c r="J181" s="417" t="s">
        <v>1309</v>
      </c>
      <c r="K181" s="417" t="s">
        <v>1310</v>
      </c>
      <c r="L181" s="417" t="s">
        <v>491</v>
      </c>
      <c r="M181" s="417" t="s">
        <v>303</v>
      </c>
      <c r="N181" s="417"/>
      <c r="O181" s="416" t="s">
        <v>1323</v>
      </c>
      <c r="P181" s="418" t="s">
        <v>15</v>
      </c>
      <c r="Q181" s="399" t="s">
        <v>1000</v>
      </c>
      <c r="R181" s="399">
        <v>3020001748</v>
      </c>
      <c r="S181" s="466" t="s">
        <v>96</v>
      </c>
      <c r="T181" s="403" t="s">
        <v>1312</v>
      </c>
      <c r="U181" s="403" t="s">
        <v>1313</v>
      </c>
      <c r="V181" s="403" t="s">
        <v>1284</v>
      </c>
      <c r="W181" s="350" t="s">
        <v>1285</v>
      </c>
      <c r="X181" s="434" t="s">
        <v>1286</v>
      </c>
      <c r="Y181" s="399" t="s">
        <v>1287</v>
      </c>
      <c r="Z181" s="353">
        <v>9412200</v>
      </c>
      <c r="AA181" s="366">
        <v>55</v>
      </c>
      <c r="AB181" s="353">
        <v>504629</v>
      </c>
      <c r="AC181" s="423"/>
      <c r="AD181" s="424" t="s">
        <v>1314</v>
      </c>
      <c r="AE181" s="424" t="s">
        <v>519</v>
      </c>
      <c r="AF181" s="424" t="s">
        <v>520</v>
      </c>
      <c r="AG181" s="424" t="s">
        <v>521</v>
      </c>
      <c r="AH181" s="424"/>
      <c r="AI181" s="409" t="s">
        <v>521</v>
      </c>
      <c r="AJ181" s="409" t="s">
        <v>1315</v>
      </c>
      <c r="AK181" s="409" t="s">
        <v>1306</v>
      </c>
      <c r="AL181" s="409" t="s">
        <v>610</v>
      </c>
      <c r="AM181" s="425" t="s">
        <v>524</v>
      </c>
      <c r="AN181" s="425" t="s">
        <v>525</v>
      </c>
      <c r="AO181" s="409"/>
      <c r="AP181" s="409"/>
      <c r="AQ181" s="409"/>
      <c r="AR181" s="409"/>
      <c r="AS181" s="409"/>
      <c r="AT181" s="409" t="s">
        <v>1307</v>
      </c>
      <c r="AU181" s="409" t="s">
        <v>1316</v>
      </c>
      <c r="AV181" s="409"/>
      <c r="AW181" s="409" t="s">
        <v>1317</v>
      </c>
      <c r="AX181" s="430"/>
      <c r="AY181" s="430"/>
      <c r="AZ181" s="430"/>
      <c r="BA181" s="430"/>
      <c r="BB181" s="430"/>
      <c r="BC181" s="415" t="s">
        <v>1505</v>
      </c>
      <c r="BD181" s="415" t="s">
        <v>1645</v>
      </c>
      <c r="BE181" s="430">
        <v>1</v>
      </c>
      <c r="BF181" s="466" t="s">
        <v>635</v>
      </c>
      <c r="BG181" s="359">
        <v>208000</v>
      </c>
      <c r="BH181" s="359">
        <v>452532</v>
      </c>
      <c r="BI181" s="359">
        <v>411355</v>
      </c>
      <c r="BJ181" s="359">
        <v>0</v>
      </c>
      <c r="BK181" s="359">
        <v>405250</v>
      </c>
      <c r="BL181" s="359">
        <v>1372088</v>
      </c>
      <c r="BM181" s="359">
        <v>729428</v>
      </c>
      <c r="BN181" s="359">
        <v>298852</v>
      </c>
      <c r="BO181" s="359">
        <v>280510</v>
      </c>
      <c r="BP181" s="359">
        <v>120665</v>
      </c>
      <c r="BQ181" s="359">
        <v>594166.04</v>
      </c>
      <c r="BR181" s="359">
        <v>637733</v>
      </c>
      <c r="BS181" s="362">
        <f>SUM(Table14[[#This Row],[Jan-24]:[Dec-24]])</f>
        <v>5510579.04</v>
      </c>
      <c r="BT181" s="456">
        <v>376675</v>
      </c>
      <c r="BU181" s="456">
        <v>387000</v>
      </c>
      <c r="BV181" s="456">
        <v>437000</v>
      </c>
      <c r="BW181" s="456">
        <v>93000</v>
      </c>
      <c r="BX181" s="455">
        <v>720000</v>
      </c>
      <c r="BY181" s="455">
        <v>127084</v>
      </c>
      <c r="BZ181" s="455">
        <v>245000</v>
      </c>
      <c r="CA181" s="455">
        <v>249000</v>
      </c>
      <c r="CB181" s="455">
        <v>375730</v>
      </c>
      <c r="CC181" s="455"/>
      <c r="CD181" s="455"/>
      <c r="CE181" s="455"/>
      <c r="CF181" s="362">
        <f>SUM(Table14[[#This Row],[Jan-25]:[Dec-25]])</f>
        <v>3010489</v>
      </c>
      <c r="CG181" s="455"/>
      <c r="CH181" s="455"/>
      <c r="CI181" s="455"/>
      <c r="CJ181" s="414">
        <f>SUM(Table14[[#This Row],[Jan-26]:[Mar-26]])</f>
        <v>0</v>
      </c>
      <c r="CK181" s="531">
        <f>IFERROR(SUM(Table14[[#This Row],[Oct-25]:[Dec-25]],Table14[[#This Row],[Jan-26]:[Mar-26]])/COUNT(Table14[[#This Row],[Oct-25]:[Dec-25]],Table14[[#This Row],[Jan-26]:[Mar-26]]),0)</f>
        <v>0</v>
      </c>
      <c r="CL181" s="359"/>
      <c r="CM181" s="414">
        <f>Table14[[#This Row],[YTD 2024]]+Table14[[#This Row],[YTD 2025]]+Table14[[#This Row],[YTD 2026]]</f>
        <v>8521068.0399999991</v>
      </c>
      <c r="CN181" s="381">
        <v>31</v>
      </c>
      <c r="CO181" s="353">
        <f t="shared" si="26"/>
        <v>274873.16258064512</v>
      </c>
      <c r="CP181" s="353">
        <f>Table14[[#This Row],[Unit Cost]]-Table14[[#This Row],[Margin on Reagent sale]]</f>
        <v>6003772.784</v>
      </c>
      <c r="CQ181" s="372">
        <f>Table14[[#This Row],[Avg reagent Sales per month Actual]]-Table14[[#This Row],[Per Month Reagent Commitment]]</f>
        <v>-229755.83741935488</v>
      </c>
      <c r="CR181" s="403" t="s">
        <v>777</v>
      </c>
      <c r="CS181" s="367">
        <f>Table14[[#This Row],[On Track / (behind) (avg per month)]]/Table14[[#This Row],[Months]]</f>
        <v>-7411.4786264308023</v>
      </c>
      <c r="CT181" s="368">
        <v>0.4</v>
      </c>
      <c r="CU181" s="367">
        <f>Table14[[#This Row],[Total Reagent Sales till date Actual]]*Table14[[#This Row],[Margin %]]</f>
        <v>3408427.216</v>
      </c>
      <c r="CV181" s="442">
        <v>0.35</v>
      </c>
      <c r="CX181" s="1"/>
      <c r="CZ181" s="135"/>
      <c r="DA181" s="1"/>
    </row>
    <row r="182" spans="1:105" ht="28.8" x14ac:dyDescent="0.3">
      <c r="A182" s="399" t="s">
        <v>511</v>
      </c>
      <c r="B182" s="629" t="s">
        <v>345</v>
      </c>
      <c r="C182" s="399" t="s">
        <v>21</v>
      </c>
      <c r="D182" s="415" t="s">
        <v>28</v>
      </c>
      <c r="E182" s="403">
        <v>15002760</v>
      </c>
      <c r="F182" s="403" t="s">
        <v>298</v>
      </c>
      <c r="G182" s="682">
        <v>3002000020</v>
      </c>
      <c r="H182" s="409" t="s">
        <v>299</v>
      </c>
      <c r="I182" s="682">
        <v>30006249</v>
      </c>
      <c r="J182" s="417" t="s">
        <v>1309</v>
      </c>
      <c r="K182" s="417" t="s">
        <v>1311</v>
      </c>
      <c r="L182" s="417" t="s">
        <v>491</v>
      </c>
      <c r="M182" s="417" t="s">
        <v>303</v>
      </c>
      <c r="N182" s="417"/>
      <c r="O182" s="416" t="s">
        <v>1323</v>
      </c>
      <c r="P182" s="418" t="s">
        <v>15</v>
      </c>
      <c r="Q182" s="399" t="s">
        <v>1000</v>
      </c>
      <c r="R182" s="399">
        <v>3020001748</v>
      </c>
      <c r="S182" s="466" t="s">
        <v>114</v>
      </c>
      <c r="T182" s="403" t="s">
        <v>1312</v>
      </c>
      <c r="U182" s="403" t="s">
        <v>1319</v>
      </c>
      <c r="V182" s="403" t="s">
        <v>1284</v>
      </c>
      <c r="W182" s="350" t="s">
        <v>1285</v>
      </c>
      <c r="X182" s="434" t="s">
        <v>1286</v>
      </c>
      <c r="Y182" s="399" t="s">
        <v>1287</v>
      </c>
      <c r="Z182" s="353">
        <v>9412200</v>
      </c>
      <c r="AA182" s="366">
        <v>58</v>
      </c>
      <c r="AB182" s="353">
        <v>507479</v>
      </c>
      <c r="AC182" s="423"/>
      <c r="AD182" s="424" t="s">
        <v>1314</v>
      </c>
      <c r="AE182" s="424" t="s">
        <v>519</v>
      </c>
      <c r="AF182" s="424" t="s">
        <v>520</v>
      </c>
      <c r="AG182" s="424" t="s">
        <v>521</v>
      </c>
      <c r="AH182" s="424"/>
      <c r="AI182" s="409" t="s">
        <v>521</v>
      </c>
      <c r="AJ182" s="409" t="s">
        <v>1315</v>
      </c>
      <c r="AK182" s="409" t="s">
        <v>1306</v>
      </c>
      <c r="AL182" s="409" t="s">
        <v>610</v>
      </c>
      <c r="AM182" s="425" t="s">
        <v>524</v>
      </c>
      <c r="AN182" s="425" t="s">
        <v>525</v>
      </c>
      <c r="AO182" s="409"/>
      <c r="AP182" s="409"/>
      <c r="AQ182" s="409"/>
      <c r="AR182" s="409"/>
      <c r="AS182" s="409"/>
      <c r="AT182" s="409" t="s">
        <v>1307</v>
      </c>
      <c r="AU182" s="409" t="s">
        <v>1316</v>
      </c>
      <c r="AV182" s="409"/>
      <c r="AW182" s="409" t="s">
        <v>1317</v>
      </c>
      <c r="AX182" s="430"/>
      <c r="AY182" s="430"/>
      <c r="AZ182" s="430"/>
      <c r="BA182" s="430"/>
      <c r="BB182" s="430"/>
      <c r="BC182" s="415" t="s">
        <v>1505</v>
      </c>
      <c r="BD182" s="415" t="s">
        <v>1645</v>
      </c>
      <c r="BE182" s="430">
        <v>1</v>
      </c>
      <c r="BF182" s="466" t="s">
        <v>635</v>
      </c>
      <c r="BG182" s="359">
        <v>221000</v>
      </c>
      <c r="BH182" s="359">
        <v>425300</v>
      </c>
      <c r="BI182" s="359">
        <v>425361</v>
      </c>
      <c r="BJ182" s="359">
        <v>0</v>
      </c>
      <c r="BK182" s="359">
        <v>412580</v>
      </c>
      <c r="BL182" s="359">
        <v>1317204</v>
      </c>
      <c r="BM182" s="359">
        <v>573122</v>
      </c>
      <c r="BN182" s="359">
        <v>286810</v>
      </c>
      <c r="BO182" s="359">
        <v>240438</v>
      </c>
      <c r="BP182" s="359">
        <v>94809</v>
      </c>
      <c r="BQ182" s="359">
        <v>525723.42000000004</v>
      </c>
      <c r="BR182" s="359">
        <v>584588</v>
      </c>
      <c r="BS182" s="362">
        <f>SUM(Table14[[#This Row],[Jan-24]:[Dec-24]])</f>
        <v>5106935.42</v>
      </c>
      <c r="BT182" s="456">
        <v>318725</v>
      </c>
      <c r="BU182" s="456">
        <v>369174</v>
      </c>
      <c r="BV182" s="456">
        <v>522000</v>
      </c>
      <c r="BW182" s="456">
        <v>106000</v>
      </c>
      <c r="BX182" s="455">
        <v>1040000</v>
      </c>
      <c r="BY182" s="455">
        <v>150000</v>
      </c>
      <c r="BZ182" s="455">
        <v>250000</v>
      </c>
      <c r="CA182" s="455">
        <v>222500</v>
      </c>
      <c r="CB182" s="455">
        <v>387500</v>
      </c>
      <c r="CC182" s="455"/>
      <c r="CD182" s="455"/>
      <c r="CE182" s="455"/>
      <c r="CF182" s="362">
        <f>SUM(Table14[[#This Row],[Jan-25]:[Dec-25]])</f>
        <v>3365899</v>
      </c>
      <c r="CG182" s="455"/>
      <c r="CH182" s="455"/>
      <c r="CI182" s="455"/>
      <c r="CJ182" s="414">
        <f>SUM(Table14[[#This Row],[Jan-26]:[Mar-26]])</f>
        <v>0</v>
      </c>
      <c r="CK182" s="531">
        <f>IFERROR(SUM(Table14[[#This Row],[Oct-25]:[Dec-25]],Table14[[#This Row],[Jan-26]:[Mar-26]])/COUNT(Table14[[#This Row],[Oct-25]:[Dec-25]],Table14[[#This Row],[Jan-26]:[Mar-26]]),0)</f>
        <v>0</v>
      </c>
      <c r="CL182" s="359"/>
      <c r="CM182" s="414">
        <f>Table14[[#This Row],[YTD 2024]]+Table14[[#This Row],[YTD 2025]]+Table14[[#This Row],[YTD 2026]]</f>
        <v>8472834.4199999999</v>
      </c>
      <c r="CN182" s="381">
        <v>31</v>
      </c>
      <c r="CO182" s="353">
        <f t="shared" si="26"/>
        <v>273317.23935483873</v>
      </c>
      <c r="CP182" s="353">
        <f>Table14[[#This Row],[Unit Cost]]-Table14[[#This Row],[Margin on Reagent sale]]</f>
        <v>6023066.2319999998</v>
      </c>
      <c r="CQ182" s="372">
        <f>Table14[[#This Row],[Avg reagent Sales per month Actual]]-Table14[[#This Row],[Per Month Reagent Commitment]]</f>
        <v>-234161.76064516127</v>
      </c>
      <c r="CR182" s="403" t="s">
        <v>640</v>
      </c>
      <c r="CS182" s="367">
        <f>Table14[[#This Row],[On Track / (behind) (avg per month)]]/Table14[[#This Row],[Months]]</f>
        <v>-7553.6051821019764</v>
      </c>
      <c r="CT182" s="368">
        <v>0.4</v>
      </c>
      <c r="CU182" s="367">
        <f>Table14[[#This Row],[Total Reagent Sales till date Actual]]*Table14[[#This Row],[Margin %]]</f>
        <v>3389133.7680000002</v>
      </c>
      <c r="CV182" s="442">
        <v>0.35</v>
      </c>
      <c r="CX182" s="1"/>
      <c r="CZ182" s="135"/>
      <c r="DA182" s="1"/>
    </row>
    <row r="183" spans="1:105" ht="28.8" x14ac:dyDescent="0.3">
      <c r="A183" s="399" t="s">
        <v>511</v>
      </c>
      <c r="B183" s="629" t="s">
        <v>345</v>
      </c>
      <c r="C183" s="399" t="s">
        <v>21</v>
      </c>
      <c r="D183" s="415" t="s">
        <v>28</v>
      </c>
      <c r="E183" s="403">
        <v>15002760</v>
      </c>
      <c r="F183" s="403" t="s">
        <v>298</v>
      </c>
      <c r="G183" s="449">
        <v>3002000022</v>
      </c>
      <c r="H183" s="409" t="s">
        <v>299</v>
      </c>
      <c r="I183" s="416">
        <v>30006240</v>
      </c>
      <c r="J183" s="417" t="s">
        <v>512</v>
      </c>
      <c r="K183" s="417" t="s">
        <v>1320</v>
      </c>
      <c r="L183" s="417" t="s">
        <v>491</v>
      </c>
      <c r="M183" s="417" t="s">
        <v>303</v>
      </c>
      <c r="N183" s="417"/>
      <c r="O183" s="416" t="s">
        <v>1323</v>
      </c>
      <c r="P183" s="418" t="s">
        <v>15</v>
      </c>
      <c r="Q183" s="399" t="s">
        <v>1000</v>
      </c>
      <c r="R183" s="399">
        <v>3020001748</v>
      </c>
      <c r="S183" s="466" t="s">
        <v>133</v>
      </c>
      <c r="T183" s="403" t="s">
        <v>1321</v>
      </c>
      <c r="U183" s="403" t="s">
        <v>1322</v>
      </c>
      <c r="V183" s="403" t="s">
        <v>1284</v>
      </c>
      <c r="W183" s="350" t="s">
        <v>1285</v>
      </c>
      <c r="X183" s="434" t="s">
        <v>1286</v>
      </c>
      <c r="Y183" s="399" t="s">
        <v>1287</v>
      </c>
      <c r="Z183" s="353">
        <v>8595000</v>
      </c>
      <c r="AA183" s="366">
        <v>55</v>
      </c>
      <c r="AB183" s="353">
        <v>424250</v>
      </c>
      <c r="AC183" s="423"/>
      <c r="AD183" s="424"/>
      <c r="AE183" s="424" t="s">
        <v>519</v>
      </c>
      <c r="AF183" s="424" t="s">
        <v>520</v>
      </c>
      <c r="AG183" s="424" t="s">
        <v>521</v>
      </c>
      <c r="AH183" s="424"/>
      <c r="AI183" s="409" t="s">
        <v>521</v>
      </c>
      <c r="AJ183" s="409" t="s">
        <v>1315</v>
      </c>
      <c r="AK183" s="409" t="s">
        <v>1306</v>
      </c>
      <c r="AL183" s="409" t="s">
        <v>610</v>
      </c>
      <c r="AM183" s="425" t="s">
        <v>524</v>
      </c>
      <c r="AN183" s="425" t="s">
        <v>525</v>
      </c>
      <c r="AO183" s="409"/>
      <c r="AP183" s="409"/>
      <c r="AQ183" s="409"/>
      <c r="AR183" s="409"/>
      <c r="AS183" s="409"/>
      <c r="AT183" s="409" t="s">
        <v>1307</v>
      </c>
      <c r="AU183" s="409" t="s">
        <v>1316</v>
      </c>
      <c r="AV183" s="409"/>
      <c r="AW183" s="409" t="s">
        <v>1317</v>
      </c>
      <c r="AX183" s="430"/>
      <c r="AY183" s="430"/>
      <c r="AZ183" s="430"/>
      <c r="BA183" s="430"/>
      <c r="BB183" s="430"/>
      <c r="BC183" s="415" t="s">
        <v>1505</v>
      </c>
      <c r="BD183" s="415" t="s">
        <v>1645</v>
      </c>
      <c r="BE183" s="430">
        <v>1</v>
      </c>
      <c r="BF183" s="466" t="s">
        <v>635</v>
      </c>
      <c r="BG183" s="359">
        <v>208820</v>
      </c>
      <c r="BH183" s="359">
        <v>384000</v>
      </c>
      <c r="BI183" s="359">
        <v>458717</v>
      </c>
      <c r="BJ183" s="359">
        <v>0</v>
      </c>
      <c r="BK183" s="359">
        <v>380600</v>
      </c>
      <c r="BL183" s="359">
        <v>1152556</v>
      </c>
      <c r="BM183" s="359">
        <v>677326</v>
      </c>
      <c r="BN183" s="359">
        <v>323429</v>
      </c>
      <c r="BO183" s="359">
        <v>120257</v>
      </c>
      <c r="BP183" s="359">
        <v>112046</v>
      </c>
      <c r="BQ183" s="359">
        <v>548460.96</v>
      </c>
      <c r="BR183" s="359">
        <v>690877</v>
      </c>
      <c r="BS183" s="362">
        <f>SUM(Table14[[#This Row],[Jan-24]:[Dec-24]])</f>
        <v>5057088.96</v>
      </c>
      <c r="BT183" s="456">
        <v>347700</v>
      </c>
      <c r="BU183" s="456">
        <v>698335</v>
      </c>
      <c r="BV183" s="456">
        <v>479000</v>
      </c>
      <c r="BW183" s="456">
        <v>107017</v>
      </c>
      <c r="BX183" s="455">
        <v>791114</v>
      </c>
      <c r="BY183" s="455">
        <v>115000</v>
      </c>
      <c r="BZ183" s="455">
        <v>287000</v>
      </c>
      <c r="CA183" s="455">
        <v>81039</v>
      </c>
      <c r="CB183" s="455">
        <v>154000</v>
      </c>
      <c r="CC183" s="455"/>
      <c r="CD183" s="455"/>
      <c r="CE183" s="455"/>
      <c r="CF183" s="362">
        <f>SUM(Table14[[#This Row],[Jan-25]:[Dec-25]])</f>
        <v>3060205</v>
      </c>
      <c r="CG183" s="455"/>
      <c r="CH183" s="455"/>
      <c r="CI183" s="455"/>
      <c r="CJ183" s="414">
        <f>SUM(Table14[[#This Row],[Jan-26]:[Mar-26]])</f>
        <v>0</v>
      </c>
      <c r="CK183" s="531">
        <f>IFERROR(SUM(Table14[[#This Row],[Oct-25]:[Dec-25]],Table14[[#This Row],[Jan-26]:[Mar-26]])/COUNT(Table14[[#This Row],[Oct-25]:[Dec-25]],Table14[[#This Row],[Jan-26]:[Mar-26]]),0)</f>
        <v>0</v>
      </c>
      <c r="CL183" s="359"/>
      <c r="CM183" s="414">
        <f>Table14[[#This Row],[YTD 2024]]+Table14[[#This Row],[YTD 2025]]+Table14[[#This Row],[YTD 2026]]</f>
        <v>8117293.96</v>
      </c>
      <c r="CN183" s="381">
        <v>31</v>
      </c>
      <c r="CO183" s="353">
        <f t="shared" si="26"/>
        <v>261848.19225806452</v>
      </c>
      <c r="CP183" s="353">
        <f>Table14[[#This Row],[Unit Cost]]-Table14[[#This Row],[Margin on Reagent sale]]</f>
        <v>5348082.4159999993</v>
      </c>
      <c r="CQ183" s="372">
        <f>Table14[[#This Row],[Avg reagent Sales per month Actual]]-Table14[[#This Row],[Per Month Reagent Commitment]]</f>
        <v>-162401.80774193548</v>
      </c>
      <c r="CR183" s="403" t="s">
        <v>316</v>
      </c>
      <c r="CS183" s="367">
        <f>Table14[[#This Row],[On Track / (behind) (avg per month)]]/Table14[[#This Row],[Months]]</f>
        <v>-5238.7679916753377</v>
      </c>
      <c r="CT183" s="368">
        <v>0.4</v>
      </c>
      <c r="CU183" s="367">
        <f>Table14[[#This Row],[Total Reagent Sales till date Actual]]*Table14[[#This Row],[Margin %]]</f>
        <v>3246917.5840000003</v>
      </c>
      <c r="CV183" s="442">
        <v>0.35</v>
      </c>
      <c r="CX183" s="1"/>
      <c r="CZ183" s="135"/>
      <c r="DA183" s="1"/>
    </row>
    <row r="184" spans="1:105" ht="15" customHeight="1" x14ac:dyDescent="0.3">
      <c r="A184" s="399" t="s">
        <v>423</v>
      </c>
      <c r="B184" s="629" t="s">
        <v>297</v>
      </c>
      <c r="C184" s="561" t="s">
        <v>24</v>
      </c>
      <c r="D184" s="555" t="s">
        <v>31</v>
      </c>
      <c r="E184" s="403">
        <v>15002462</v>
      </c>
      <c r="F184" s="403" t="s">
        <v>298</v>
      </c>
      <c r="G184" s="449">
        <v>3002000098</v>
      </c>
      <c r="H184" s="666"/>
      <c r="I184" s="427" t="s">
        <v>1324</v>
      </c>
      <c r="J184" s="562"/>
      <c r="K184" s="417"/>
      <c r="L184" s="417" t="s">
        <v>437</v>
      </c>
      <c r="M184" s="417"/>
      <c r="N184" s="417"/>
      <c r="O184" s="551" t="s">
        <v>304</v>
      </c>
      <c r="P184" s="551" t="s">
        <v>16</v>
      </c>
      <c r="Q184" s="561" t="s">
        <v>1325</v>
      </c>
      <c r="R184" s="561">
        <v>3020001809</v>
      </c>
      <c r="S184" s="568" t="s">
        <v>118</v>
      </c>
      <c r="T184" s="403"/>
      <c r="U184" s="426"/>
      <c r="V184" s="403"/>
      <c r="W184" s="399"/>
      <c r="X184" s="399"/>
      <c r="Y184" s="399"/>
      <c r="Z184" s="556">
        <v>3100000</v>
      </c>
      <c r="AA184" s="551">
        <v>33</v>
      </c>
      <c r="AB184" s="556">
        <v>29400</v>
      </c>
      <c r="AC184" s="409"/>
      <c r="AD184" s="410"/>
      <c r="AE184" s="399"/>
      <c r="AF184" s="399"/>
      <c r="AG184" s="399"/>
      <c r="AH184" s="399"/>
      <c r="AI184" s="403"/>
      <c r="AJ184" s="403"/>
      <c r="AK184" s="403"/>
      <c r="AL184" s="403"/>
      <c r="AM184" s="420"/>
      <c r="AN184" s="420"/>
      <c r="AO184" s="403"/>
      <c r="AP184" s="403"/>
      <c r="AQ184" s="403"/>
      <c r="AR184" s="403"/>
      <c r="AS184" s="403"/>
      <c r="AT184" s="403"/>
      <c r="AU184" s="399"/>
      <c r="AV184" s="420"/>
      <c r="AW184" s="420"/>
      <c r="AX184" s="420"/>
      <c r="AY184" s="420"/>
      <c r="AZ184" s="420"/>
      <c r="BA184" s="370"/>
      <c r="BB184" s="358"/>
      <c r="BC184" s="600" t="s">
        <v>1528</v>
      </c>
      <c r="BD184" s="600" t="s">
        <v>1684</v>
      </c>
      <c r="BE184" s="375">
        <v>1</v>
      </c>
      <c r="BF184" s="568" t="s">
        <v>315</v>
      </c>
      <c r="BG184" s="370"/>
      <c r="BH184" s="370"/>
      <c r="BI184" s="370"/>
      <c r="BJ184" s="370"/>
      <c r="BK184" s="487"/>
      <c r="BL184" s="488"/>
      <c r="BM184" s="358"/>
      <c r="BN184" s="358"/>
      <c r="BO184" s="370"/>
      <c r="BP184" s="487">
        <v>2491525.5</v>
      </c>
      <c r="BQ184" s="487"/>
      <c r="BR184" s="487"/>
      <c r="BS184" s="362">
        <f>SUM(Table14[[#This Row],[Jan-24]:[Dec-24]])</f>
        <v>2491525.5</v>
      </c>
      <c r="BT184" s="360"/>
      <c r="BU184" s="360"/>
      <c r="BV184" s="376"/>
      <c r="BW184" s="376"/>
      <c r="BX184" s="376"/>
      <c r="BY184" s="376"/>
      <c r="BZ184" s="376"/>
      <c r="CA184" s="376"/>
      <c r="CB184" s="376">
        <v>0</v>
      </c>
      <c r="CC184" s="376">
        <v>0</v>
      </c>
      <c r="CD184" s="376">
        <v>0</v>
      </c>
      <c r="CE184" s="557"/>
      <c r="CF184" s="362">
        <f>SUM(Table14[[#This Row],[Jan-25]:[Dec-25]])</f>
        <v>0</v>
      </c>
      <c r="CG184" s="557">
        <v>0</v>
      </c>
      <c r="CH184" s="557">
        <v>0</v>
      </c>
      <c r="CI184" s="557">
        <v>0</v>
      </c>
      <c r="CJ184" s="414">
        <f>SUM(Table14[[#This Row],[Jan-26]:[Mar-26]])</f>
        <v>0</v>
      </c>
      <c r="CK184" s="531">
        <f>IFERROR(SUM(Table14[[#This Row],[Oct-25]:[Dec-25]],Table14[[#This Row],[Jan-26]:[Mar-26]])/COUNT(Table14[[#This Row],[Oct-25]:[Dec-25]],Table14[[#This Row],[Jan-26]:[Mar-26]]),0)</f>
        <v>0</v>
      </c>
      <c r="CL184" s="547"/>
      <c r="CM184" s="414">
        <f>Table14[[#This Row],[YTD 2024]]+Table14[[#This Row],[YTD 2025]]+Table14[[#This Row],[YTD 2026]]</f>
        <v>2491525.5</v>
      </c>
      <c r="CN184" s="551">
        <v>13</v>
      </c>
      <c r="CO184" s="542">
        <f t="shared" si="26"/>
        <v>191655.80769230769</v>
      </c>
      <c r="CP184" s="542">
        <f>Table14[[#This Row],[Unit Cost]]-Table14[[#This Row],[Margin on Reagent sale]]</f>
        <v>2103389.7999999998</v>
      </c>
      <c r="CQ184" s="559">
        <f>Table14[[#This Row],[Avg reagent Sales per month Actual]]-Table14[[#This Row],[Per Month Reagent Commitment]]</f>
        <v>162255.80769230769</v>
      </c>
      <c r="CR184" s="570"/>
      <c r="CS184" s="547">
        <f>Table14[[#This Row],[On Track / (behind) (avg per month)]]/Table14[[#This Row],[Months]]</f>
        <v>12481.215976331361</v>
      </c>
      <c r="CT184" s="549">
        <v>0.4</v>
      </c>
      <c r="CU184" s="547">
        <f>Table14[[#This Row],[Total Reagent Sales till date Actual]]*Table14[[#This Row],[Margin %]]</f>
        <v>996610.20000000007</v>
      </c>
      <c r="CV184" s="571">
        <f t="shared" ref="CV184:CV202" si="27">CT184</f>
        <v>0.4</v>
      </c>
      <c r="CX184" s="1"/>
      <c r="CZ184" s="135"/>
      <c r="DA184" s="1"/>
    </row>
    <row r="185" spans="1:105" ht="15" customHeight="1" x14ac:dyDescent="0.3">
      <c r="A185" s="401" t="s">
        <v>344</v>
      </c>
      <c r="B185" s="630" t="s">
        <v>345</v>
      </c>
      <c r="C185" s="399" t="s">
        <v>21</v>
      </c>
      <c r="D185" s="415" t="s">
        <v>691</v>
      </c>
      <c r="E185" s="403">
        <v>15002760</v>
      </c>
      <c r="F185" s="403" t="s">
        <v>298</v>
      </c>
      <c r="G185" s="449"/>
      <c r="H185" s="666"/>
      <c r="I185" s="416"/>
      <c r="J185" s="417"/>
      <c r="K185" s="417"/>
      <c r="L185" s="417" t="s">
        <v>1326</v>
      </c>
      <c r="M185" s="417"/>
      <c r="N185" s="417"/>
      <c r="O185" s="418" t="s">
        <v>348</v>
      </c>
      <c r="P185" s="418" t="s">
        <v>17</v>
      </c>
      <c r="Q185" s="399" t="s">
        <v>440</v>
      </c>
      <c r="R185" s="399">
        <v>3020001811</v>
      </c>
      <c r="S185" s="419" t="s">
        <v>160</v>
      </c>
      <c r="T185" s="403"/>
      <c r="U185" s="426" t="s">
        <v>1327</v>
      </c>
      <c r="V185" s="403" t="s">
        <v>1328</v>
      </c>
      <c r="W185" s="382" t="s">
        <v>1329</v>
      </c>
      <c r="X185" s="399"/>
      <c r="Y185" s="399" t="s">
        <v>1330</v>
      </c>
      <c r="Z185" s="353">
        <v>13726374</v>
      </c>
      <c r="AA185" s="418">
        <v>35</v>
      </c>
      <c r="AB185" s="353">
        <v>979837</v>
      </c>
      <c r="AC185" s="409"/>
      <c r="AD185" s="410"/>
      <c r="AE185" s="399"/>
      <c r="AF185" s="399"/>
      <c r="AG185" s="399"/>
      <c r="AH185" s="399"/>
      <c r="AI185" s="403"/>
      <c r="AJ185" s="403"/>
      <c r="AK185" s="403"/>
      <c r="AL185" s="403"/>
      <c r="AM185" s="420"/>
      <c r="AN185" s="420"/>
      <c r="AO185" s="403"/>
      <c r="AP185" s="403"/>
      <c r="AQ185" s="403"/>
      <c r="AR185" s="403"/>
      <c r="AS185" s="403"/>
      <c r="AT185" s="403"/>
      <c r="AU185" s="399"/>
      <c r="AV185" s="420"/>
      <c r="AW185" s="420"/>
      <c r="AX185" s="420"/>
      <c r="AY185" s="420"/>
      <c r="AZ185" s="420"/>
      <c r="BA185" s="370"/>
      <c r="BB185" s="358"/>
      <c r="BC185" s="597" t="s">
        <v>348</v>
      </c>
      <c r="BD185" s="597"/>
      <c r="BE185" s="375"/>
      <c r="BF185" s="419"/>
      <c r="BG185" s="370"/>
      <c r="BH185" s="370"/>
      <c r="BI185" s="370"/>
      <c r="BJ185" s="370"/>
      <c r="BK185" s="370">
        <f>8550000/5</f>
        <v>1710000</v>
      </c>
      <c r="BL185" s="374"/>
      <c r="BM185" s="358"/>
      <c r="BN185" s="358"/>
      <c r="BO185" s="370"/>
      <c r="BP185" s="370"/>
      <c r="BQ185" s="370"/>
      <c r="BR185" s="370"/>
      <c r="BS185" s="362">
        <f>SUM(Table14[[#This Row],[Jan-24]:[Dec-24]])</f>
        <v>1710000</v>
      </c>
      <c r="BT185" s="360"/>
      <c r="BU185" s="360"/>
      <c r="BV185" s="376"/>
      <c r="BW185" s="376"/>
      <c r="BX185" s="376"/>
      <c r="BY185" s="370"/>
      <c r="BZ185" s="370">
        <v>316962</v>
      </c>
      <c r="CA185" s="370">
        <v>0</v>
      </c>
      <c r="CB185" s="370">
        <v>0</v>
      </c>
      <c r="CC185" s="370"/>
      <c r="CD185" s="370"/>
      <c r="CE185" s="370"/>
      <c r="CF185" s="362">
        <f>SUM(Table14[[#This Row],[Jan-25]:[Dec-25]])</f>
        <v>316962</v>
      </c>
      <c r="CG185" s="370"/>
      <c r="CH185" s="370"/>
      <c r="CI185" s="370"/>
      <c r="CJ185" s="414">
        <f>SUM(Table14[[#This Row],[Jan-26]:[Mar-26]])</f>
        <v>0</v>
      </c>
      <c r="CK185" s="531">
        <f>IFERROR(SUM(Table14[[#This Row],[Oct-25]:[Dec-25]],Table14[[#This Row],[Jan-26]:[Mar-26]])/COUNT(Table14[[#This Row],[Oct-25]:[Dec-25]],Table14[[#This Row],[Jan-26]:[Mar-26]]),0)</f>
        <v>0</v>
      </c>
      <c r="CL185" s="367"/>
      <c r="CM185" s="414">
        <f>Table14[[#This Row],[YTD 2024]]+Table14[[#This Row],[YTD 2025]]+Table14[[#This Row],[YTD 2026]]</f>
        <v>2026962</v>
      </c>
      <c r="CN185" s="418">
        <v>4</v>
      </c>
      <c r="CO185" s="353">
        <f t="shared" si="26"/>
        <v>506740.5</v>
      </c>
      <c r="CP185" s="353">
        <f>Table14[[#This Row],[Unit Cost]]-Table14[[#This Row],[Margin on Reagent sale]]</f>
        <v>12915589.199999999</v>
      </c>
      <c r="CQ185" s="367">
        <v>-882971</v>
      </c>
      <c r="CR185" s="403" t="s">
        <v>343</v>
      </c>
      <c r="CS185" s="367">
        <f>Table14[[#This Row],[On Track / (behind) (avg per month)]]/Table14[[#This Row],[Months]]</f>
        <v>-220742.75</v>
      </c>
      <c r="CT185" s="368">
        <v>0.4</v>
      </c>
      <c r="CU185" s="367">
        <f>Table14[[#This Row],[Total Reagent Sales till date Actual]]*Table14[[#This Row],[Margin %]]</f>
        <v>810784.8</v>
      </c>
      <c r="CV185" s="371">
        <f t="shared" si="27"/>
        <v>0.4</v>
      </c>
      <c r="CX185" s="1"/>
      <c r="CZ185" s="135"/>
      <c r="DA185" s="1"/>
    </row>
    <row r="186" spans="1:105" ht="15" customHeight="1" x14ac:dyDescent="0.3">
      <c r="A186" s="399" t="s">
        <v>438</v>
      </c>
      <c r="B186" s="629" t="s">
        <v>345</v>
      </c>
      <c r="C186" s="399" t="s">
        <v>21</v>
      </c>
      <c r="D186" s="415" t="s">
        <v>485</v>
      </c>
      <c r="E186" s="403">
        <v>15002760</v>
      </c>
      <c r="F186" s="403" t="s">
        <v>298</v>
      </c>
      <c r="G186" s="682" t="s">
        <v>1628</v>
      </c>
      <c r="H186" s="666" t="s">
        <v>1548</v>
      </c>
      <c r="I186" s="682">
        <v>30006409</v>
      </c>
      <c r="J186" s="417"/>
      <c r="K186" s="417"/>
      <c r="L186" s="417" t="s">
        <v>1332</v>
      </c>
      <c r="M186" s="417"/>
      <c r="N186" s="417"/>
      <c r="O186" s="418" t="s">
        <v>304</v>
      </c>
      <c r="P186" s="418" t="s">
        <v>17</v>
      </c>
      <c r="Q186" s="403" t="s">
        <v>987</v>
      </c>
      <c r="R186" s="399">
        <v>3020001102</v>
      </c>
      <c r="S186" s="419" t="s">
        <v>83</v>
      </c>
      <c r="T186" s="403"/>
      <c r="U186" s="426"/>
      <c r="V186" s="403"/>
      <c r="W186" s="399"/>
      <c r="X186" s="399"/>
      <c r="Y186" s="399"/>
      <c r="Z186" s="486">
        <v>14446400</v>
      </c>
      <c r="AA186" s="418">
        <v>28</v>
      </c>
      <c r="AB186" s="486">
        <v>855600</v>
      </c>
      <c r="AC186" s="409"/>
      <c r="AD186" s="410"/>
      <c r="AE186" s="399"/>
      <c r="AF186" s="399"/>
      <c r="AG186" s="399"/>
      <c r="AH186" s="399"/>
      <c r="AI186" s="403"/>
      <c r="AJ186" s="403"/>
      <c r="AK186" s="403"/>
      <c r="AL186" s="403"/>
      <c r="AM186" s="420"/>
      <c r="AN186" s="420"/>
      <c r="AO186" s="403"/>
      <c r="AP186" s="403"/>
      <c r="AQ186" s="403"/>
      <c r="AR186" s="403"/>
      <c r="AS186" s="403"/>
      <c r="AT186" s="403"/>
      <c r="AU186" s="399"/>
      <c r="AV186" s="420"/>
      <c r="AW186" s="420"/>
      <c r="AX186" s="420"/>
      <c r="AY186" s="420"/>
      <c r="AZ186" s="420"/>
      <c r="BA186" s="370"/>
      <c r="BB186" s="358"/>
      <c r="BC186" s="597" t="s">
        <v>1505</v>
      </c>
      <c r="BD186" s="597" t="s">
        <v>1695</v>
      </c>
      <c r="BE186" s="375">
        <v>1</v>
      </c>
      <c r="BF186" s="419" t="s">
        <v>315</v>
      </c>
      <c r="BG186" s="370"/>
      <c r="BH186" s="370"/>
      <c r="BI186" s="370"/>
      <c r="BJ186" s="370"/>
      <c r="BK186" s="487"/>
      <c r="BL186" s="488"/>
      <c r="BM186" s="358"/>
      <c r="BN186" s="358"/>
      <c r="BO186" s="370"/>
      <c r="BP186" s="487"/>
      <c r="BQ186" s="487"/>
      <c r="BR186" s="487"/>
      <c r="BS186" s="362">
        <f>SUM(Table14[[#This Row],[Jan-24]:[Dec-24]])</f>
        <v>0</v>
      </c>
      <c r="BT186" s="360"/>
      <c r="BU186" s="360"/>
      <c r="BV186" s="376"/>
      <c r="BW186" s="376"/>
      <c r="BX186" s="376"/>
      <c r="BY186" s="376"/>
      <c r="BZ186" s="376">
        <v>469000</v>
      </c>
      <c r="CA186" s="376"/>
      <c r="CB186" s="376">
        <v>0</v>
      </c>
      <c r="CC186" s="376"/>
      <c r="CD186" s="376"/>
      <c r="CE186" s="376"/>
      <c r="CF186" s="362">
        <f>SUM(Table14[[#This Row],[Jan-25]:[Dec-25]])</f>
        <v>469000</v>
      </c>
      <c r="CG186" s="414">
        <v>647500</v>
      </c>
      <c r="CH186" s="376"/>
      <c r="CI186" s="376"/>
      <c r="CJ186" s="414">
        <f>SUM(Table14[[#This Row],[Jan-26]:[Mar-26]])</f>
        <v>647500</v>
      </c>
      <c r="CK186" s="531">
        <f>IFERROR(SUM(Table14[[#This Row],[Oct-25]:[Dec-25]],Table14[[#This Row],[Jan-26]:[Mar-26]])/COUNT(Table14[[#This Row],[Oct-25]:[Dec-25]],Table14[[#This Row],[Jan-26]:[Mar-26]]),0)</f>
        <v>647500</v>
      </c>
      <c r="CL186" s="367"/>
      <c r="CM186" s="414">
        <f>Table14[[#This Row],[YTD 2024]]+Table14[[#This Row],[YTD 2025]]+Table14[[#This Row],[YTD 2026]]</f>
        <v>1116500</v>
      </c>
      <c r="CN186" s="418">
        <v>9</v>
      </c>
      <c r="CO186" s="486">
        <f t="shared" si="26"/>
        <v>124055.55555555556</v>
      </c>
      <c r="CP186" s="353">
        <f>Table14[[#This Row],[Unit Cost]]-Table14[[#This Row],[Margin on Reagent sale]]</f>
        <v>14446400</v>
      </c>
      <c r="CQ186" s="489">
        <f>Table14[[#This Row],[Avg reagent Sales per month Actual]]-Table14[[#This Row],[Per Month Reagent Commitment]]</f>
        <v>-731544.4444444445</v>
      </c>
      <c r="CR186" s="373"/>
      <c r="CS186" s="367">
        <f>Table14[[#This Row],[On Track / (behind) (avg per month)]]/Table14[[#This Row],[Months]]</f>
        <v>-81282.716049382725</v>
      </c>
      <c r="CT186" s="491"/>
      <c r="CU186" s="367">
        <f>Table14[[#This Row],[Total Reagent Sales till date Actual]]*Table14[[#This Row],[Margin %]]</f>
        <v>0</v>
      </c>
      <c r="CV186" s="371">
        <f t="shared" si="27"/>
        <v>0</v>
      </c>
      <c r="CX186" s="1"/>
      <c r="CZ186" s="135"/>
      <c r="DA186" s="1"/>
    </row>
    <row r="187" spans="1:105" ht="15" customHeight="1" x14ac:dyDescent="0.3">
      <c r="A187" s="399" t="s">
        <v>511</v>
      </c>
      <c r="B187" s="630" t="s">
        <v>345</v>
      </c>
      <c r="C187" s="561" t="s">
        <v>25</v>
      </c>
      <c r="D187" s="555" t="s">
        <v>38</v>
      </c>
      <c r="E187" s="403">
        <v>15002674</v>
      </c>
      <c r="F187" s="403" t="s">
        <v>649</v>
      </c>
      <c r="G187" s="449" t="s">
        <v>1333</v>
      </c>
      <c r="H187" s="674" t="s">
        <v>1334</v>
      </c>
      <c r="I187" s="416" t="s">
        <v>1335</v>
      </c>
      <c r="J187" s="562"/>
      <c r="K187" s="417"/>
      <c r="L187" s="417" t="s">
        <v>1336</v>
      </c>
      <c r="M187" s="417"/>
      <c r="N187" s="417"/>
      <c r="O187" s="563" t="s">
        <v>304</v>
      </c>
      <c r="P187" s="551" t="s">
        <v>15</v>
      </c>
      <c r="Q187" s="548" t="s">
        <v>1000</v>
      </c>
      <c r="R187" s="399">
        <v>3020001748</v>
      </c>
      <c r="S187" s="568" t="s">
        <v>79</v>
      </c>
      <c r="T187" s="403"/>
      <c r="U187" s="426"/>
      <c r="V187" s="403"/>
      <c r="W187" s="399"/>
      <c r="X187" s="399"/>
      <c r="Y187" s="399"/>
      <c r="Z187" s="556">
        <v>532660</v>
      </c>
      <c r="AA187" s="551">
        <v>24</v>
      </c>
      <c r="AB187" s="556">
        <v>68306</v>
      </c>
      <c r="AC187" s="409"/>
      <c r="AD187" s="410"/>
      <c r="AE187" s="399"/>
      <c r="AF187" s="399"/>
      <c r="AG187" s="399"/>
      <c r="AH187" s="399"/>
      <c r="AI187" s="403"/>
      <c r="AJ187" s="403"/>
      <c r="AK187" s="403"/>
      <c r="AL187" s="403"/>
      <c r="AM187" s="420"/>
      <c r="AN187" s="420"/>
      <c r="AO187" s="403"/>
      <c r="AP187" s="403"/>
      <c r="AQ187" s="403"/>
      <c r="AR187" s="403"/>
      <c r="AS187" s="403"/>
      <c r="AT187" s="403"/>
      <c r="AU187" s="399"/>
      <c r="AV187" s="420"/>
      <c r="AW187" s="420"/>
      <c r="AX187" s="420"/>
      <c r="AY187" s="420"/>
      <c r="AZ187" s="420"/>
      <c r="BA187" s="370"/>
      <c r="BB187" s="358"/>
      <c r="BC187" s="599" t="s">
        <v>1512</v>
      </c>
      <c r="BD187" s="599" t="s">
        <v>1505</v>
      </c>
      <c r="BE187" s="358">
        <v>1</v>
      </c>
      <c r="BF187" s="568" t="s">
        <v>304</v>
      </c>
      <c r="BG187" s="237">
        <v>50000</v>
      </c>
      <c r="BH187" s="237">
        <v>580000</v>
      </c>
      <c r="BI187" s="237">
        <v>550000</v>
      </c>
      <c r="BJ187" s="237"/>
      <c r="BK187" s="237"/>
      <c r="BL187" s="237">
        <v>182500</v>
      </c>
      <c r="BM187" s="237">
        <v>50000</v>
      </c>
      <c r="BN187" s="237">
        <v>1093220.45</v>
      </c>
      <c r="BO187" s="237"/>
      <c r="BP187" s="237">
        <v>-582966.1</v>
      </c>
      <c r="BQ187" s="237"/>
      <c r="BR187" s="237">
        <v>207100</v>
      </c>
      <c r="BS187" s="362">
        <f>SUM(Table14[[#This Row],[Jan-24]:[Dec-24]])</f>
        <v>2129854.35</v>
      </c>
      <c r="BT187" s="237">
        <v>201400</v>
      </c>
      <c r="BU187" s="237">
        <v>319200</v>
      </c>
      <c r="BV187" s="237"/>
      <c r="BW187" s="237">
        <v>532000</v>
      </c>
      <c r="BX187" s="237">
        <v>901000</v>
      </c>
      <c r="BY187" s="237">
        <v>0</v>
      </c>
      <c r="BZ187" s="237"/>
      <c r="CA187" s="237"/>
      <c r="CB187" s="237">
        <v>873200</v>
      </c>
      <c r="CC187" s="237">
        <v>1087200</v>
      </c>
      <c r="CD187" s="237">
        <v>350000</v>
      </c>
      <c r="CE187" s="557"/>
      <c r="CF187" s="362">
        <f>SUM(Table14[[#This Row],[Jan-25]:[Dec-25]])</f>
        <v>4264000</v>
      </c>
      <c r="CG187" s="557">
        <v>0</v>
      </c>
      <c r="CH187" s="557">
        <v>217600</v>
      </c>
      <c r="CI187" s="557">
        <v>106400</v>
      </c>
      <c r="CJ187" s="414">
        <f>SUM(Table14[[#This Row],[Jan-26]:[Mar-26]])</f>
        <v>324000</v>
      </c>
      <c r="CK187" s="531">
        <f>IFERROR(SUM(Table14[[#This Row],[Oct-25]:[Dec-25]],Table14[[#This Row],[Jan-26]:[Mar-26]])/COUNT(Table14[[#This Row],[Oct-25]:[Dec-25]],Table14[[#This Row],[Jan-26]:[Mar-26]]),0)</f>
        <v>352240</v>
      </c>
      <c r="CL187" s="547"/>
      <c r="CM187" s="414">
        <f>Table14[[#This Row],[YTD 2024]]+Table14[[#This Row],[YTD 2025]]+Table14[[#This Row],[YTD 2026]]</f>
        <v>6717854.3499999996</v>
      </c>
      <c r="CN187" s="551"/>
      <c r="CO187" s="556" t="e">
        <f t="shared" si="26"/>
        <v>#DIV/0!</v>
      </c>
      <c r="CP187" s="569"/>
      <c r="CQ187" s="559" t="e">
        <f>Table14[[#This Row],[Avg reagent Sales per month Actual]]-Table14[[#This Row],[Per Month Reagent Commitment]]</f>
        <v>#DIV/0!</v>
      </c>
      <c r="CR187" s="570"/>
      <c r="CS187" s="547" t="e">
        <f>Table14[[#This Row],[On Track / (behind) (avg per month)]]/Table14[[#This Row],[Months]]</f>
        <v>#DIV/0!</v>
      </c>
      <c r="CT187" s="560"/>
      <c r="CU187" s="547">
        <f>Table14[[#This Row],[Total Reagent Sales till date Actual]]*Table14[[#This Row],[Margin %]]</f>
        <v>0</v>
      </c>
      <c r="CV187" s="571">
        <f t="shared" si="27"/>
        <v>0</v>
      </c>
      <c r="CX187" s="1"/>
      <c r="CZ187" s="135"/>
      <c r="DA187" s="1"/>
    </row>
    <row r="188" spans="1:105" ht="15" customHeight="1" x14ac:dyDescent="0.3">
      <c r="A188" s="401" t="s">
        <v>296</v>
      </c>
      <c r="B188" s="630" t="s">
        <v>297</v>
      </c>
      <c r="C188" s="401" t="s">
        <v>24</v>
      </c>
      <c r="D188" s="415" t="s">
        <v>1337</v>
      </c>
      <c r="E188" s="403">
        <v>15002553</v>
      </c>
      <c r="F188" s="403" t="s">
        <v>298</v>
      </c>
      <c r="G188" s="449"/>
      <c r="H188" s="668"/>
      <c r="I188" s="404" t="s">
        <v>1294</v>
      </c>
      <c r="J188" s="405"/>
      <c r="K188" s="405"/>
      <c r="L188" s="405" t="s">
        <v>483</v>
      </c>
      <c r="M188" s="405"/>
      <c r="N188" s="405"/>
      <c r="O188" s="404" t="s">
        <v>304</v>
      </c>
      <c r="P188" s="404" t="s">
        <v>15</v>
      </c>
      <c r="Q188" s="401" t="s">
        <v>1000</v>
      </c>
      <c r="R188" s="399">
        <v>3020001748</v>
      </c>
      <c r="S188" s="402" t="s">
        <v>144</v>
      </c>
      <c r="T188" s="403"/>
      <c r="U188" s="403"/>
      <c r="V188" s="403"/>
      <c r="W188" s="399"/>
      <c r="X188" s="399"/>
      <c r="Y188" s="399"/>
      <c r="Z188" s="353">
        <v>4910685</v>
      </c>
      <c r="AA188" s="418">
        <v>30</v>
      </c>
      <c r="AB188" s="353">
        <v>674745</v>
      </c>
      <c r="AC188" s="409"/>
      <c r="AD188" s="410"/>
      <c r="AE188" s="431"/>
      <c r="AF188" s="399"/>
      <c r="AG188" s="399"/>
      <c r="AH188" s="399"/>
      <c r="AI188" s="432"/>
      <c r="AJ188" s="403"/>
      <c r="AK188" s="432"/>
      <c r="AL188" s="432"/>
      <c r="AM188" s="431"/>
      <c r="AN188" s="431"/>
      <c r="AO188" s="403"/>
      <c r="AP188" s="403"/>
      <c r="AQ188" s="403"/>
      <c r="AR188" s="403"/>
      <c r="AS188" s="403"/>
      <c r="AT188" s="403"/>
      <c r="AU188" s="431"/>
      <c r="AV188" s="399"/>
      <c r="AW188" s="431"/>
      <c r="AX188" s="431"/>
      <c r="AY188" s="399"/>
      <c r="AZ188" s="399"/>
      <c r="BA188" s="399"/>
      <c r="BB188" s="409"/>
      <c r="BC188" s="597" t="s">
        <v>1569</v>
      </c>
      <c r="BD188" s="597" t="s">
        <v>1664</v>
      </c>
      <c r="BE188" s="358">
        <v>1</v>
      </c>
      <c r="BF188" s="419" t="s">
        <v>315</v>
      </c>
      <c r="BG188" s="378"/>
      <c r="BH188" s="378"/>
      <c r="BI188" s="378"/>
      <c r="BJ188" s="431"/>
      <c r="BK188" s="378"/>
      <c r="BL188" s="396"/>
      <c r="BM188" s="363"/>
      <c r="BN188" s="363"/>
      <c r="BO188" s="431"/>
      <c r="BP188" s="367"/>
      <c r="BQ188" s="367"/>
      <c r="BR188" s="367"/>
      <c r="BS188" s="362">
        <f>SUM(Table14[[#This Row],[Jan-24]:[Dec-24]])</f>
        <v>0</v>
      </c>
      <c r="BT188" s="362"/>
      <c r="BU188" s="360"/>
      <c r="BV188" s="376"/>
      <c r="BW188" s="376"/>
      <c r="BX188" s="376"/>
      <c r="BY188" s="376"/>
      <c r="BZ188" s="376"/>
      <c r="CA188" s="376"/>
      <c r="CB188" s="376"/>
      <c r="CC188" s="376"/>
      <c r="CD188" s="376"/>
      <c r="CE188" s="376">
        <v>1032747.5</v>
      </c>
      <c r="CF188" s="362">
        <f>SUM(Table14[[#This Row],[Jan-25]:[Dec-25]])</f>
        <v>1032747.5</v>
      </c>
      <c r="CG188" s="376">
        <f>CG170</f>
        <v>205240</v>
      </c>
      <c r="CH188" s="376">
        <f>CH170</f>
        <v>424978</v>
      </c>
      <c r="CI188" s="376">
        <f>CI170</f>
        <v>79312.5</v>
      </c>
      <c r="CJ188" s="414">
        <f>SUM(Table14[[#This Row],[Jan-26]:[Mar-26]])</f>
        <v>709530.5</v>
      </c>
      <c r="CK188" s="531">
        <f>IFERROR(SUM(Table14[[#This Row],[Oct-25]:[Dec-25]],Table14[[#This Row],[Jan-26]:[Mar-26]])/COUNT(Table14[[#This Row],[Oct-25]:[Dec-25]],Table14[[#This Row],[Jan-26]:[Mar-26]]),0)</f>
        <v>435569.5</v>
      </c>
      <c r="CL188" s="431"/>
      <c r="CM188" s="414">
        <f>Table14[[#This Row],[YTD 2024]]+Table14[[#This Row],[YTD 2025]]+Table14[[#This Row],[YTD 2026]]</f>
        <v>1742278</v>
      </c>
      <c r="CN188" s="418">
        <v>1</v>
      </c>
      <c r="CO188" s="353">
        <f t="shared" si="26"/>
        <v>1742278</v>
      </c>
      <c r="CP188" s="353"/>
      <c r="CQ188" s="367">
        <f>Table14[[#This Row],[Avg reagent Sales per month Actual]]-Table14[[#This Row],[Per Month Reagent Commitment]]</f>
        <v>1067533</v>
      </c>
      <c r="CR188" s="403"/>
      <c r="CS188" s="367">
        <f>Table14[[#This Row],[On Track / (behind) (avg per month)]]/Table14[[#This Row],[Months]]</f>
        <v>1067533</v>
      </c>
      <c r="CT188" s="399"/>
      <c r="CU188" s="367">
        <f>Table14[[#This Row],[Total Reagent Sales till date Actual]]*Table14[[#This Row],[Margin %]]</f>
        <v>0</v>
      </c>
      <c r="CV188" s="400">
        <f t="shared" si="27"/>
        <v>0</v>
      </c>
      <c r="CX188" s="1"/>
      <c r="CZ188" s="135"/>
      <c r="DA188" s="1"/>
    </row>
    <row r="189" spans="1:105" ht="15" customHeight="1" x14ac:dyDescent="0.3">
      <c r="A189" s="401" t="s">
        <v>296</v>
      </c>
      <c r="B189" s="630" t="s">
        <v>297</v>
      </c>
      <c r="C189" s="401" t="s">
        <v>24</v>
      </c>
      <c r="D189" s="415" t="s">
        <v>1338</v>
      </c>
      <c r="E189" s="403">
        <v>15002462</v>
      </c>
      <c r="F189" s="403" t="s">
        <v>298</v>
      </c>
      <c r="G189" s="449"/>
      <c r="H189" s="668"/>
      <c r="I189" s="404"/>
      <c r="J189" s="405"/>
      <c r="K189" s="405"/>
      <c r="L189" s="405" t="s">
        <v>483</v>
      </c>
      <c r="M189" s="405"/>
      <c r="N189" s="405"/>
      <c r="O189" s="404" t="s">
        <v>304</v>
      </c>
      <c r="P189" s="404" t="s">
        <v>15</v>
      </c>
      <c r="Q189" s="401" t="s">
        <v>1000</v>
      </c>
      <c r="R189" s="399">
        <v>3020001748</v>
      </c>
      <c r="S189" s="403" t="s">
        <v>142</v>
      </c>
      <c r="T189" s="403"/>
      <c r="U189" s="403"/>
      <c r="V189" s="403"/>
      <c r="W189" s="399"/>
      <c r="X189" s="399"/>
      <c r="Y189" s="399"/>
      <c r="Z189" s="353">
        <v>4910685</v>
      </c>
      <c r="AA189" s="418">
        <v>35</v>
      </c>
      <c r="AB189" s="353">
        <v>472477</v>
      </c>
      <c r="AC189" s="409"/>
      <c r="AD189" s="410"/>
      <c r="AE189" s="431"/>
      <c r="AF189" s="399"/>
      <c r="AG189" s="399"/>
      <c r="AH189" s="399"/>
      <c r="AI189" s="432"/>
      <c r="AJ189" s="403"/>
      <c r="AK189" s="432"/>
      <c r="AL189" s="432"/>
      <c r="AM189" s="431"/>
      <c r="AN189" s="431"/>
      <c r="AO189" s="403"/>
      <c r="AP189" s="403"/>
      <c r="AQ189" s="403"/>
      <c r="AR189" s="403"/>
      <c r="AS189" s="403"/>
      <c r="AT189" s="403"/>
      <c r="AU189" s="431"/>
      <c r="AV189" s="399"/>
      <c r="AW189" s="431"/>
      <c r="AX189" s="431"/>
      <c r="AY189" s="399"/>
      <c r="AZ189" s="399"/>
      <c r="BA189" s="399"/>
      <c r="BB189" s="409"/>
      <c r="BC189" s="597" t="s">
        <v>1569</v>
      </c>
      <c r="BD189" s="597" t="s">
        <v>1664</v>
      </c>
      <c r="BE189" s="358">
        <v>1</v>
      </c>
      <c r="BF189" s="419" t="s">
        <v>315</v>
      </c>
      <c r="BG189" s="378"/>
      <c r="BH189" s="378"/>
      <c r="BI189" s="378"/>
      <c r="BJ189" s="431"/>
      <c r="BK189" s="378"/>
      <c r="BL189" s="396"/>
      <c r="BM189" s="363"/>
      <c r="BN189" s="363"/>
      <c r="BO189" s="431"/>
      <c r="BP189" s="367"/>
      <c r="BQ189" s="367"/>
      <c r="BR189" s="367"/>
      <c r="BS189" s="362">
        <f>SUM(Table14[[#This Row],[Jan-24]:[Dec-24]])</f>
        <v>0</v>
      </c>
      <c r="BT189" s="362"/>
      <c r="BU189" s="360"/>
      <c r="BV189" s="376"/>
      <c r="BW189" s="376"/>
      <c r="BX189" s="376"/>
      <c r="BY189" s="376"/>
      <c r="BZ189" s="376"/>
      <c r="CA189" s="376"/>
      <c r="CB189" s="376"/>
      <c r="CC189" s="376"/>
      <c r="CD189" s="376"/>
      <c r="CE189" s="376">
        <v>1032747.5</v>
      </c>
      <c r="CF189" s="362">
        <f>SUM(Table14[[#This Row],[Jan-25]:[Dec-25]])</f>
        <v>1032747.5</v>
      </c>
      <c r="CG189" s="376">
        <f>CG170</f>
        <v>205240</v>
      </c>
      <c r="CH189" s="376">
        <f>CH170</f>
        <v>424978</v>
      </c>
      <c r="CI189" s="376">
        <f>CI170</f>
        <v>79312.5</v>
      </c>
      <c r="CJ189" s="414">
        <f>SUM(Table14[[#This Row],[Jan-26]:[Mar-26]])</f>
        <v>709530.5</v>
      </c>
      <c r="CK189" s="531">
        <f>IFERROR(SUM(Table14[[#This Row],[Oct-25]:[Dec-25]],Table14[[#This Row],[Jan-26]:[Mar-26]])/COUNT(Table14[[#This Row],[Oct-25]:[Dec-25]],Table14[[#This Row],[Jan-26]:[Mar-26]]),0)</f>
        <v>435569.5</v>
      </c>
      <c r="CL189" s="431"/>
      <c r="CM189" s="414">
        <f>Table14[[#This Row],[YTD 2024]]+Table14[[#This Row],[YTD 2025]]+Table14[[#This Row],[YTD 2026]]</f>
        <v>1742278</v>
      </c>
      <c r="CN189" s="418">
        <v>1</v>
      </c>
      <c r="CO189" s="353">
        <f t="shared" si="26"/>
        <v>1742278</v>
      </c>
      <c r="CP189" s="353"/>
      <c r="CQ189" s="367">
        <f>Table14[[#This Row],[Avg reagent Sales per month Actual]]-Table14[[#This Row],[Per Month Reagent Commitment]]</f>
        <v>1269801</v>
      </c>
      <c r="CR189" s="403"/>
      <c r="CS189" s="367">
        <f>Table14[[#This Row],[On Track / (behind) (avg per month)]]/Table14[[#This Row],[Months]]</f>
        <v>1269801</v>
      </c>
      <c r="CT189" s="399"/>
      <c r="CU189" s="367">
        <f>Table14[[#This Row],[Total Reagent Sales till date Actual]]*Table14[[#This Row],[Margin %]]</f>
        <v>0</v>
      </c>
      <c r="CV189" s="400">
        <f t="shared" si="27"/>
        <v>0</v>
      </c>
      <c r="CX189" s="1"/>
      <c r="CZ189" s="135"/>
      <c r="DA189" s="1"/>
    </row>
    <row r="190" spans="1:105" ht="15" customHeight="1" x14ac:dyDescent="0.3">
      <c r="A190" s="401" t="s">
        <v>344</v>
      </c>
      <c r="B190" s="629" t="s">
        <v>345</v>
      </c>
      <c r="C190" s="399" t="s">
        <v>51</v>
      </c>
      <c r="D190" s="415" t="s">
        <v>988</v>
      </c>
      <c r="E190" s="403">
        <v>15003000</v>
      </c>
      <c r="F190" s="403" t="s">
        <v>403</v>
      </c>
      <c r="G190" s="449"/>
      <c r="H190" s="666"/>
      <c r="I190" s="416"/>
      <c r="J190" s="417"/>
      <c r="K190" s="417"/>
      <c r="L190" s="417" t="s">
        <v>1113</v>
      </c>
      <c r="M190" s="417"/>
      <c r="N190" s="417"/>
      <c r="O190" s="418" t="s">
        <v>348</v>
      </c>
      <c r="P190" s="418" t="s">
        <v>16</v>
      </c>
      <c r="Q190" s="403" t="s">
        <v>349</v>
      </c>
      <c r="R190" s="399"/>
      <c r="S190" s="419" t="s">
        <v>148</v>
      </c>
      <c r="T190" s="403"/>
      <c r="U190" s="426"/>
      <c r="V190" s="403"/>
      <c r="W190" s="399"/>
      <c r="X190" s="399"/>
      <c r="Y190" s="399"/>
      <c r="Z190" s="486">
        <v>7823998</v>
      </c>
      <c r="AA190" s="418">
        <v>34</v>
      </c>
      <c r="AB190" s="486">
        <v>500398</v>
      </c>
      <c r="AC190" s="409"/>
      <c r="AD190" s="410"/>
      <c r="AE190" s="399"/>
      <c r="AF190" s="399"/>
      <c r="AG190" s="399"/>
      <c r="AH190" s="399"/>
      <c r="AI190" s="403"/>
      <c r="AJ190" s="403"/>
      <c r="AK190" s="403"/>
      <c r="AL190" s="403"/>
      <c r="AM190" s="420"/>
      <c r="AN190" s="420"/>
      <c r="AO190" s="403"/>
      <c r="AP190" s="403"/>
      <c r="AQ190" s="403"/>
      <c r="AR190" s="403"/>
      <c r="AS190" s="403"/>
      <c r="AT190" s="403"/>
      <c r="AU190" s="399"/>
      <c r="AV190" s="420"/>
      <c r="AW190" s="420"/>
      <c r="AX190" s="420"/>
      <c r="AY190" s="420"/>
      <c r="AZ190" s="420"/>
      <c r="BA190" s="370"/>
      <c r="BB190" s="358"/>
      <c r="BC190" s="595"/>
      <c r="BD190" s="595"/>
      <c r="BE190" s="358"/>
      <c r="BF190" s="419" t="s">
        <v>1222</v>
      </c>
      <c r="BG190" s="370"/>
      <c r="BH190" s="370"/>
      <c r="BI190" s="370"/>
      <c r="BJ190" s="370"/>
      <c r="BK190" s="487"/>
      <c r="BL190" s="488"/>
      <c r="BM190" s="358"/>
      <c r="BN190" s="358"/>
      <c r="BO190" s="370"/>
      <c r="BP190" s="487"/>
      <c r="BQ190" s="487"/>
      <c r="BR190" s="487"/>
      <c r="BS190" s="362">
        <f>SUM(Table14[[#This Row],[Jan-24]:[Dec-24]])</f>
        <v>0</v>
      </c>
      <c r="BT190" s="360"/>
      <c r="BU190" s="360"/>
      <c r="BV190" s="376"/>
      <c r="BW190" s="376"/>
      <c r="BX190" s="376"/>
      <c r="BY190" s="376"/>
      <c r="BZ190" s="376"/>
      <c r="CA190" s="376"/>
      <c r="CB190" s="376"/>
      <c r="CC190" s="376"/>
      <c r="CD190" s="376"/>
      <c r="CE190" s="376"/>
      <c r="CF190" s="362">
        <f>SUM(Table14[[#This Row],[Jan-25]:[Dec-25]])</f>
        <v>0</v>
      </c>
      <c r="CG190" s="376"/>
      <c r="CH190" s="376"/>
      <c r="CI190" s="376"/>
      <c r="CJ190" s="414">
        <f>SUM(Table14[[#This Row],[Jan-26]:[Mar-26]])</f>
        <v>0</v>
      </c>
      <c r="CK190" s="531">
        <f>IFERROR(SUM(Table14[[#This Row],[Oct-25]:[Dec-25]],Table14[[#This Row],[Jan-26]:[Mar-26]])/COUNT(Table14[[#This Row],[Oct-25]:[Dec-25]],Table14[[#This Row],[Jan-26]:[Mar-26]]),0)</f>
        <v>0</v>
      </c>
      <c r="CL190" s="367"/>
      <c r="CM190" s="414">
        <f>Table14[[#This Row],[YTD 2024]]+Table14[[#This Row],[YTD 2025]]+Table14[[#This Row],[YTD 2026]]</f>
        <v>0</v>
      </c>
      <c r="CN190" s="418"/>
      <c r="CO190" s="486" t="e">
        <f t="shared" si="26"/>
        <v>#DIV/0!</v>
      </c>
      <c r="CP190" s="490"/>
      <c r="CQ190" s="489" t="e">
        <f>Table14[[#This Row],[Avg reagent Sales per month Actual]]-Table14[[#This Row],[Per Month Reagent Commitment]]</f>
        <v>#DIV/0!</v>
      </c>
      <c r="CR190" s="373"/>
      <c r="CS190" s="367" t="e">
        <f>Table14[[#This Row],[On Track / (behind) (avg per month)]]/Table14[[#This Row],[Months]]</f>
        <v>#DIV/0!</v>
      </c>
      <c r="CT190" s="491"/>
      <c r="CU190" s="367">
        <f>Table14[[#This Row],[Total Reagent Sales till date Actual]]*Table14[[#This Row],[Margin %]]</f>
        <v>0</v>
      </c>
      <c r="CV190" s="371">
        <f t="shared" si="27"/>
        <v>0</v>
      </c>
      <c r="CX190" s="1"/>
      <c r="CZ190" s="135"/>
      <c r="DA190" s="1"/>
    </row>
    <row r="191" spans="1:105" ht="15" customHeight="1" x14ac:dyDescent="0.3">
      <c r="A191" s="399" t="s">
        <v>438</v>
      </c>
      <c r="B191" s="629" t="s">
        <v>345</v>
      </c>
      <c r="C191" s="399" t="s">
        <v>21</v>
      </c>
      <c r="D191" s="415" t="s">
        <v>485</v>
      </c>
      <c r="E191" s="403">
        <v>15002760</v>
      </c>
      <c r="F191" s="403" t="s">
        <v>298</v>
      </c>
      <c r="G191" s="682">
        <v>3002000121</v>
      </c>
      <c r="H191" s="666"/>
      <c r="I191" s="682">
        <v>30006374</v>
      </c>
      <c r="J191" s="417"/>
      <c r="K191" s="417"/>
      <c r="L191" s="417" t="s">
        <v>1332</v>
      </c>
      <c r="M191" s="417"/>
      <c r="N191" s="417"/>
      <c r="O191" s="418" t="s">
        <v>304</v>
      </c>
      <c r="P191" s="418" t="s">
        <v>17</v>
      </c>
      <c r="Q191" s="403" t="s">
        <v>987</v>
      </c>
      <c r="R191" s="399">
        <v>3020001086</v>
      </c>
      <c r="S191" s="419" t="s">
        <v>146</v>
      </c>
      <c r="T191" s="403"/>
      <c r="U191" s="426"/>
      <c r="V191" s="403"/>
      <c r="W191" s="399"/>
      <c r="X191" s="399"/>
      <c r="Y191" s="399"/>
      <c r="Z191" s="486">
        <v>14446400</v>
      </c>
      <c r="AA191" s="418">
        <v>28</v>
      </c>
      <c r="AB191" s="486">
        <v>855600</v>
      </c>
      <c r="AC191" s="409"/>
      <c r="AD191" s="410"/>
      <c r="AE191" s="399"/>
      <c r="AF191" s="399"/>
      <c r="AG191" s="399"/>
      <c r="AH191" s="399"/>
      <c r="AI191" s="403"/>
      <c r="AJ191" s="403"/>
      <c r="AK191" s="403"/>
      <c r="AL191" s="403"/>
      <c r="AM191" s="420"/>
      <c r="AN191" s="420"/>
      <c r="AO191" s="403"/>
      <c r="AP191" s="403"/>
      <c r="AQ191" s="403"/>
      <c r="AR191" s="403"/>
      <c r="AS191" s="403"/>
      <c r="AT191" s="403"/>
      <c r="AU191" s="399"/>
      <c r="AV191" s="420"/>
      <c r="AW191" s="420"/>
      <c r="AX191" s="420"/>
      <c r="AY191" s="420"/>
      <c r="AZ191" s="420"/>
      <c r="BA191" s="370"/>
      <c r="BB191" s="358"/>
      <c r="BC191" s="595"/>
      <c r="BD191" s="597" t="s">
        <v>1695</v>
      </c>
      <c r="BE191" s="358">
        <v>1</v>
      </c>
      <c r="BF191" s="419" t="s">
        <v>315</v>
      </c>
      <c r="BG191" s="370"/>
      <c r="BH191" s="370"/>
      <c r="BI191" s="370"/>
      <c r="BJ191" s="370"/>
      <c r="BK191" s="487"/>
      <c r="BL191" s="488"/>
      <c r="BM191" s="358"/>
      <c r="BN191" s="358"/>
      <c r="BO191" s="370"/>
      <c r="BP191" s="487"/>
      <c r="BQ191" s="487"/>
      <c r="BR191" s="487"/>
      <c r="BS191" s="362">
        <f>SUM(Table14[[#This Row],[Jan-24]:[Dec-24]])</f>
        <v>0</v>
      </c>
      <c r="BT191" s="360"/>
      <c r="BU191" s="360"/>
      <c r="BV191" s="376"/>
      <c r="BW191" s="376"/>
      <c r="BX191" s="376"/>
      <c r="BY191" s="376"/>
      <c r="BZ191" s="376"/>
      <c r="CA191" s="376">
        <v>443000</v>
      </c>
      <c r="CB191" s="376"/>
      <c r="CC191" s="376"/>
      <c r="CD191" s="376"/>
      <c r="CE191" s="376"/>
      <c r="CF191" s="362">
        <f>SUM(Table14[[#This Row],[Jan-25]:[Dec-25]])</f>
        <v>443000</v>
      </c>
      <c r="CG191" s="376">
        <v>556000</v>
      </c>
      <c r="CH191" s="376"/>
      <c r="CI191" s="376"/>
      <c r="CJ191" s="414">
        <f>SUM(Table14[[#This Row],[Jan-26]:[Mar-26]])</f>
        <v>556000</v>
      </c>
      <c r="CK191" s="531">
        <f>IFERROR(SUM(Table14[[#This Row],[Oct-25]:[Dec-25]],Table14[[#This Row],[Jan-26]:[Mar-26]])/COUNT(Table14[[#This Row],[Oct-25]:[Dec-25]],Table14[[#This Row],[Jan-26]:[Mar-26]]),0)</f>
        <v>556000</v>
      </c>
      <c r="CL191" s="367"/>
      <c r="CM191" s="414">
        <f>Table14[[#This Row],[YTD 2024]]+Table14[[#This Row],[YTD 2025]]+Table14[[#This Row],[YTD 2026]]</f>
        <v>999000</v>
      </c>
      <c r="CN191" s="418">
        <v>9</v>
      </c>
      <c r="CO191" s="486">
        <f t="shared" si="26"/>
        <v>111000</v>
      </c>
      <c r="CP191" s="353">
        <f>Table14[[#This Row],[Unit Cost]]-Table14[[#This Row],[Margin on Reagent sale]]</f>
        <v>14446400</v>
      </c>
      <c r="CQ191" s="489">
        <f>Table14[[#This Row],[Avg reagent Sales per month Actual]]-Table14[[#This Row],[Per Month Reagent Commitment]]</f>
        <v>-744600</v>
      </c>
      <c r="CR191" s="373"/>
      <c r="CS191" s="367">
        <f>Table14[[#This Row],[On Track / (behind) (avg per month)]]/Table14[[#This Row],[Months]]</f>
        <v>-82733.333333333328</v>
      </c>
      <c r="CT191" s="491"/>
      <c r="CU191" s="367">
        <f>Table14[[#This Row],[Total Reagent Sales till date Actual]]*Table14[[#This Row],[Margin %]]</f>
        <v>0</v>
      </c>
      <c r="CV191" s="371">
        <f t="shared" si="27"/>
        <v>0</v>
      </c>
      <c r="CX191" s="1"/>
      <c r="CZ191" s="135"/>
      <c r="DA191" s="1"/>
    </row>
    <row r="192" spans="1:105" ht="15" customHeight="1" x14ac:dyDescent="0.3">
      <c r="A192" s="399" t="s">
        <v>1339</v>
      </c>
      <c r="B192" s="630" t="s">
        <v>345</v>
      </c>
      <c r="C192" s="399" t="s">
        <v>21</v>
      </c>
      <c r="D192" s="415" t="s">
        <v>485</v>
      </c>
      <c r="E192" s="403">
        <v>15002760</v>
      </c>
      <c r="F192" s="403" t="s">
        <v>298</v>
      </c>
      <c r="G192" s="449"/>
      <c r="H192" s="666"/>
      <c r="I192" s="416"/>
      <c r="J192" s="417"/>
      <c r="K192" s="417"/>
      <c r="L192" s="417" t="s">
        <v>1340</v>
      </c>
      <c r="M192" s="417"/>
      <c r="N192" s="417"/>
      <c r="O192" s="418" t="s">
        <v>348</v>
      </c>
      <c r="P192" s="418" t="s">
        <v>17</v>
      </c>
      <c r="Q192" s="403" t="s">
        <v>1341</v>
      </c>
      <c r="R192" s="399"/>
      <c r="S192" s="419" t="s">
        <v>184</v>
      </c>
      <c r="T192" s="403"/>
      <c r="U192" s="426"/>
      <c r="V192" s="403"/>
      <c r="W192" s="399"/>
      <c r="X192" s="399"/>
      <c r="Y192" s="399"/>
      <c r="Z192" s="486">
        <v>7635000</v>
      </c>
      <c r="AA192" s="418">
        <v>36</v>
      </c>
      <c r="AB192" s="486">
        <v>656506</v>
      </c>
      <c r="AC192" s="409"/>
      <c r="AD192" s="410"/>
      <c r="AE192" s="399"/>
      <c r="AF192" s="399"/>
      <c r="AG192" s="399"/>
      <c r="AH192" s="399"/>
      <c r="AI192" s="403"/>
      <c r="AJ192" s="403"/>
      <c r="AK192" s="403"/>
      <c r="AL192" s="403"/>
      <c r="AM192" s="420"/>
      <c r="AN192" s="420"/>
      <c r="AO192" s="403"/>
      <c r="AP192" s="403"/>
      <c r="AQ192" s="403"/>
      <c r="AR192" s="403"/>
      <c r="AS192" s="403"/>
      <c r="AT192" s="403"/>
      <c r="AU192" s="399"/>
      <c r="AV192" s="420"/>
      <c r="AW192" s="420"/>
      <c r="AX192" s="420"/>
      <c r="AY192" s="420"/>
      <c r="AZ192" s="420"/>
      <c r="BA192" s="370"/>
      <c r="BB192" s="358"/>
      <c r="BC192" s="415" t="s">
        <v>1511</v>
      </c>
      <c r="BD192" s="415"/>
      <c r="BE192" s="358"/>
      <c r="BF192" s="419" t="s">
        <v>1342</v>
      </c>
      <c r="BG192" s="370"/>
      <c r="BH192" s="370"/>
      <c r="BI192" s="370"/>
      <c r="BJ192" s="370"/>
      <c r="BK192" s="487"/>
      <c r="BL192" s="488"/>
      <c r="BM192" s="358"/>
      <c r="BN192" s="358"/>
      <c r="BO192" s="370"/>
      <c r="BP192" s="487"/>
      <c r="BQ192" s="487"/>
      <c r="BR192" s="487"/>
      <c r="BS192" s="362">
        <f>SUM(Table14[[#This Row],[Jan-24]:[Dec-24]])</f>
        <v>0</v>
      </c>
      <c r="BT192" s="360"/>
      <c r="BU192" s="360"/>
      <c r="BV192" s="376"/>
      <c r="BW192" s="376"/>
      <c r="BX192" s="376"/>
      <c r="BY192" s="376"/>
      <c r="BZ192" s="376"/>
      <c r="CA192" s="376"/>
      <c r="CB192" s="376"/>
      <c r="CC192" s="376"/>
      <c r="CD192" s="376"/>
      <c r="CE192" s="376"/>
      <c r="CF192" s="362">
        <f>SUM(Table14[[#This Row],[Jan-25]:[Dec-25]])</f>
        <v>0</v>
      </c>
      <c r="CG192" s="376"/>
      <c r="CH192" s="376"/>
      <c r="CI192" s="376"/>
      <c r="CJ192" s="414">
        <f>SUM(Table14[[#This Row],[Jan-26]:[Mar-26]])</f>
        <v>0</v>
      </c>
      <c r="CK192" s="531">
        <f>IFERROR(SUM(Table14[[#This Row],[Oct-25]:[Dec-25]],Table14[[#This Row],[Jan-26]:[Mar-26]])/COUNT(Table14[[#This Row],[Oct-25]:[Dec-25]],Table14[[#This Row],[Jan-26]:[Mar-26]]),0)</f>
        <v>0</v>
      </c>
      <c r="CL192" s="367"/>
      <c r="CM192" s="414">
        <f>Table14[[#This Row],[YTD 2024]]+Table14[[#This Row],[YTD 2025]]+Table14[[#This Row],[YTD 2026]]</f>
        <v>0</v>
      </c>
      <c r="CN192" s="418"/>
      <c r="CO192" s="486" t="e">
        <f t="shared" si="26"/>
        <v>#DIV/0!</v>
      </c>
      <c r="CP192" s="490"/>
      <c r="CQ192" s="489" t="e">
        <f>Table14[[#This Row],[Avg reagent Sales per month Actual]]-Table14[[#This Row],[Per Month Reagent Commitment]]</f>
        <v>#DIV/0!</v>
      </c>
      <c r="CR192" s="373"/>
      <c r="CS192" s="367" t="e">
        <f>Table14[[#This Row],[On Track / (behind) (avg per month)]]/Table14[[#This Row],[Months]]</f>
        <v>#DIV/0!</v>
      </c>
      <c r="CT192" s="491"/>
      <c r="CU192" s="367">
        <f>Table14[[#This Row],[Total Reagent Sales till date Actual]]*Table14[[#This Row],[Margin %]]</f>
        <v>0</v>
      </c>
      <c r="CV192" s="371">
        <f t="shared" si="27"/>
        <v>0</v>
      </c>
      <c r="CX192" s="1"/>
      <c r="CZ192" s="135"/>
      <c r="DA192" s="1"/>
    </row>
    <row r="193" spans="1:105" ht="15" customHeight="1" x14ac:dyDescent="0.3">
      <c r="A193" s="399" t="s">
        <v>693</v>
      </c>
      <c r="B193" s="630" t="s">
        <v>345</v>
      </c>
      <c r="C193" s="399" t="s">
        <v>21</v>
      </c>
      <c r="D193" s="415" t="s">
        <v>485</v>
      </c>
      <c r="E193" s="403">
        <v>15002760</v>
      </c>
      <c r="F193" s="403" t="s">
        <v>298</v>
      </c>
      <c r="G193" s="449"/>
      <c r="H193" s="666"/>
      <c r="I193" s="416"/>
      <c r="J193" s="417"/>
      <c r="K193" s="417"/>
      <c r="L193" s="417" t="s">
        <v>1343</v>
      </c>
      <c r="M193" s="417"/>
      <c r="N193" s="417"/>
      <c r="O193" s="418" t="s">
        <v>348</v>
      </c>
      <c r="P193" s="418" t="s">
        <v>15</v>
      </c>
      <c r="Q193" s="403" t="s">
        <v>305</v>
      </c>
      <c r="R193" s="399"/>
      <c r="S193" s="419" t="s">
        <v>180</v>
      </c>
      <c r="T193" s="403"/>
      <c r="U193" s="426"/>
      <c r="V193" s="403"/>
      <c r="W193" s="399"/>
      <c r="X193" s="399"/>
      <c r="Y193" s="399"/>
      <c r="Z193" s="486">
        <v>8085000</v>
      </c>
      <c r="AA193" s="418">
        <v>36</v>
      </c>
      <c r="AB193" s="486">
        <v>598711</v>
      </c>
      <c r="AC193" s="409"/>
      <c r="AD193" s="410"/>
      <c r="AE193" s="399"/>
      <c r="AF193" s="399"/>
      <c r="AG193" s="399"/>
      <c r="AH193" s="399"/>
      <c r="AI193" s="403"/>
      <c r="AJ193" s="403"/>
      <c r="AK193" s="403"/>
      <c r="AL193" s="403"/>
      <c r="AM193" s="420"/>
      <c r="AN193" s="420"/>
      <c r="AO193" s="403"/>
      <c r="AP193" s="403"/>
      <c r="AQ193" s="403"/>
      <c r="AR193" s="403"/>
      <c r="AS193" s="403"/>
      <c r="AT193" s="403"/>
      <c r="AU193" s="399"/>
      <c r="AV193" s="420"/>
      <c r="AW193" s="420"/>
      <c r="AX193" s="420"/>
      <c r="AY193" s="420"/>
      <c r="AZ193" s="420"/>
      <c r="BA193" s="370"/>
      <c r="BB193" s="358"/>
      <c r="BC193" s="595"/>
      <c r="BD193" s="595"/>
      <c r="BE193" s="358"/>
      <c r="BF193" s="419" t="s">
        <v>1222</v>
      </c>
      <c r="BG193" s="370"/>
      <c r="BH193" s="370"/>
      <c r="BI193" s="370"/>
      <c r="BJ193" s="370"/>
      <c r="BK193" s="487"/>
      <c r="BL193" s="488"/>
      <c r="BM193" s="358"/>
      <c r="BN193" s="358"/>
      <c r="BO193" s="370"/>
      <c r="BP193" s="487"/>
      <c r="BQ193" s="487"/>
      <c r="BR193" s="487"/>
      <c r="BS193" s="362">
        <f>SUM(Table14[[#This Row],[Jan-24]:[Dec-24]])</f>
        <v>0</v>
      </c>
      <c r="BT193" s="360"/>
      <c r="BU193" s="360"/>
      <c r="BV193" s="376"/>
      <c r="BW193" s="376"/>
      <c r="BX193" s="376"/>
      <c r="BY193" s="376"/>
      <c r="BZ193" s="376"/>
      <c r="CA193" s="376"/>
      <c r="CB193" s="376"/>
      <c r="CC193" s="376"/>
      <c r="CD193" s="376"/>
      <c r="CE193" s="376"/>
      <c r="CF193" s="362">
        <f>SUM(Table14[[#This Row],[Jan-25]:[Dec-25]])</f>
        <v>0</v>
      </c>
      <c r="CG193" s="376"/>
      <c r="CH193" s="376"/>
      <c r="CI193" s="376"/>
      <c r="CJ193" s="414">
        <f>SUM(Table14[[#This Row],[Jan-26]:[Mar-26]])</f>
        <v>0</v>
      </c>
      <c r="CK193" s="531">
        <f>IFERROR(SUM(Table14[[#This Row],[Oct-25]:[Dec-25]],Table14[[#This Row],[Jan-26]:[Mar-26]])/COUNT(Table14[[#This Row],[Oct-25]:[Dec-25]],Table14[[#This Row],[Jan-26]:[Mar-26]]),0)</f>
        <v>0</v>
      </c>
      <c r="CL193" s="367"/>
      <c r="CM193" s="414">
        <f>Table14[[#This Row],[YTD 2024]]+Table14[[#This Row],[YTD 2025]]+Table14[[#This Row],[YTD 2026]]</f>
        <v>0</v>
      </c>
      <c r="CN193" s="418"/>
      <c r="CO193" s="486" t="e">
        <f t="shared" si="26"/>
        <v>#DIV/0!</v>
      </c>
      <c r="CP193" s="490"/>
      <c r="CQ193" s="489" t="e">
        <f>Table14[[#This Row],[Avg reagent Sales per month Actual]]-Table14[[#This Row],[Per Month Reagent Commitment]]</f>
        <v>#DIV/0!</v>
      </c>
      <c r="CR193" s="373"/>
      <c r="CS193" s="367" t="e">
        <f>Table14[[#This Row],[On Track / (behind) (avg per month)]]/Table14[[#This Row],[Months]]</f>
        <v>#DIV/0!</v>
      </c>
      <c r="CT193" s="491"/>
      <c r="CU193" s="367">
        <f>Table14[[#This Row],[Total Reagent Sales till date Actual]]*Table14[[#This Row],[Margin %]]</f>
        <v>0</v>
      </c>
      <c r="CV193" s="371">
        <f t="shared" si="27"/>
        <v>0</v>
      </c>
      <c r="CX193" s="1"/>
      <c r="CZ193" s="135"/>
      <c r="DA193" s="1"/>
    </row>
    <row r="194" spans="1:105" ht="15" customHeight="1" x14ac:dyDescent="0.3">
      <c r="A194" s="399" t="s">
        <v>423</v>
      </c>
      <c r="B194" s="630" t="s">
        <v>297</v>
      </c>
      <c r="C194" s="399" t="s">
        <v>22</v>
      </c>
      <c r="D194" s="682" t="s">
        <v>1627</v>
      </c>
      <c r="E194" s="682">
        <v>15001967</v>
      </c>
      <c r="F194" s="403" t="s">
        <v>392</v>
      </c>
      <c r="G194" s="682" t="s">
        <v>1626</v>
      </c>
      <c r="H194" s="425"/>
      <c r="I194" s="450">
        <v>128455</v>
      </c>
      <c r="J194" s="417"/>
      <c r="K194" s="417"/>
      <c r="L194" s="417"/>
      <c r="M194" s="417"/>
      <c r="N194" s="417"/>
      <c r="O194" s="418" t="s">
        <v>858</v>
      </c>
      <c r="P194" s="418" t="s">
        <v>16</v>
      </c>
      <c r="Q194" s="403" t="s">
        <v>1344</v>
      </c>
      <c r="R194" s="467">
        <v>3020000896</v>
      </c>
      <c r="S194" s="403" t="s">
        <v>174</v>
      </c>
      <c r="T194" s="403"/>
      <c r="U194" s="426"/>
      <c r="V194" s="403"/>
      <c r="W194" s="399"/>
      <c r="X194" s="399"/>
      <c r="Y194" s="399"/>
      <c r="Z194" s="353">
        <v>3382372</v>
      </c>
      <c r="AA194" s="418">
        <v>36</v>
      </c>
      <c r="AB194" s="353">
        <v>421334</v>
      </c>
      <c r="AC194" s="409"/>
      <c r="AD194" s="410"/>
      <c r="AE194" s="431"/>
      <c r="AF194" s="399"/>
      <c r="AG194" s="399"/>
      <c r="AH194" s="399"/>
      <c r="AI194" s="432"/>
      <c r="AJ194" s="403"/>
      <c r="AK194" s="432"/>
      <c r="AL194" s="432"/>
      <c r="AM194" s="422"/>
      <c r="AN194" s="422"/>
      <c r="AO194" s="403"/>
      <c r="AP194" s="403"/>
      <c r="AQ194" s="403"/>
      <c r="AR194" s="403"/>
      <c r="AS194" s="403"/>
      <c r="AT194" s="403"/>
      <c r="AU194" s="431"/>
      <c r="AV194" s="420"/>
      <c r="AW194" s="422"/>
      <c r="AX194" s="422"/>
      <c r="AY194" s="420"/>
      <c r="AZ194" s="420"/>
      <c r="BA194" s="370"/>
      <c r="BB194" s="363"/>
      <c r="BC194" s="595" t="s">
        <v>1493</v>
      </c>
      <c r="BD194" s="595" t="s">
        <v>1493</v>
      </c>
      <c r="BE194" s="358">
        <v>1</v>
      </c>
      <c r="BF194" s="419" t="s">
        <v>315</v>
      </c>
      <c r="BG194" s="377"/>
      <c r="BH194" s="377"/>
      <c r="BI194" s="377"/>
      <c r="BJ194" s="377"/>
      <c r="BK194" s="377"/>
      <c r="BL194" s="394"/>
      <c r="BM194" s="363"/>
      <c r="BN194" s="363"/>
      <c r="BO194" s="377"/>
      <c r="BP194" s="370"/>
      <c r="BQ194" s="370"/>
      <c r="BR194" s="370"/>
      <c r="BS194" s="362">
        <f>SUM(Table14[[#This Row],[Jan-24]:[Dec-24]])</f>
        <v>0</v>
      </c>
      <c r="BT194" s="362"/>
      <c r="BU194" s="360"/>
      <c r="BV194" s="376"/>
      <c r="BW194" s="376"/>
      <c r="BX194" s="376"/>
      <c r="BY194" s="376"/>
      <c r="BZ194" s="376"/>
      <c r="CA194" s="376"/>
      <c r="CB194" s="376"/>
      <c r="CC194" s="376"/>
      <c r="CD194" s="376"/>
      <c r="CE194" s="414">
        <v>1525424</v>
      </c>
      <c r="CF194" s="362">
        <f>SUM(Table14[[#This Row],[Jan-25]:[Dec-25]])</f>
        <v>1525424</v>
      </c>
      <c r="CG194" s="376"/>
      <c r="CH194" s="414">
        <v>3050848</v>
      </c>
      <c r="CI194" s="414">
        <v>0</v>
      </c>
      <c r="CJ194" s="414">
        <f>SUM(Table14[[#This Row],[Jan-26]:[Mar-26]])</f>
        <v>3050848</v>
      </c>
      <c r="CK194" s="531">
        <f>IFERROR(SUM(Table14[[#This Row],[Oct-25]:[Dec-25]],Table14[[#This Row],[Jan-26]:[Mar-26]])/COUNT(Table14[[#This Row],[Oct-25]:[Dec-25]],Table14[[#This Row],[Jan-26]:[Mar-26]]),0)</f>
        <v>1525424</v>
      </c>
      <c r="CL194" s="378"/>
      <c r="CM194" s="414">
        <f>Table14[[#This Row],[YTD 2024]]+Table14[[#This Row],[YTD 2025]]+Table14[[#This Row],[YTD 2026]]</f>
        <v>4576272</v>
      </c>
      <c r="CN194" s="418"/>
      <c r="CO194" s="353" t="e">
        <f t="shared" si="26"/>
        <v>#DIV/0!</v>
      </c>
      <c r="CP194" s="351"/>
      <c r="CQ194" s="367" t="e">
        <f>Table14[[#This Row],[Avg reagent Sales per month Actual]]-Table14[[#This Row],[Per Month Reagent Commitment]]</f>
        <v>#DIV/0!</v>
      </c>
      <c r="CR194" s="373" t="s">
        <v>1639</v>
      </c>
      <c r="CS194" s="367" t="e">
        <f>Table14[[#This Row],[On Track / (behind) (avg per month)]]/Table14[[#This Row],[Months]]</f>
        <v>#DIV/0!</v>
      </c>
      <c r="CT194" s="399"/>
      <c r="CU194" s="367">
        <f>Table14[[#This Row],[Total Reagent Sales till date Actual]]*Table14[[#This Row],[Margin %]]</f>
        <v>0</v>
      </c>
      <c r="CV194" s="371">
        <f t="shared" si="27"/>
        <v>0</v>
      </c>
      <c r="CX194" s="1"/>
      <c r="CZ194" s="135"/>
      <c r="DA194" s="1"/>
    </row>
    <row r="195" spans="1:105" ht="15" customHeight="1" x14ac:dyDescent="0.3">
      <c r="A195" s="399" t="s">
        <v>296</v>
      </c>
      <c r="B195" s="630" t="s">
        <v>297</v>
      </c>
      <c r="C195" s="399" t="s">
        <v>22</v>
      </c>
      <c r="D195" s="415" t="s">
        <v>1345</v>
      </c>
      <c r="E195" s="403"/>
      <c r="F195" s="403" t="s">
        <v>397</v>
      </c>
      <c r="G195" s="449"/>
      <c r="H195" s="666"/>
      <c r="I195" s="416"/>
      <c r="J195" s="417"/>
      <c r="K195" s="417"/>
      <c r="L195" s="417" t="s">
        <v>591</v>
      </c>
      <c r="M195" s="417"/>
      <c r="N195" s="417"/>
      <c r="O195" s="418" t="s">
        <v>304</v>
      </c>
      <c r="P195" s="418" t="s">
        <v>15</v>
      </c>
      <c r="Q195" s="403" t="s">
        <v>1346</v>
      </c>
      <c r="R195" s="399">
        <v>3020000379</v>
      </c>
      <c r="S195" s="419" t="s">
        <v>1700</v>
      </c>
      <c r="T195" s="403"/>
      <c r="U195" s="426"/>
      <c r="V195" s="403"/>
      <c r="W195" s="399"/>
      <c r="X195" s="399"/>
      <c r="Y195" s="399"/>
      <c r="Z195" s="486">
        <v>1960000</v>
      </c>
      <c r="AA195" s="418">
        <v>36</v>
      </c>
      <c r="AB195" s="486">
        <v>175449</v>
      </c>
      <c r="AC195" s="409"/>
      <c r="AD195" s="410"/>
      <c r="AE195" s="399"/>
      <c r="AF195" s="399"/>
      <c r="AG195" s="399"/>
      <c r="AH195" s="399"/>
      <c r="AI195" s="403"/>
      <c r="AJ195" s="403"/>
      <c r="AK195" s="403"/>
      <c r="AL195" s="403"/>
      <c r="AM195" s="420"/>
      <c r="AN195" s="420"/>
      <c r="AO195" s="403"/>
      <c r="AP195" s="403"/>
      <c r="AQ195" s="403"/>
      <c r="AR195" s="403"/>
      <c r="AS195" s="403"/>
      <c r="AT195" s="403"/>
      <c r="AU195" s="399"/>
      <c r="AV195" s="420"/>
      <c r="AW195" s="420"/>
      <c r="AX195" s="420"/>
      <c r="AY195" s="420"/>
      <c r="AZ195" s="420"/>
      <c r="BA195" s="370"/>
      <c r="BB195" s="358"/>
      <c r="BC195" s="595" t="s">
        <v>1497</v>
      </c>
      <c r="BD195" s="595" t="s">
        <v>1536</v>
      </c>
      <c r="BE195" s="358"/>
      <c r="BF195" s="358" t="s">
        <v>315</v>
      </c>
      <c r="BG195" s="370"/>
      <c r="BH195" s="370"/>
      <c r="BI195" s="370"/>
      <c r="BJ195" s="370"/>
      <c r="BK195" s="487"/>
      <c r="BL195" s="488"/>
      <c r="BM195" s="358"/>
      <c r="BN195" s="358"/>
      <c r="BO195" s="370"/>
      <c r="BP195" s="487"/>
      <c r="BQ195" s="487"/>
      <c r="BR195" s="487"/>
      <c r="BS195" s="362">
        <f>SUM(Table14[[#This Row],[Jan-24]:[Dec-24]])</f>
        <v>0</v>
      </c>
      <c r="BT195" s="360"/>
      <c r="BU195" s="360"/>
      <c r="BV195" s="376"/>
      <c r="BW195" s="376"/>
      <c r="BX195" s="376"/>
      <c r="BY195" s="376"/>
      <c r="BZ195" s="376"/>
      <c r="CA195" s="376"/>
      <c r="CB195" s="376"/>
      <c r="CC195" s="376"/>
      <c r="CD195" s="370"/>
      <c r="CE195" s="370"/>
      <c r="CF195" s="362">
        <f>SUM(Table14[[#This Row],[Jan-25]:[Dec-25]])</f>
        <v>0</v>
      </c>
      <c r="CG195" s="370"/>
      <c r="CH195" s="370"/>
      <c r="CI195" s="370">
        <v>262500</v>
      </c>
      <c r="CJ195" s="414">
        <f>SUM(Table14[[#This Row],[Jan-26]:[Mar-26]])</f>
        <v>262500</v>
      </c>
      <c r="CK195" s="531">
        <f>IFERROR(SUM(Table14[[#This Row],[Oct-25]:[Dec-25]],Table14[[#This Row],[Jan-26]:[Mar-26]])/COUNT(Table14[[#This Row],[Oct-25]:[Dec-25]],Table14[[#This Row],[Jan-26]:[Mar-26]]),0)</f>
        <v>262500</v>
      </c>
      <c r="CL195" s="367"/>
      <c r="CM195" s="414">
        <f>Table14[[#This Row],[YTD 2024]]+Table14[[#This Row],[YTD 2025]]+Table14[[#This Row],[YTD 2026]]</f>
        <v>262500</v>
      </c>
      <c r="CN195" s="418">
        <v>1</v>
      </c>
      <c r="CO195" s="486">
        <f t="shared" si="26"/>
        <v>262500</v>
      </c>
      <c r="CP195" s="490"/>
      <c r="CQ195" s="489">
        <f>Table14[[#This Row],[Avg reagent Sales per month Actual]]-Table14[[#This Row],[Per Month Reagent Commitment]]</f>
        <v>87051</v>
      </c>
      <c r="CR195" s="373"/>
      <c r="CS195" s="367">
        <f>Table14[[#This Row],[On Track / (behind) (avg per month)]]/Table14[[#This Row],[Months]]</f>
        <v>87051</v>
      </c>
      <c r="CT195" s="491"/>
      <c r="CU195" s="367">
        <f>Table14[[#This Row],[Total Reagent Sales till date Actual]]*Table14[[#This Row],[Margin %]]</f>
        <v>0</v>
      </c>
      <c r="CV195" s="371">
        <f t="shared" si="27"/>
        <v>0</v>
      </c>
      <c r="CX195" s="1"/>
      <c r="CZ195" s="135"/>
      <c r="DA195" s="1"/>
    </row>
    <row r="196" spans="1:105" ht="15" customHeight="1" x14ac:dyDescent="0.3">
      <c r="A196" s="482" t="s">
        <v>296</v>
      </c>
      <c r="B196" s="630" t="s">
        <v>297</v>
      </c>
      <c r="C196" s="535" t="s">
        <v>49</v>
      </c>
      <c r="D196" s="555" t="s">
        <v>1244</v>
      </c>
      <c r="E196" s="403">
        <v>15000003</v>
      </c>
      <c r="F196" s="403" t="s">
        <v>317</v>
      </c>
      <c r="G196" s="449"/>
      <c r="H196" s="668"/>
      <c r="I196" s="404"/>
      <c r="J196" s="537"/>
      <c r="K196" s="405"/>
      <c r="L196" s="405" t="s">
        <v>1247</v>
      </c>
      <c r="M196" s="405"/>
      <c r="N196" s="405"/>
      <c r="O196" s="538" t="s">
        <v>400</v>
      </c>
      <c r="P196" s="538" t="s">
        <v>15</v>
      </c>
      <c r="Q196" s="535" t="s">
        <v>1250</v>
      </c>
      <c r="R196" s="706">
        <v>3020001511</v>
      </c>
      <c r="S196" s="548" t="s">
        <v>186</v>
      </c>
      <c r="T196" s="403"/>
      <c r="U196" s="403"/>
      <c r="V196" s="403"/>
      <c r="W196" s="399"/>
      <c r="X196" s="399"/>
      <c r="Y196" s="399"/>
      <c r="Z196" s="556">
        <v>477000</v>
      </c>
      <c r="AA196" s="551">
        <v>2</v>
      </c>
      <c r="AB196" s="556">
        <v>327855</v>
      </c>
      <c r="AC196" s="409"/>
      <c r="AD196" s="410"/>
      <c r="AE196" s="431"/>
      <c r="AF196" s="399"/>
      <c r="AG196" s="399"/>
      <c r="AH196" s="399"/>
      <c r="AI196" s="432"/>
      <c r="AJ196" s="403"/>
      <c r="AK196" s="432"/>
      <c r="AL196" s="432"/>
      <c r="AM196" s="431"/>
      <c r="AN196" s="431"/>
      <c r="AO196" s="403"/>
      <c r="AP196" s="403"/>
      <c r="AQ196" s="403"/>
      <c r="AR196" s="403"/>
      <c r="AS196" s="403"/>
      <c r="AT196" s="403"/>
      <c r="AU196" s="431"/>
      <c r="AV196" s="399"/>
      <c r="AW196" s="431"/>
      <c r="AX196" s="431"/>
      <c r="AY196" s="399"/>
      <c r="AZ196" s="399"/>
      <c r="BA196" s="399"/>
      <c r="BB196" s="409"/>
      <c r="BC196" s="599" t="s">
        <v>1503</v>
      </c>
      <c r="BD196" s="599" t="s">
        <v>1503</v>
      </c>
      <c r="BE196" s="358">
        <v>1</v>
      </c>
      <c r="BF196" s="555" t="s">
        <v>315</v>
      </c>
      <c r="BG196" s="378"/>
      <c r="BH196" s="378"/>
      <c r="BI196" s="378"/>
      <c r="BJ196" s="431"/>
      <c r="BK196" s="498"/>
      <c r="BL196" s="501"/>
      <c r="BM196" s="363"/>
      <c r="BN196" s="363"/>
      <c r="BO196" s="431"/>
      <c r="BP196" s="489"/>
      <c r="BQ196" s="489"/>
      <c r="BR196" s="489"/>
      <c r="BS196" s="362">
        <f>SUM(Table14[[#This Row],[Jan-24]:[Dec-24]])</f>
        <v>0</v>
      </c>
      <c r="BT196" s="362"/>
      <c r="BU196" s="360"/>
      <c r="BV196" s="376"/>
      <c r="BW196" s="376"/>
      <c r="BX196" s="376"/>
      <c r="BY196" s="376"/>
      <c r="BZ196" s="376"/>
      <c r="CA196" s="376"/>
      <c r="CB196" s="376"/>
      <c r="CC196" s="376"/>
      <c r="CD196" s="376"/>
      <c r="CE196" s="557"/>
      <c r="CF196" s="362">
        <f>SUM(Table14[[#This Row],[Jan-25]:[Dec-25]])</f>
        <v>0</v>
      </c>
      <c r="CG196" s="557"/>
      <c r="CH196" s="557"/>
      <c r="CI196" s="414">
        <f>1050917/3</f>
        <v>350305.66666666669</v>
      </c>
      <c r="CJ196" s="414">
        <f>SUM(Table14[[#This Row],[Jan-26]:[Mar-26]])</f>
        <v>350305.66666666669</v>
      </c>
      <c r="CK196" s="531">
        <f>IFERROR(SUM(Table14[[#This Row],[Oct-25]:[Dec-25]],Table14[[#This Row],[Jan-26]:[Mar-26]])/COUNT(Table14[[#This Row],[Oct-25]:[Dec-25]],Table14[[#This Row],[Jan-26]:[Mar-26]]),0)</f>
        <v>350305.66666666669</v>
      </c>
      <c r="CL196" s="558"/>
      <c r="CM196" s="414">
        <f>Table14[[#This Row],[YTD 2024]]+Table14[[#This Row],[YTD 2025]]+Table14[[#This Row],[YTD 2026]]</f>
        <v>350305.66666666669</v>
      </c>
      <c r="CN196" s="551">
        <v>1</v>
      </c>
      <c r="CO196" s="556">
        <f t="shared" si="26"/>
        <v>350305.66666666669</v>
      </c>
      <c r="CP196" s="353">
        <f>Table14[[#This Row],[Unit Cost]]-Table14[[#This Row],[Margin on Reagent sale]]</f>
        <v>477000</v>
      </c>
      <c r="CQ196" s="559">
        <f>Table14[[#This Row],[Avg reagent Sales per month Actual]]-Table14[[#This Row],[Per Month Reagent Commitment]]</f>
        <v>22450.666666666686</v>
      </c>
      <c r="CR196" s="548"/>
      <c r="CS196" s="547">
        <f>Table14[[#This Row],[On Track / (behind) (avg per month)]]/Table14[[#This Row],[Months]]</f>
        <v>22450.666666666686</v>
      </c>
      <c r="CT196" s="560"/>
      <c r="CU196" s="547">
        <f>Table14[[#This Row],[Total Reagent Sales till date Actual]]*Table14[[#This Row],[Margin %]]</f>
        <v>0</v>
      </c>
      <c r="CV196" s="539">
        <f t="shared" si="27"/>
        <v>0</v>
      </c>
      <c r="CX196" s="1"/>
      <c r="CZ196" s="135"/>
      <c r="DA196" s="1"/>
    </row>
    <row r="197" spans="1:105" ht="15" customHeight="1" x14ac:dyDescent="0.3">
      <c r="A197" s="484" t="s">
        <v>590</v>
      </c>
      <c r="B197" s="633" t="s">
        <v>297</v>
      </c>
      <c r="C197" s="561" t="s">
        <v>22</v>
      </c>
      <c r="D197" s="555" t="s">
        <v>33</v>
      </c>
      <c r="E197" s="403">
        <v>15001967</v>
      </c>
      <c r="F197" s="403" t="s">
        <v>397</v>
      </c>
      <c r="G197" s="675"/>
      <c r="H197" s="666"/>
      <c r="I197" s="416"/>
      <c r="J197" s="562" t="s">
        <v>591</v>
      </c>
      <c r="K197" s="417"/>
      <c r="L197" s="417" t="s">
        <v>591</v>
      </c>
      <c r="M197" s="418"/>
      <c r="N197" s="418"/>
      <c r="O197" s="551" t="s">
        <v>858</v>
      </c>
      <c r="P197" s="551" t="s">
        <v>16</v>
      </c>
      <c r="Q197" s="568" t="s">
        <v>187</v>
      </c>
      <c r="R197" s="561">
        <v>3020000393</v>
      </c>
      <c r="S197" s="568" t="s">
        <v>187</v>
      </c>
      <c r="T197" s="403"/>
      <c r="U197" s="426"/>
      <c r="V197" s="403"/>
      <c r="W197" s="399"/>
      <c r="X197" s="399"/>
      <c r="Y197" s="399"/>
      <c r="Z197" s="556">
        <v>1186483.33333333</v>
      </c>
      <c r="AA197" s="551">
        <v>25</v>
      </c>
      <c r="AB197" s="556">
        <v>108475</v>
      </c>
      <c r="AC197" s="409"/>
      <c r="AD197" s="410"/>
      <c r="AE197" s="399"/>
      <c r="AF197" s="399"/>
      <c r="AG197" s="399"/>
      <c r="AH197" s="399"/>
      <c r="AI197" s="403"/>
      <c r="AJ197" s="403"/>
      <c r="AK197" s="403"/>
      <c r="AL197" s="403"/>
      <c r="AM197" s="420"/>
      <c r="AN197" s="420"/>
      <c r="AO197" s="403"/>
      <c r="AP197" s="403"/>
      <c r="AQ197" s="403"/>
      <c r="AR197" s="403"/>
      <c r="AS197" s="403"/>
      <c r="AT197" s="403"/>
      <c r="AU197" s="399"/>
      <c r="AV197" s="420"/>
      <c r="AW197" s="420"/>
      <c r="AX197" s="420"/>
      <c r="AY197" s="420"/>
      <c r="AZ197" s="420"/>
      <c r="BA197" s="370"/>
      <c r="BB197" s="358"/>
      <c r="BC197" s="599" t="s">
        <v>1493</v>
      </c>
      <c r="BD197" s="599" t="s">
        <v>1493</v>
      </c>
      <c r="BE197" s="358"/>
      <c r="BF197" s="543" t="s">
        <v>315</v>
      </c>
      <c r="BG197" s="370"/>
      <c r="BH197" s="370"/>
      <c r="BI197" s="370"/>
      <c r="BJ197" s="370"/>
      <c r="BK197" s="487"/>
      <c r="BL197" s="488"/>
      <c r="BM197" s="358"/>
      <c r="BN197" s="358"/>
      <c r="BO197" s="370"/>
      <c r="BP197" s="487"/>
      <c r="BQ197" s="487"/>
      <c r="BR197" s="487"/>
      <c r="BS197" s="362">
        <f>SUM(Table14[[#This Row],[Jan-24]:[Dec-24]])</f>
        <v>0</v>
      </c>
      <c r="BT197" s="360"/>
      <c r="BU197" s="360"/>
      <c r="BV197" s="376"/>
      <c r="BW197" s="376"/>
      <c r="BX197" s="376"/>
      <c r="BY197" s="376"/>
      <c r="BZ197" s="376"/>
      <c r="CA197" s="376"/>
      <c r="CB197" s="376"/>
      <c r="CC197" s="376"/>
      <c r="CD197" s="370"/>
      <c r="CE197" s="572"/>
      <c r="CF197" s="362">
        <f>SUM(Table14[[#This Row],[Jan-25]:[Dec-25]])</f>
        <v>0</v>
      </c>
      <c r="CG197" s="572">
        <v>0</v>
      </c>
      <c r="CH197" s="572">
        <f>2100066.06/3</f>
        <v>700022.02</v>
      </c>
      <c r="CI197" s="414">
        <f>625357/3</f>
        <v>208452.33333333334</v>
      </c>
      <c r="CJ197" s="414">
        <f>SUM(Table14[[#This Row],[Jan-26]:[Mar-26]])</f>
        <v>908474.35333333339</v>
      </c>
      <c r="CK197" s="531">
        <f>IFERROR(SUM(Table14[[#This Row],[Oct-25]:[Dec-25]],Table14[[#This Row],[Jan-26]:[Mar-26]])/COUNT(Table14[[#This Row],[Oct-25]:[Dec-25]],Table14[[#This Row],[Jan-26]:[Mar-26]]),0)</f>
        <v>302824.78444444446</v>
      </c>
      <c r="CL197" s="547"/>
      <c r="CM197" s="414">
        <f>2725423/3</f>
        <v>908474.33333333337</v>
      </c>
      <c r="CN197" s="551">
        <v>2</v>
      </c>
      <c r="CO197" s="556">
        <f t="shared" si="26"/>
        <v>454237.16666666669</v>
      </c>
      <c r="CP197" s="569"/>
      <c r="CQ197" s="559">
        <f>Table14[[#This Row],[Avg reagent Sales per month Actual]]-Table14[[#This Row],[Per Month Reagent Commitment]]</f>
        <v>345762.16666666669</v>
      </c>
      <c r="CR197" s="570"/>
      <c r="CS197" s="547">
        <f>Table14[[#This Row],[On Track / (behind) (avg per month)]]/Table14[[#This Row],[Months]]</f>
        <v>172881.08333333334</v>
      </c>
      <c r="CT197" s="560"/>
      <c r="CU197" s="547">
        <f>Table14[[#This Row],[Total Reagent Sales till date Actual]]*Table14[[#This Row],[Margin %]]</f>
        <v>0</v>
      </c>
      <c r="CV197" s="571">
        <f t="shared" si="27"/>
        <v>0</v>
      </c>
      <c r="CX197" s="1"/>
      <c r="CZ197" s="135"/>
      <c r="DA197" s="1"/>
    </row>
    <row r="198" spans="1:105" ht="15" customHeight="1" x14ac:dyDescent="0.3">
      <c r="A198" s="484" t="s">
        <v>590</v>
      </c>
      <c r="B198" s="633" t="s">
        <v>297</v>
      </c>
      <c r="C198" s="561" t="s">
        <v>22</v>
      </c>
      <c r="D198" s="555" t="s">
        <v>33</v>
      </c>
      <c r="E198" s="403">
        <v>15001967</v>
      </c>
      <c r="F198" s="403" t="s">
        <v>397</v>
      </c>
      <c r="G198" s="675"/>
      <c r="H198" s="666"/>
      <c r="I198" s="416"/>
      <c r="J198" s="562" t="s">
        <v>591</v>
      </c>
      <c r="K198" s="417"/>
      <c r="L198" s="417" t="s">
        <v>591</v>
      </c>
      <c r="M198" s="418"/>
      <c r="N198" s="418"/>
      <c r="O198" s="551" t="s">
        <v>858</v>
      </c>
      <c r="P198" s="551" t="s">
        <v>16</v>
      </c>
      <c r="Q198" s="568" t="s">
        <v>187</v>
      </c>
      <c r="R198" s="561">
        <v>3020000393</v>
      </c>
      <c r="S198" s="568" t="s">
        <v>187</v>
      </c>
      <c r="T198" s="403"/>
      <c r="U198" s="426"/>
      <c r="V198" s="403"/>
      <c r="W198" s="399"/>
      <c r="X198" s="399"/>
      <c r="Y198" s="399"/>
      <c r="Z198" s="556">
        <v>1186483.33333333</v>
      </c>
      <c r="AA198" s="551">
        <v>25</v>
      </c>
      <c r="AB198" s="556">
        <v>108475</v>
      </c>
      <c r="AC198" s="409"/>
      <c r="AD198" s="410"/>
      <c r="AE198" s="399"/>
      <c r="AF198" s="399"/>
      <c r="AG198" s="399"/>
      <c r="AH198" s="399"/>
      <c r="AI198" s="403"/>
      <c r="AJ198" s="403"/>
      <c r="AK198" s="403"/>
      <c r="AL198" s="403"/>
      <c r="AM198" s="420"/>
      <c r="AN198" s="420"/>
      <c r="AO198" s="403"/>
      <c r="AP198" s="403"/>
      <c r="AQ198" s="403"/>
      <c r="AR198" s="403"/>
      <c r="AS198" s="403"/>
      <c r="AT198" s="403"/>
      <c r="AU198" s="399"/>
      <c r="AV198" s="420"/>
      <c r="AW198" s="420"/>
      <c r="AX198" s="420"/>
      <c r="AY198" s="420"/>
      <c r="AZ198" s="420"/>
      <c r="BA198" s="370"/>
      <c r="BB198" s="358"/>
      <c r="BC198" s="599" t="s">
        <v>1493</v>
      </c>
      <c r="BD198" s="599" t="s">
        <v>1493</v>
      </c>
      <c r="BE198" s="358"/>
      <c r="BF198" s="543" t="s">
        <v>315</v>
      </c>
      <c r="BG198" s="370"/>
      <c r="BH198" s="370"/>
      <c r="BI198" s="370"/>
      <c r="BJ198" s="370"/>
      <c r="BK198" s="487"/>
      <c r="BL198" s="488"/>
      <c r="BM198" s="358"/>
      <c r="BN198" s="358"/>
      <c r="BO198" s="370"/>
      <c r="BP198" s="487"/>
      <c r="BQ198" s="487"/>
      <c r="BR198" s="487"/>
      <c r="BS198" s="362">
        <f>SUM(Table14[[#This Row],[Jan-24]:[Dec-24]])</f>
        <v>0</v>
      </c>
      <c r="BT198" s="360"/>
      <c r="BU198" s="360"/>
      <c r="BV198" s="376"/>
      <c r="BW198" s="376"/>
      <c r="BX198" s="376"/>
      <c r="BY198" s="376"/>
      <c r="BZ198" s="376"/>
      <c r="CA198" s="376"/>
      <c r="CB198" s="376"/>
      <c r="CC198" s="376"/>
      <c r="CD198" s="370"/>
      <c r="CE198" s="572"/>
      <c r="CF198" s="362">
        <f>SUM(Table14[[#This Row],[Jan-25]:[Dec-25]])</f>
        <v>0</v>
      </c>
      <c r="CG198" s="572">
        <v>0</v>
      </c>
      <c r="CH198" s="572">
        <f>2100066.06/3</f>
        <v>700022.02</v>
      </c>
      <c r="CI198" s="414">
        <f>625357/3</f>
        <v>208452.33333333334</v>
      </c>
      <c r="CJ198" s="414">
        <f>SUM(Table14[[#This Row],[Jan-26]:[Mar-26]])</f>
        <v>908474.35333333339</v>
      </c>
      <c r="CK198" s="531">
        <f>IFERROR(SUM(Table14[[#This Row],[Oct-25]:[Dec-25]],Table14[[#This Row],[Jan-26]:[Mar-26]])/COUNT(Table14[[#This Row],[Oct-25]:[Dec-25]],Table14[[#This Row],[Jan-26]:[Mar-26]]),0)</f>
        <v>302824.78444444446</v>
      </c>
      <c r="CL198" s="547"/>
      <c r="CM198" s="414">
        <f>2725423/3</f>
        <v>908474.33333333337</v>
      </c>
      <c r="CN198" s="551">
        <v>2</v>
      </c>
      <c r="CO198" s="556">
        <f t="shared" ref="CO198:CO202" si="28">CM198/CN198</f>
        <v>454237.16666666669</v>
      </c>
      <c r="CP198" s="569"/>
      <c r="CQ198" s="559">
        <f>Table14[[#This Row],[Avg reagent Sales per month Actual]]-Table14[[#This Row],[Per Month Reagent Commitment]]</f>
        <v>345762.16666666669</v>
      </c>
      <c r="CR198" s="570"/>
      <c r="CS198" s="547">
        <f>Table14[[#This Row],[On Track / (behind) (avg per month)]]/Table14[[#This Row],[Months]]</f>
        <v>172881.08333333334</v>
      </c>
      <c r="CT198" s="560"/>
      <c r="CU198" s="547">
        <f>Table14[[#This Row],[Total Reagent Sales till date Actual]]*Table14[[#This Row],[Margin %]]</f>
        <v>0</v>
      </c>
      <c r="CV198" s="571">
        <f t="shared" si="27"/>
        <v>0</v>
      </c>
      <c r="CX198" s="1"/>
      <c r="CZ198" s="135"/>
      <c r="DA198" s="1"/>
    </row>
    <row r="199" spans="1:105" ht="15" customHeight="1" x14ac:dyDescent="0.3">
      <c r="A199" s="484"/>
      <c r="B199" s="633" t="s">
        <v>297</v>
      </c>
      <c r="C199" s="399" t="s">
        <v>24</v>
      </c>
      <c r="D199" s="415" t="s">
        <v>1337</v>
      </c>
      <c r="E199" s="403">
        <v>15002553</v>
      </c>
      <c r="F199" s="403" t="s">
        <v>298</v>
      </c>
      <c r="G199" s="416"/>
      <c r="H199" s="666"/>
      <c r="I199" s="416"/>
      <c r="J199" s="417"/>
      <c r="K199" s="417"/>
      <c r="L199" s="417" t="s">
        <v>1347</v>
      </c>
      <c r="M199" s="417"/>
      <c r="N199" s="417"/>
      <c r="O199" s="404" t="s">
        <v>304</v>
      </c>
      <c r="P199" s="418" t="s">
        <v>17</v>
      </c>
      <c r="Q199" s="399" t="s">
        <v>791</v>
      </c>
      <c r="R199" s="399">
        <v>3020000685</v>
      </c>
      <c r="S199" s="403" t="s">
        <v>188</v>
      </c>
      <c r="T199" s="403"/>
      <c r="U199" s="426"/>
      <c r="V199" s="403"/>
      <c r="W199" s="399"/>
      <c r="X199" s="399"/>
      <c r="Y199" s="399"/>
      <c r="Z199" s="486">
        <v>3047232</v>
      </c>
      <c r="AA199" s="418">
        <v>36</v>
      </c>
      <c r="AB199" s="486">
        <v>455552</v>
      </c>
      <c r="AC199" s="409"/>
      <c r="AD199" s="410"/>
      <c r="AE199" s="399"/>
      <c r="AF199" s="399"/>
      <c r="AG199" s="399"/>
      <c r="AH199" s="399"/>
      <c r="AI199" s="403"/>
      <c r="AJ199" s="403"/>
      <c r="AK199" s="403"/>
      <c r="AL199" s="403"/>
      <c r="AM199" s="420"/>
      <c r="AN199" s="420"/>
      <c r="AO199" s="403"/>
      <c r="AP199" s="403"/>
      <c r="AQ199" s="403"/>
      <c r="AR199" s="403"/>
      <c r="AS199" s="403"/>
      <c r="AT199" s="403"/>
      <c r="AU199" s="399"/>
      <c r="AV199" s="420"/>
      <c r="AW199" s="420"/>
      <c r="AX199" s="420"/>
      <c r="AY199" s="420"/>
      <c r="AZ199" s="420"/>
      <c r="BA199" s="370"/>
      <c r="BB199" s="358"/>
      <c r="BC199" s="595" t="s">
        <v>1544</v>
      </c>
      <c r="BD199" s="597" t="s">
        <v>1689</v>
      </c>
      <c r="BE199" s="358"/>
      <c r="BF199" s="358" t="s">
        <v>315</v>
      </c>
      <c r="BG199" s="370"/>
      <c r="BH199" s="370"/>
      <c r="BI199" s="370"/>
      <c r="BJ199" s="370"/>
      <c r="BK199" s="487"/>
      <c r="BL199" s="488"/>
      <c r="BM199" s="358"/>
      <c r="BN199" s="358"/>
      <c r="BO199" s="370"/>
      <c r="BP199" s="487"/>
      <c r="BQ199" s="487"/>
      <c r="BR199" s="487"/>
      <c r="BS199" s="362">
        <f>SUM(Table14[[#This Row],[Jan-24]:[Dec-24]])</f>
        <v>0</v>
      </c>
      <c r="BT199" s="360"/>
      <c r="BU199" s="360"/>
      <c r="BV199" s="376"/>
      <c r="BW199" s="376"/>
      <c r="BX199" s="376"/>
      <c r="BY199" s="376"/>
      <c r="BZ199" s="414">
        <v>402610</v>
      </c>
      <c r="CA199" s="414">
        <v>140000</v>
      </c>
      <c r="CB199" s="414">
        <v>109500</v>
      </c>
      <c r="CC199" s="376"/>
      <c r="CD199" s="414">
        <v>416420</v>
      </c>
      <c r="CE199" s="370"/>
      <c r="CF199" s="362">
        <f>SUM(Table14[[#This Row],[Jan-25]:[Dec-25]])</f>
        <v>1068530</v>
      </c>
      <c r="CG199" s="370"/>
      <c r="CH199" s="370"/>
      <c r="CI199" s="370"/>
      <c r="CJ199" s="414">
        <f>SUM(Table14[[#This Row],[Jan-26]:[Mar-26]])</f>
        <v>0</v>
      </c>
      <c r="CK199" s="531">
        <f>IFERROR(SUM(Table14[[#This Row],[Oct-25]:[Dec-25]],Table14[[#This Row],[Jan-26]:[Mar-26]])/COUNT(Table14[[#This Row],[Oct-25]:[Dec-25]],Table14[[#This Row],[Jan-26]:[Mar-26]]),0)</f>
        <v>416420</v>
      </c>
      <c r="CL199" s="367"/>
      <c r="CM199" s="414">
        <f>Table14[[#This Row],[YTD 2024]]+Table14[[#This Row],[YTD 2025]]+Table14[[#This Row],[YTD 2026]]</f>
        <v>1068530</v>
      </c>
      <c r="CN199" s="418">
        <v>9</v>
      </c>
      <c r="CO199" s="486">
        <f t="shared" si="28"/>
        <v>118725.55555555556</v>
      </c>
      <c r="CP199" s="490"/>
      <c r="CQ199" s="489">
        <f>Table14[[#This Row],[Avg reagent Sales per month Actual]]-Table14[[#This Row],[Per Month Reagent Commitment]]</f>
        <v>-336826.44444444444</v>
      </c>
      <c r="CR199" s="373"/>
      <c r="CS199" s="367">
        <f>Table14[[#This Row],[On Track / (behind) (avg per month)]]/Table14[[#This Row],[Months]]</f>
        <v>-37425.160493827163</v>
      </c>
      <c r="CT199" s="491"/>
      <c r="CU199" s="367">
        <f>Table14[[#This Row],[Total Reagent Sales till date Actual]]*Table14[[#This Row],[Margin %]]</f>
        <v>0</v>
      </c>
      <c r="CV199" s="371">
        <f t="shared" si="27"/>
        <v>0</v>
      </c>
      <c r="CX199" s="1"/>
      <c r="CZ199" s="135"/>
      <c r="DA199" s="1"/>
    </row>
    <row r="200" spans="1:105" ht="15" customHeight="1" x14ac:dyDescent="0.3">
      <c r="A200" s="484"/>
      <c r="B200" s="633" t="s">
        <v>345</v>
      </c>
      <c r="C200" s="399" t="s">
        <v>21</v>
      </c>
      <c r="D200" s="415" t="s">
        <v>485</v>
      </c>
      <c r="E200" s="403"/>
      <c r="F200" s="403" t="s">
        <v>298</v>
      </c>
      <c r="G200" s="416"/>
      <c r="H200" s="666"/>
      <c r="I200" s="416"/>
      <c r="J200" s="417"/>
      <c r="K200" s="417"/>
      <c r="L200" s="417" t="s">
        <v>1059</v>
      </c>
      <c r="M200" s="417"/>
      <c r="N200" s="417"/>
      <c r="O200" s="418" t="s">
        <v>858</v>
      </c>
      <c r="P200" s="418" t="s">
        <v>16</v>
      </c>
      <c r="Q200" s="403" t="s">
        <v>651</v>
      </c>
      <c r="R200" s="399">
        <v>3020000633</v>
      </c>
      <c r="S200" s="403" t="s">
        <v>138</v>
      </c>
      <c r="T200" s="403"/>
      <c r="U200" s="426"/>
      <c r="V200" s="403"/>
      <c r="W200" s="399"/>
      <c r="X200" s="399"/>
      <c r="Y200" s="399"/>
      <c r="Z200" s="353">
        <v>12513969</v>
      </c>
      <c r="AA200" s="418">
        <v>19</v>
      </c>
      <c r="AB200" s="353">
        <v>1442723.5</v>
      </c>
      <c r="AC200" s="409"/>
      <c r="AD200" s="410"/>
      <c r="AE200" s="399"/>
      <c r="AF200" s="399"/>
      <c r="AG200" s="399"/>
      <c r="AH200" s="399"/>
      <c r="AI200" s="403"/>
      <c r="AJ200" s="403"/>
      <c r="AK200" s="403"/>
      <c r="AL200" s="403"/>
      <c r="AM200" s="420"/>
      <c r="AN200" s="420"/>
      <c r="AO200" s="403"/>
      <c r="AP200" s="403"/>
      <c r="AQ200" s="403"/>
      <c r="AR200" s="403"/>
      <c r="AS200" s="403"/>
      <c r="AT200" s="403"/>
      <c r="AU200" s="399"/>
      <c r="AV200" s="420"/>
      <c r="AW200" s="420"/>
      <c r="AX200" s="420"/>
      <c r="AY200" s="420"/>
      <c r="AZ200" s="420"/>
      <c r="BA200" s="370"/>
      <c r="BB200" s="358"/>
      <c r="BC200" s="595" t="s">
        <v>1505</v>
      </c>
      <c r="BD200" s="595" t="s">
        <v>1505</v>
      </c>
      <c r="BE200" s="358"/>
      <c r="BF200" s="358"/>
      <c r="BG200" s="370"/>
      <c r="BH200" s="370"/>
      <c r="BI200" s="370"/>
      <c r="BJ200" s="370"/>
      <c r="BK200" s="370"/>
      <c r="BL200" s="374"/>
      <c r="BM200" s="358"/>
      <c r="BN200" s="358"/>
      <c r="BO200" s="370"/>
      <c r="BP200" s="370"/>
      <c r="BQ200" s="370"/>
      <c r="BR200" s="370"/>
      <c r="BS200" s="362">
        <f>SUM(Table14[[#This Row],[Jan-24]:[Dec-24]])</f>
        <v>0</v>
      </c>
      <c r="BT200" s="360"/>
      <c r="BU200" s="360"/>
      <c r="BV200" s="376">
        <v>168750.52499999999</v>
      </c>
      <c r="BW200" s="376">
        <v>0</v>
      </c>
      <c r="BX200" s="376">
        <v>116339.01000000001</v>
      </c>
      <c r="BY200" s="376">
        <v>557370</v>
      </c>
      <c r="BZ200" s="376">
        <v>687105.67999999993</v>
      </c>
      <c r="CA200" s="376">
        <v>0</v>
      </c>
      <c r="CB200" s="376">
        <v>6160</v>
      </c>
      <c r="CC200" s="376">
        <v>0</v>
      </c>
      <c r="CD200" s="370">
        <v>0</v>
      </c>
      <c r="CE200" s="370">
        <v>924903</v>
      </c>
      <c r="CF200" s="362">
        <f>SUM(Table14[[#This Row],[Jan-25]:[Dec-25]])</f>
        <v>2460628.2149999999</v>
      </c>
      <c r="CG200" s="370">
        <v>0</v>
      </c>
      <c r="CH200" s="370">
        <v>770631</v>
      </c>
      <c r="CI200" s="370"/>
      <c r="CJ200" s="414">
        <f>SUM(Table14[[#This Row],[Jan-26]:[Mar-26]])</f>
        <v>770631</v>
      </c>
      <c r="CK200" s="531">
        <f>IFERROR(SUM(Table14[[#This Row],[Oct-25]:[Dec-25]],Table14[[#This Row],[Jan-26]:[Mar-26]])/COUNT(Table14[[#This Row],[Oct-25]:[Dec-25]],Table14[[#This Row],[Jan-26]:[Mar-26]]),0)</f>
        <v>339106.8</v>
      </c>
      <c r="CL200" s="367"/>
      <c r="CM200" s="414">
        <f>Table14[[#This Row],[YTD 2024]]+Table14[[#This Row],[YTD 2025]]+Table14[[#This Row],[YTD 2026]]</f>
        <v>3231259.2149999999</v>
      </c>
      <c r="CN200" s="418"/>
      <c r="CO200" s="353" t="e">
        <f t="shared" si="28"/>
        <v>#DIV/0!</v>
      </c>
      <c r="CP200" s="351"/>
      <c r="CQ200" s="367" t="e">
        <f>Table14[[#This Row],[Avg reagent Sales per month Actual]]-Table14[[#This Row],[Per Month Reagent Commitment]]</f>
        <v>#DIV/0!</v>
      </c>
      <c r="CR200" s="373"/>
      <c r="CS200" s="367" t="e">
        <f>Table14[[#This Row],[On Track / (behind) (avg per month)]]/Table14[[#This Row],[Months]]</f>
        <v>#DIV/0!</v>
      </c>
      <c r="CT200" s="399"/>
      <c r="CU200" s="367">
        <f>Table14[[#This Row],[Total Reagent Sales till date Actual]]*Table14[[#This Row],[Margin %]]</f>
        <v>0</v>
      </c>
      <c r="CV200" s="371">
        <f t="shared" si="27"/>
        <v>0</v>
      </c>
      <c r="CX200" s="1"/>
      <c r="CZ200" s="135"/>
      <c r="DA200" s="1"/>
    </row>
    <row r="201" spans="1:105" ht="15" customHeight="1" x14ac:dyDescent="0.3">
      <c r="A201" s="484"/>
      <c r="B201" s="633" t="s">
        <v>345</v>
      </c>
      <c r="C201" s="399" t="s">
        <v>21</v>
      </c>
      <c r="D201" s="415" t="s">
        <v>485</v>
      </c>
      <c r="E201" s="403"/>
      <c r="F201" s="403" t="s">
        <v>298</v>
      </c>
      <c r="G201" s="416"/>
      <c r="H201" s="666"/>
      <c r="I201" s="416"/>
      <c r="J201" s="417"/>
      <c r="K201" s="417"/>
      <c r="L201" s="417" t="s">
        <v>1059</v>
      </c>
      <c r="M201" s="417"/>
      <c r="N201" s="417"/>
      <c r="O201" s="418" t="s">
        <v>858</v>
      </c>
      <c r="P201" s="418" t="s">
        <v>16</v>
      </c>
      <c r="Q201" s="403" t="s">
        <v>651</v>
      </c>
      <c r="R201" s="399">
        <v>3020000633</v>
      </c>
      <c r="S201" s="403" t="s">
        <v>138</v>
      </c>
      <c r="T201" s="403"/>
      <c r="U201" s="426"/>
      <c r="V201" s="403"/>
      <c r="W201" s="399"/>
      <c r="X201" s="399"/>
      <c r="Y201" s="399"/>
      <c r="Z201" s="353">
        <v>12513969</v>
      </c>
      <c r="AA201" s="418">
        <v>19</v>
      </c>
      <c r="AB201" s="353">
        <v>1442723.5</v>
      </c>
      <c r="AC201" s="409"/>
      <c r="AD201" s="410"/>
      <c r="AE201" s="399"/>
      <c r="AF201" s="399"/>
      <c r="AG201" s="399"/>
      <c r="AH201" s="399"/>
      <c r="AI201" s="403"/>
      <c r="AJ201" s="403"/>
      <c r="AK201" s="403"/>
      <c r="AL201" s="403"/>
      <c r="AM201" s="420"/>
      <c r="AN201" s="420"/>
      <c r="AO201" s="403"/>
      <c r="AP201" s="403"/>
      <c r="AQ201" s="403"/>
      <c r="AR201" s="403"/>
      <c r="AS201" s="403"/>
      <c r="AT201" s="403"/>
      <c r="AU201" s="399"/>
      <c r="AV201" s="420"/>
      <c r="AW201" s="420"/>
      <c r="AX201" s="420"/>
      <c r="AY201" s="420"/>
      <c r="AZ201" s="420"/>
      <c r="BA201" s="370"/>
      <c r="BB201" s="358"/>
      <c r="BC201" s="595" t="s">
        <v>1505</v>
      </c>
      <c r="BD201" s="595" t="s">
        <v>1505</v>
      </c>
      <c r="BE201" s="358"/>
      <c r="BF201" s="358"/>
      <c r="BG201" s="370"/>
      <c r="BH201" s="370"/>
      <c r="BI201" s="370"/>
      <c r="BJ201" s="370"/>
      <c r="BK201" s="370"/>
      <c r="BL201" s="374"/>
      <c r="BM201" s="358"/>
      <c r="BN201" s="358"/>
      <c r="BO201" s="370"/>
      <c r="BP201" s="370"/>
      <c r="BQ201" s="370"/>
      <c r="BR201" s="370"/>
      <c r="BS201" s="362">
        <f>SUM(Table14[[#This Row],[Jan-24]:[Dec-24]])</f>
        <v>0</v>
      </c>
      <c r="BT201" s="360"/>
      <c r="BU201" s="360"/>
      <c r="BV201" s="376">
        <v>168750.52499999999</v>
      </c>
      <c r="BW201" s="376">
        <v>0</v>
      </c>
      <c r="BX201" s="376">
        <v>116339.01000000001</v>
      </c>
      <c r="BY201" s="376">
        <v>557370</v>
      </c>
      <c r="BZ201" s="376">
        <v>687105.67999999993</v>
      </c>
      <c r="CA201" s="376">
        <v>0</v>
      </c>
      <c r="CB201" s="376">
        <v>6160</v>
      </c>
      <c r="CC201" s="376">
        <v>0</v>
      </c>
      <c r="CD201" s="376">
        <v>0</v>
      </c>
      <c r="CE201" s="376">
        <v>924903</v>
      </c>
      <c r="CF201" s="362">
        <f>SUM(Table14[[#This Row],[Jan-25]:[Dec-25]])</f>
        <v>2460628.2149999999</v>
      </c>
      <c r="CG201" s="376">
        <v>0</v>
      </c>
      <c r="CH201" s="376">
        <f>1541262/2</f>
        <v>770631</v>
      </c>
      <c r="CI201" s="376"/>
      <c r="CJ201" s="414">
        <f>SUM(Table14[[#This Row],[Jan-26]:[Mar-26]])</f>
        <v>770631</v>
      </c>
      <c r="CK201" s="531">
        <f>IFERROR(SUM(Table14[[#This Row],[Oct-25]:[Dec-25]],Table14[[#This Row],[Jan-26]:[Mar-26]])/COUNT(Table14[[#This Row],[Oct-25]:[Dec-25]],Table14[[#This Row],[Jan-26]:[Mar-26]]),0)</f>
        <v>339106.8</v>
      </c>
      <c r="CL201" s="367"/>
      <c r="CM201" s="414">
        <f>Table14[[#This Row],[YTD 2024]]+Table14[[#This Row],[YTD 2025]]+Table14[[#This Row],[YTD 2026]]</f>
        <v>3231259.2149999999</v>
      </c>
      <c r="CN201" s="418"/>
      <c r="CO201" s="353" t="e">
        <f t="shared" si="28"/>
        <v>#DIV/0!</v>
      </c>
      <c r="CP201" s="351"/>
      <c r="CQ201" s="367" t="e">
        <f>Table14[[#This Row],[Avg reagent Sales per month Actual]]-Table14[[#This Row],[Per Month Reagent Commitment]]</f>
        <v>#DIV/0!</v>
      </c>
      <c r="CR201" s="373"/>
      <c r="CS201" s="367" t="e">
        <f>Table14[[#This Row],[On Track / (behind) (avg per month)]]/Table14[[#This Row],[Months]]</f>
        <v>#DIV/0!</v>
      </c>
      <c r="CT201" s="399"/>
      <c r="CU201" s="367">
        <f>Table14[[#This Row],[Total Reagent Sales till date Actual]]*Table14[[#This Row],[Margin %]]</f>
        <v>0</v>
      </c>
      <c r="CV201" s="371">
        <f t="shared" si="27"/>
        <v>0</v>
      </c>
      <c r="CX201" s="1"/>
      <c r="CZ201" s="135"/>
      <c r="DA201" s="1"/>
    </row>
    <row r="202" spans="1:105" ht="15" customHeight="1" x14ac:dyDescent="0.3">
      <c r="A202" s="485" t="s">
        <v>423</v>
      </c>
      <c r="B202" s="634" t="s">
        <v>297</v>
      </c>
      <c r="C202" s="399" t="s">
        <v>50</v>
      </c>
      <c r="D202" s="415" t="s">
        <v>409</v>
      </c>
      <c r="E202" s="403">
        <v>15003243</v>
      </c>
      <c r="F202" s="403" t="s">
        <v>392</v>
      </c>
      <c r="G202" s="416"/>
      <c r="H202" s="666"/>
      <c r="I202" s="416" t="s">
        <v>1348</v>
      </c>
      <c r="J202" s="417"/>
      <c r="K202" s="417"/>
      <c r="L202" s="417" t="s">
        <v>1347</v>
      </c>
      <c r="M202" s="417"/>
      <c r="N202" s="417"/>
      <c r="O202" s="418" t="s">
        <v>858</v>
      </c>
      <c r="P202" s="418" t="s">
        <v>17</v>
      </c>
      <c r="Q202" s="403" t="s">
        <v>987</v>
      </c>
      <c r="R202" s="676">
        <v>3020001115</v>
      </c>
      <c r="S202" s="676" t="s">
        <v>189</v>
      </c>
      <c r="T202" s="403"/>
      <c r="U202" s="426"/>
      <c r="V202" s="403"/>
      <c r="W202" s="399"/>
      <c r="X202" s="399"/>
      <c r="Y202" s="399"/>
      <c r="Z202" s="353">
        <v>21992876</v>
      </c>
      <c r="AA202" s="418">
        <v>35</v>
      </c>
      <c r="AB202" s="353">
        <v>1808443</v>
      </c>
      <c r="AC202" s="409"/>
      <c r="AD202" s="410"/>
      <c r="AE202" s="399"/>
      <c r="AF202" s="399"/>
      <c r="AG202" s="399"/>
      <c r="AH202" s="399"/>
      <c r="AI202" s="403"/>
      <c r="AJ202" s="403"/>
      <c r="AK202" s="403"/>
      <c r="AL202" s="403"/>
      <c r="AM202" s="420"/>
      <c r="AN202" s="420"/>
      <c r="AO202" s="403"/>
      <c r="AP202" s="403"/>
      <c r="AQ202" s="403"/>
      <c r="AR202" s="403"/>
      <c r="AS202" s="403"/>
      <c r="AT202" s="403"/>
      <c r="AU202" s="399"/>
      <c r="AV202" s="420"/>
      <c r="AW202" s="420"/>
      <c r="AX202" s="420"/>
      <c r="AY202" s="420"/>
      <c r="AZ202" s="420"/>
      <c r="BA202" s="370"/>
      <c r="BB202" s="358"/>
      <c r="BC202" s="597" t="s">
        <v>1538</v>
      </c>
      <c r="BD202" s="597" t="s">
        <v>1538</v>
      </c>
      <c r="BE202" s="358"/>
      <c r="BF202" s="358" t="s">
        <v>315</v>
      </c>
      <c r="BG202" s="370"/>
      <c r="BH202" s="370"/>
      <c r="BI202" s="370"/>
      <c r="BJ202" s="370"/>
      <c r="BK202" s="370"/>
      <c r="BL202" s="374"/>
      <c r="BM202" s="358"/>
      <c r="BN202" s="358"/>
      <c r="BO202" s="370"/>
      <c r="BP202" s="370"/>
      <c r="BQ202" s="370"/>
      <c r="BR202" s="370"/>
      <c r="BS202" s="362">
        <f>SUM(Table14[[#This Row],[Jan-24]:[Dec-24]])</f>
        <v>0</v>
      </c>
      <c r="BT202" s="360"/>
      <c r="BU202" s="360"/>
      <c r="BV202" s="376"/>
      <c r="BW202" s="376"/>
      <c r="BX202" s="376"/>
      <c r="BY202" s="376"/>
      <c r="BZ202" s="376"/>
      <c r="CA202" s="376"/>
      <c r="CB202" s="376">
        <v>143500</v>
      </c>
      <c r="CC202" s="376"/>
      <c r="CD202" s="370"/>
      <c r="CE202" s="370">
        <v>41600</v>
      </c>
      <c r="CF202" s="362">
        <f>SUM(Table14[[#This Row],[Jan-25]:[Dec-25]])</f>
        <v>185100</v>
      </c>
      <c r="CG202" s="370">
        <v>0</v>
      </c>
      <c r="CH202" s="370">
        <v>0</v>
      </c>
      <c r="CI202" s="370"/>
      <c r="CJ202" s="414">
        <f>SUM(Table14[[#This Row],[Jan-26]:[Mar-26]])</f>
        <v>0</v>
      </c>
      <c r="CK202" s="531">
        <f>IFERROR(SUM(Table14[[#This Row],[Oct-25]:[Dec-25]],Table14[[#This Row],[Jan-26]:[Mar-26]])/COUNT(Table14[[#This Row],[Oct-25]:[Dec-25]],Table14[[#This Row],[Jan-26]:[Mar-26]]),0)</f>
        <v>13866.666666666666</v>
      </c>
      <c r="CL202" s="367"/>
      <c r="CM202" s="414">
        <f>Table14[[#This Row],[YTD 2024]]+Table14[[#This Row],[YTD 2025]]+Table14[[#This Row],[YTD 2026]]</f>
        <v>185100</v>
      </c>
      <c r="CN202" s="418">
        <v>6</v>
      </c>
      <c r="CO202" s="353">
        <f t="shared" si="28"/>
        <v>30850</v>
      </c>
      <c r="CP202" s="351"/>
      <c r="CQ202" s="367">
        <f>Table14[[#This Row],[Avg reagent Sales per month Actual]]-Table14[[#This Row],[Per Month Reagent Commitment]]</f>
        <v>-1777593</v>
      </c>
      <c r="CR202" s="373"/>
      <c r="CS202" s="367">
        <f>Table14[[#This Row],[On Track / (behind) (avg per month)]]/Table14[[#This Row],[Months]]</f>
        <v>-296265.5</v>
      </c>
      <c r="CT202" s="399"/>
      <c r="CU202" s="367">
        <f>Table14[[#This Row],[Total Reagent Sales till date Actual]]*Table14[[#This Row],[Margin %]]</f>
        <v>0</v>
      </c>
      <c r="CV202" s="371">
        <f t="shared" si="27"/>
        <v>0</v>
      </c>
      <c r="CX202" s="1"/>
      <c r="CZ202" s="135"/>
      <c r="DA202" s="1"/>
    </row>
    <row r="203" spans="1:105" ht="15" customHeight="1" x14ac:dyDescent="0.3">
      <c r="A203" s="484" t="s">
        <v>296</v>
      </c>
      <c r="B203" s="633" t="s">
        <v>297</v>
      </c>
      <c r="C203" s="399" t="s">
        <v>24</v>
      </c>
      <c r="D203" s="415" t="s">
        <v>1337</v>
      </c>
      <c r="E203" s="403"/>
      <c r="F203" s="403" t="s">
        <v>298</v>
      </c>
      <c r="G203" s="416"/>
      <c r="H203" s="666"/>
      <c r="I203" s="416"/>
      <c r="J203" s="417"/>
      <c r="K203" s="417"/>
      <c r="L203" s="417" t="s">
        <v>483</v>
      </c>
      <c r="M203" s="417"/>
      <c r="N203" s="417"/>
      <c r="O203" s="404" t="s">
        <v>304</v>
      </c>
      <c r="P203" s="418" t="s">
        <v>15</v>
      </c>
      <c r="Q203" s="403" t="s">
        <v>1000</v>
      </c>
      <c r="R203" s="399">
        <v>3020001748</v>
      </c>
      <c r="S203" s="403" t="s">
        <v>190</v>
      </c>
      <c r="T203" s="403"/>
      <c r="U203" s="426"/>
      <c r="V203" s="403"/>
      <c r="W203" s="399"/>
      <c r="X203" s="399"/>
      <c r="Y203" s="399"/>
      <c r="Z203" s="486">
        <v>3276255</v>
      </c>
      <c r="AA203" s="418">
        <v>36</v>
      </c>
      <c r="AB203" s="486">
        <v>386629</v>
      </c>
      <c r="AC203" s="409"/>
      <c r="AD203" s="410"/>
      <c r="AE203" s="399"/>
      <c r="AF203" s="399"/>
      <c r="AG203" s="399"/>
      <c r="AH203" s="399"/>
      <c r="AI203" s="403"/>
      <c r="AJ203" s="403"/>
      <c r="AK203" s="403"/>
      <c r="AL203" s="403"/>
      <c r="AM203" s="420"/>
      <c r="AN203" s="420"/>
      <c r="AO203" s="403"/>
      <c r="AP203" s="403"/>
      <c r="AQ203" s="403"/>
      <c r="AR203" s="403"/>
      <c r="AS203" s="403"/>
      <c r="AT203" s="403"/>
      <c r="AU203" s="399"/>
      <c r="AV203" s="420"/>
      <c r="AW203" s="420"/>
      <c r="AX203" s="420"/>
      <c r="AY203" s="420"/>
      <c r="AZ203" s="420"/>
      <c r="BA203" s="370"/>
      <c r="BB203" s="358"/>
      <c r="BC203" s="597" t="s">
        <v>1569</v>
      </c>
      <c r="BD203" s="597" t="s">
        <v>1664</v>
      </c>
      <c r="BE203" s="358"/>
      <c r="BF203" s="358" t="s">
        <v>1492</v>
      </c>
      <c r="BG203" s="370"/>
      <c r="BH203" s="370"/>
      <c r="BI203" s="370"/>
      <c r="BJ203" s="370"/>
      <c r="BK203" s="487">
        <f>8550000/5</f>
        <v>1710000</v>
      </c>
      <c r="BL203" s="488"/>
      <c r="BM203" s="358"/>
      <c r="BN203" s="358"/>
      <c r="BO203" s="370"/>
      <c r="BP203" s="487"/>
      <c r="BQ203" s="487"/>
      <c r="BR203" s="487"/>
      <c r="BS203" s="362">
        <f>SUM(Table14[[#This Row],[Jan-24]:[Dec-24]])</f>
        <v>1710000</v>
      </c>
      <c r="BT203" s="360"/>
      <c r="BU203" s="360"/>
      <c r="BV203" s="376"/>
      <c r="BW203" s="376"/>
      <c r="BX203" s="376"/>
      <c r="BY203" s="376"/>
      <c r="BZ203" s="376"/>
      <c r="CA203" s="376"/>
      <c r="CB203" s="376"/>
      <c r="CC203" s="376"/>
      <c r="CD203" s="370"/>
      <c r="CE203" s="376">
        <v>1032747.5</v>
      </c>
      <c r="CF203" s="362">
        <f>SUM(Table14[[#This Row],[Jan-25]:[Dec-25]])</f>
        <v>1032747.5</v>
      </c>
      <c r="CG203" s="376">
        <f>CG189</f>
        <v>205240</v>
      </c>
      <c r="CH203" s="376">
        <f>CH189</f>
        <v>424978</v>
      </c>
      <c r="CI203" s="376">
        <f>CI189</f>
        <v>79312.5</v>
      </c>
      <c r="CJ203" s="414">
        <f>SUM(Table14[[#This Row],[Jan-26]:[Mar-26]])</f>
        <v>709530.5</v>
      </c>
      <c r="CK203" s="531">
        <f>IFERROR(SUM(Table14[[#This Row],[Oct-25]:[Dec-25]],Table14[[#This Row],[Jan-26]:[Mar-26]])/COUNT(Table14[[#This Row],[Oct-25]:[Dec-25]],Table14[[#This Row],[Jan-26]:[Mar-26]]),0)</f>
        <v>435569.5</v>
      </c>
      <c r="CL203" s="367"/>
      <c r="CM203" s="414">
        <f>Table14[[#This Row],[YTD 2024]]+Table14[[#This Row],[YTD 2025]]+Table14[[#This Row],[YTD 2026]]</f>
        <v>3452278</v>
      </c>
      <c r="CN203" s="418">
        <v>1</v>
      </c>
      <c r="CO203" s="486">
        <f>CM203/CN203</f>
        <v>3452278</v>
      </c>
      <c r="CP203" s="490"/>
      <c r="CQ203" s="489">
        <f>Table14[[#This Row],[Avg reagent Sales per month Actual]]-Table14[[#This Row],[Per Month Reagent Commitment]]</f>
        <v>3065649</v>
      </c>
      <c r="CR203" s="373"/>
      <c r="CS203" s="367">
        <f>Table14[[#This Row],[On Track / (behind) (avg per month)]]/Table14[[#This Row],[Months]]</f>
        <v>3065649</v>
      </c>
      <c r="CT203" s="491"/>
      <c r="CU203" s="367">
        <f>Table14[[#This Row],[Total Reagent Sales till date Actual]]*Table14[[#This Row],[Margin %]]</f>
        <v>0</v>
      </c>
      <c r="CV203" s="371">
        <f>CT203</f>
        <v>0</v>
      </c>
      <c r="CX203" s="1"/>
      <c r="CZ203" s="135"/>
      <c r="DA203" s="1"/>
    </row>
    <row r="204" spans="1:105" ht="15" customHeight="1" x14ac:dyDescent="0.3">
      <c r="A204" s="484"/>
      <c r="B204" s="633" t="s">
        <v>297</v>
      </c>
      <c r="C204" s="399" t="s">
        <v>24</v>
      </c>
      <c r="D204" s="415" t="s">
        <v>1337</v>
      </c>
      <c r="E204" s="403"/>
      <c r="F204" s="403" t="s">
        <v>298</v>
      </c>
      <c r="G204" s="416"/>
      <c r="H204" s="666"/>
      <c r="I204" s="416"/>
      <c r="J204" s="417"/>
      <c r="K204" s="417"/>
      <c r="L204" s="417" t="s">
        <v>483</v>
      </c>
      <c r="M204" s="417"/>
      <c r="N204" s="417"/>
      <c r="O204" s="418" t="s">
        <v>304</v>
      </c>
      <c r="P204" s="418" t="s">
        <v>17</v>
      </c>
      <c r="Q204" s="403" t="s">
        <v>791</v>
      </c>
      <c r="R204" s="399">
        <v>3020000176</v>
      </c>
      <c r="S204" s="399" t="s">
        <v>192</v>
      </c>
      <c r="T204" s="403"/>
      <c r="U204" s="426"/>
      <c r="V204" s="403"/>
      <c r="W204" s="399"/>
      <c r="X204" s="399"/>
      <c r="Y204" s="399"/>
      <c r="Z204" s="486">
        <v>2998200</v>
      </c>
      <c r="AA204" s="418">
        <v>36</v>
      </c>
      <c r="AB204" s="486">
        <v>320078</v>
      </c>
      <c r="AC204" s="409"/>
      <c r="AD204" s="410"/>
      <c r="AE204" s="399"/>
      <c r="AF204" s="399"/>
      <c r="AG204" s="399"/>
      <c r="AH204" s="399"/>
      <c r="AI204" s="403"/>
      <c r="AJ204" s="403"/>
      <c r="AK204" s="403"/>
      <c r="AL204" s="403"/>
      <c r="AM204" s="420"/>
      <c r="AN204" s="420"/>
      <c r="AO204" s="403"/>
      <c r="AP204" s="403"/>
      <c r="AQ204" s="403"/>
      <c r="AR204" s="403"/>
      <c r="AS204" s="403"/>
      <c r="AT204" s="403"/>
      <c r="AU204" s="399"/>
      <c r="AV204" s="420"/>
      <c r="AW204" s="420"/>
      <c r="AX204" s="420"/>
      <c r="AY204" s="420"/>
      <c r="AZ204" s="420"/>
      <c r="BA204" s="370"/>
      <c r="BB204" s="358"/>
      <c r="BC204" s="595" t="s">
        <v>1536</v>
      </c>
      <c r="BD204" s="595" t="s">
        <v>1569</v>
      </c>
      <c r="BE204" s="358"/>
      <c r="BF204" s="358" t="s">
        <v>315</v>
      </c>
      <c r="BG204" s="370"/>
      <c r="BH204" s="370"/>
      <c r="BI204" s="370"/>
      <c r="BJ204" s="370"/>
      <c r="BK204" s="487"/>
      <c r="BL204" s="488"/>
      <c r="BM204" s="358"/>
      <c r="BN204" s="358"/>
      <c r="BO204" s="370"/>
      <c r="BP204" s="487"/>
      <c r="BQ204" s="487"/>
      <c r="BR204" s="487"/>
      <c r="BS204" s="362">
        <f>SUM(Table14[[#This Row],[Jan-24]:[Dec-24]])</f>
        <v>0</v>
      </c>
      <c r="BT204" s="360"/>
      <c r="BU204" s="360"/>
      <c r="BV204" s="376"/>
      <c r="BW204" s="376"/>
      <c r="BX204" s="376"/>
      <c r="BY204" s="376"/>
      <c r="BZ204" s="376"/>
      <c r="CA204" s="376"/>
      <c r="CB204" s="376"/>
      <c r="CC204" s="376"/>
      <c r="CD204" s="370"/>
      <c r="CE204" s="370"/>
      <c r="CF204" s="362">
        <f>SUM(Table14[[#This Row],[Jan-25]:[Dec-25]])</f>
        <v>0</v>
      </c>
      <c r="CG204" s="370">
        <v>229400</v>
      </c>
      <c r="CH204" s="370">
        <v>236500</v>
      </c>
      <c r="CI204" s="414">
        <v>995700</v>
      </c>
      <c r="CJ204" s="414">
        <f>SUM(Table14[[#This Row],[Jan-26]:[Mar-26]])</f>
        <v>1461600</v>
      </c>
      <c r="CK204" s="531">
        <f>IFERROR(SUM(Table14[[#This Row],[Oct-25]:[Dec-25]],Table14[[#This Row],[Jan-26]:[Mar-26]])/COUNT(Table14[[#This Row],[Oct-25]:[Dec-25]],Table14[[#This Row],[Jan-26]:[Mar-26]]),0)</f>
        <v>487200</v>
      </c>
      <c r="CL204" s="367"/>
      <c r="CM204" s="414">
        <f>Table14[[#This Row],[YTD 2024]]+Table14[[#This Row],[YTD 2025]]+Table14[[#This Row],[YTD 2026]]</f>
        <v>1461600</v>
      </c>
      <c r="CN204" s="418">
        <v>3</v>
      </c>
      <c r="CO204" s="486">
        <f>CM204/CN204</f>
        <v>487200</v>
      </c>
      <c r="CP204" s="490"/>
      <c r="CQ204" s="489">
        <f>Table14[[#This Row],[Avg reagent Sales per month Actual]]-Table14[[#This Row],[Per Month Reagent Commitment]]</f>
        <v>167122</v>
      </c>
      <c r="CR204" s="373"/>
      <c r="CS204" s="367">
        <f>Table14[[#This Row],[On Track / (behind) (avg per month)]]/Table14[[#This Row],[Months]]</f>
        <v>55707.333333333336</v>
      </c>
      <c r="CT204" s="491"/>
      <c r="CU204" s="367">
        <f>Table14[[#This Row],[Total Reagent Sales till date Actual]]*Table14[[#This Row],[Margin %]]</f>
        <v>0</v>
      </c>
      <c r="CV204" s="371">
        <f>CT204</f>
        <v>0</v>
      </c>
      <c r="CX204" s="1"/>
      <c r="CZ204" s="135"/>
      <c r="DA204" s="1"/>
    </row>
    <row r="205" spans="1:105" ht="15" customHeight="1" x14ac:dyDescent="0.3">
      <c r="C205" s="420" t="s">
        <v>24</v>
      </c>
      <c r="D205" s="435" t="s">
        <v>31</v>
      </c>
      <c r="E205" s="447"/>
      <c r="F205" s="447"/>
      <c r="G205" s="586">
        <v>3002000072</v>
      </c>
      <c r="H205" s="447" t="s">
        <v>1543</v>
      </c>
      <c r="I205" s="587" t="s">
        <v>1201</v>
      </c>
      <c r="J205" s="418"/>
      <c r="K205" s="420"/>
      <c r="L205" s="677"/>
      <c r="M205" s="420"/>
      <c r="N205" s="420"/>
      <c r="O205" s="420" t="s">
        <v>400</v>
      </c>
      <c r="P205" s="420"/>
      <c r="Q205" s="439"/>
      <c r="R205" s="420">
        <v>3020000998</v>
      </c>
      <c r="S205" s="399" t="s">
        <v>1541</v>
      </c>
      <c r="T205" s="420"/>
      <c r="U205" s="678"/>
      <c r="V205" s="420"/>
      <c r="W205" s="420"/>
      <c r="X205" s="420"/>
      <c r="Y205" s="420"/>
      <c r="Z205" s="420"/>
      <c r="AA205" s="420"/>
      <c r="AB205" s="420"/>
      <c r="AC205" s="420"/>
      <c r="AD205" s="420"/>
      <c r="AE205" s="420"/>
      <c r="AF205" s="420"/>
      <c r="AG205" s="422"/>
      <c r="AH205" s="420"/>
      <c r="AI205" s="420"/>
      <c r="AJ205" s="420"/>
      <c r="AK205" s="420"/>
      <c r="AL205" s="420"/>
      <c r="AM205" s="420"/>
      <c r="AN205" s="420"/>
      <c r="AO205" s="420"/>
      <c r="AP205" s="420"/>
      <c r="AQ205" s="420"/>
      <c r="AR205" s="420"/>
      <c r="AS205" s="420"/>
      <c r="AT205" s="420"/>
      <c r="AU205" s="420"/>
      <c r="AV205" s="420"/>
      <c r="AW205" s="420"/>
      <c r="AX205" s="420"/>
      <c r="AY205" s="420"/>
      <c r="AZ205" s="420"/>
      <c r="BA205" s="626"/>
      <c r="BB205" s="626"/>
      <c r="BC205" s="679"/>
      <c r="BD205" s="679" t="s">
        <v>1493</v>
      </c>
      <c r="BE205" s="680"/>
      <c r="BF205" s="680"/>
      <c r="BG205" s="626">
        <f>BG139+BG140</f>
        <v>0</v>
      </c>
      <c r="BH205" s="626"/>
      <c r="BI205" s="626"/>
      <c r="BJ205" s="626"/>
      <c r="BK205" s="626"/>
      <c r="BL205" s="626"/>
      <c r="BM205" s="626"/>
      <c r="BN205" s="626"/>
      <c r="BO205" s="626"/>
      <c r="BP205" s="626"/>
      <c r="BQ205" s="626"/>
      <c r="BR205" s="626"/>
      <c r="BS205" s="626"/>
      <c r="BT205" s="626"/>
      <c r="BU205" s="626"/>
      <c r="BV205" s="626"/>
      <c r="BW205" s="626"/>
      <c r="BX205" s="626"/>
      <c r="BY205" s="626"/>
      <c r="BZ205" s="626"/>
      <c r="CA205" s="626"/>
      <c r="CB205" s="626"/>
      <c r="CC205" s="626"/>
      <c r="CD205" s="626"/>
      <c r="CE205" s="626"/>
      <c r="CF205" s="422"/>
      <c r="CG205" s="626"/>
      <c r="CH205" s="626"/>
      <c r="CI205" s="626">
        <v>66700</v>
      </c>
      <c r="CJ205" s="626"/>
      <c r="CK205" s="531">
        <f>IFERROR(SUM(Table14[[#This Row],[Oct-25]:[Dec-25]],Table14[[#This Row],[Jan-26]:[Mar-26]])/COUNT(Table14[[#This Row],[Oct-25]:[Dec-25]],Table14[[#This Row],[Jan-26]:[Mar-26]]),0)</f>
        <v>66700</v>
      </c>
      <c r="CL205" s="626"/>
      <c r="CM205" s="627"/>
      <c r="CN205" s="418"/>
      <c r="CO205" s="420"/>
      <c r="CP205" s="420"/>
      <c r="CQ205" s="447"/>
      <c r="CR205" s="626"/>
      <c r="CS205" s="681"/>
      <c r="CT205" s="420"/>
      <c r="CU205" s="420"/>
      <c r="CV205" s="420"/>
    </row>
    <row r="206" spans="1:105" ht="15" customHeight="1" x14ac:dyDescent="0.3">
      <c r="A206" s="399" t="s">
        <v>423</v>
      </c>
      <c r="B206" s="630" t="s">
        <v>297</v>
      </c>
      <c r="C206" s="399" t="s">
        <v>22</v>
      </c>
      <c r="D206" s="415" t="s">
        <v>33</v>
      </c>
      <c r="E206" s="403">
        <v>15001967</v>
      </c>
      <c r="F206" s="403" t="s">
        <v>392</v>
      </c>
      <c r="G206" s="416">
        <v>3002000120</v>
      </c>
      <c r="H206" s="666"/>
      <c r="I206" s="416">
        <v>126055</v>
      </c>
      <c r="J206" s="417"/>
      <c r="K206" s="417"/>
      <c r="L206" s="417" t="s">
        <v>469</v>
      </c>
      <c r="M206" s="417"/>
      <c r="N206" s="417" t="s">
        <v>470</v>
      </c>
      <c r="O206" s="418" t="s">
        <v>304</v>
      </c>
      <c r="P206" s="418" t="s">
        <v>16</v>
      </c>
      <c r="Q206" s="403" t="s">
        <v>349</v>
      </c>
      <c r="R206" s="399">
        <v>3020000206</v>
      </c>
      <c r="S206" s="419" t="s">
        <v>104</v>
      </c>
      <c r="T206" s="403"/>
      <c r="U206" s="403" t="s">
        <v>471</v>
      </c>
      <c r="V206" s="403" t="s">
        <v>472</v>
      </c>
      <c r="W206" s="399" t="s">
        <v>473</v>
      </c>
      <c r="X206" s="399" t="s">
        <v>474</v>
      </c>
      <c r="Y206" s="399" t="s">
        <v>474</v>
      </c>
      <c r="Z206" s="353">
        <f>2382020/2</f>
        <v>1191010</v>
      </c>
      <c r="AA206" s="418">
        <v>29</v>
      </c>
      <c r="AB206" s="353">
        <f>184057/2</f>
        <v>92028.5</v>
      </c>
      <c r="AC206" s="409"/>
      <c r="AD206" s="410"/>
      <c r="AE206" s="399"/>
      <c r="AF206" s="399"/>
      <c r="AG206" s="399"/>
      <c r="AH206" s="399"/>
      <c r="AI206" s="403"/>
      <c r="AJ206" s="403"/>
      <c r="AK206" s="403"/>
      <c r="AL206" s="403"/>
      <c r="AM206" s="420"/>
      <c r="AN206" s="420"/>
      <c r="AO206" s="403"/>
      <c r="AP206" s="403"/>
      <c r="AQ206" s="403"/>
      <c r="AR206" s="403"/>
      <c r="AS206" s="403"/>
      <c r="AT206" s="403"/>
      <c r="AU206" s="399"/>
      <c r="AV206" s="420"/>
      <c r="AW206" s="420"/>
      <c r="AX206" s="420"/>
      <c r="AY206" s="420"/>
      <c r="AZ206" s="420"/>
      <c r="BA206" s="370"/>
      <c r="BB206" s="358"/>
      <c r="BC206" s="597" t="s">
        <v>1493</v>
      </c>
      <c r="BD206" s="597" t="s">
        <v>1673</v>
      </c>
      <c r="BE206" s="375">
        <v>1</v>
      </c>
      <c r="BF206" s="419" t="s">
        <v>315</v>
      </c>
      <c r="BG206" s="370"/>
      <c r="BH206" s="370"/>
      <c r="BI206" s="370"/>
      <c r="BJ206" s="370"/>
      <c r="BK206" s="370"/>
      <c r="BL206" s="374"/>
      <c r="BM206" s="358"/>
      <c r="BN206" s="358"/>
      <c r="BO206" s="370"/>
      <c r="BP206" s="370"/>
      <c r="BQ206" s="370"/>
      <c r="BR206" s="370"/>
      <c r="BS206" s="362">
        <f>SUM(Table14[[#This Row],[Jan-24]:[Dec-24]])</f>
        <v>0</v>
      </c>
      <c r="BT206" s="360"/>
      <c r="BU206" s="360"/>
      <c r="BV206" s="376"/>
      <c r="BW206" s="376"/>
      <c r="BX206" s="376"/>
      <c r="BY206" s="376"/>
      <c r="BZ206" s="376"/>
      <c r="CA206" s="376">
        <v>114000</v>
      </c>
      <c r="CB206" s="376">
        <v>190000</v>
      </c>
      <c r="CC206" s="376"/>
      <c r="CD206" s="376"/>
      <c r="CE206" s="376">
        <v>72000</v>
      </c>
      <c r="CF206" s="362">
        <f>SUM(Table14[[#This Row],[Jan-25]:[Dec-25]])</f>
        <v>376000</v>
      </c>
      <c r="CG206" s="376">
        <v>0</v>
      </c>
      <c r="CH206" s="376">
        <v>532000</v>
      </c>
      <c r="CI206" s="414">
        <v>234000</v>
      </c>
      <c r="CJ206" s="414">
        <f>SUM(Table14[[#This Row],[Jan-26]:[Mar-26]])</f>
        <v>766000</v>
      </c>
      <c r="CK206" s="531">
        <f>IFERROR(SUM(Table14[[#This Row],[Oct-25]:[Dec-25]],Table14[[#This Row],[Jan-26]:[Mar-26]])/COUNT(Table14[[#This Row],[Oct-25]:[Dec-25]],Table14[[#This Row],[Jan-26]:[Mar-26]]),0)</f>
        <v>209500</v>
      </c>
      <c r="CL206" s="367"/>
      <c r="CM206" s="414">
        <f>Table14[[#This Row],[YTD 2024]]+Table14[[#This Row],[YTD 2025]]+Table14[[#This Row],[YTD 2026]]</f>
        <v>1142000</v>
      </c>
      <c r="CN206" s="418">
        <v>8</v>
      </c>
      <c r="CO206" s="353">
        <f t="shared" ref="CO206" si="29">CM206/CN206</f>
        <v>142750</v>
      </c>
      <c r="CP206" s="351"/>
      <c r="CQ206" s="367">
        <f>Table14[[#This Row],[Avg reagent Sales per month Actual]]-Table14[[#This Row],[Per Month Reagent Commitment]]</f>
        <v>50721.5</v>
      </c>
      <c r="CR206" s="373"/>
      <c r="CS206" s="367">
        <f>Table14[[#This Row],[On Track / (behind) (avg per month)]]/Table14[[#This Row],[Months]]</f>
        <v>6340.1875</v>
      </c>
      <c r="CT206" s="399"/>
      <c r="CU206" s="367">
        <f>Table14[[#This Row],[Total Reagent Sales till date Actual]]*Table14[[#This Row],[Margin %]]</f>
        <v>0</v>
      </c>
      <c r="CV206" s="371">
        <f t="shared" ref="CV206" si="30">CT206</f>
        <v>0</v>
      </c>
      <c r="CX206" s="1"/>
      <c r="CZ206" s="135"/>
      <c r="DA206" s="1"/>
    </row>
    <row r="207" spans="1:105" ht="15" customHeight="1" x14ac:dyDescent="0.3">
      <c r="A207" s="484"/>
      <c r="B207" s="633" t="s">
        <v>297</v>
      </c>
      <c r="C207" s="399" t="s">
        <v>24</v>
      </c>
      <c r="D207" s="399" t="s">
        <v>1349</v>
      </c>
      <c r="E207" s="403"/>
      <c r="F207" s="403" t="s">
        <v>298</v>
      </c>
      <c r="G207" s="416"/>
      <c r="H207" s="666"/>
      <c r="I207" s="416"/>
      <c r="J207" s="417"/>
      <c r="K207" s="417"/>
      <c r="L207" s="417" t="s">
        <v>1350</v>
      </c>
      <c r="M207" s="417"/>
      <c r="N207" s="417"/>
      <c r="O207" s="418" t="s">
        <v>304</v>
      </c>
      <c r="P207" s="418" t="s">
        <v>15</v>
      </c>
      <c r="Q207" s="403" t="s">
        <v>305</v>
      </c>
      <c r="R207" s="403">
        <v>3020000664</v>
      </c>
      <c r="S207" s="403" t="s">
        <v>193</v>
      </c>
      <c r="T207" s="403"/>
      <c r="U207" s="426"/>
      <c r="V207" s="403"/>
      <c r="W207" s="399"/>
      <c r="X207" s="399"/>
      <c r="Y207" s="399"/>
      <c r="Z207" s="486">
        <v>5490000</v>
      </c>
      <c r="AA207" s="418">
        <v>36</v>
      </c>
      <c r="AB207" s="486">
        <v>413290</v>
      </c>
      <c r="AC207" s="409"/>
      <c r="AD207" s="410"/>
      <c r="AE207" s="399"/>
      <c r="AF207" s="399"/>
      <c r="AG207" s="399"/>
      <c r="AH207" s="399"/>
      <c r="AI207" s="403"/>
      <c r="AJ207" s="403"/>
      <c r="AK207" s="403"/>
      <c r="AL207" s="403"/>
      <c r="AM207" s="420"/>
      <c r="AN207" s="420"/>
      <c r="AO207" s="403"/>
      <c r="AP207" s="403"/>
      <c r="AQ207" s="403"/>
      <c r="AR207" s="403"/>
      <c r="AS207" s="403"/>
      <c r="AT207" s="403"/>
      <c r="AU207" s="399"/>
      <c r="AV207" s="420"/>
      <c r="AW207" s="420"/>
      <c r="AX207" s="420"/>
      <c r="AY207" s="420"/>
      <c r="AZ207" s="420"/>
      <c r="BA207" s="370"/>
      <c r="BB207" s="358"/>
      <c r="BC207" s="595" t="s">
        <v>1501</v>
      </c>
      <c r="BD207" s="595" t="s">
        <v>1665</v>
      </c>
      <c r="BE207" s="358"/>
      <c r="BF207" s="358" t="s">
        <v>1492</v>
      </c>
      <c r="BG207" s="370"/>
      <c r="BH207" s="370"/>
      <c r="BI207" s="370"/>
      <c r="BJ207" s="370"/>
      <c r="BK207" s="487"/>
      <c r="BL207" s="488"/>
      <c r="BM207" s="358"/>
      <c r="BN207" s="358"/>
      <c r="BO207" s="370"/>
      <c r="BP207" s="487"/>
      <c r="BQ207" s="487"/>
      <c r="BR207" s="487"/>
      <c r="BS207" s="487">
        <f>SUM(Table14[[#This Row],[Jan-24]:[Dec-24]])</f>
        <v>0</v>
      </c>
      <c r="BT207" s="360"/>
      <c r="BU207" s="360"/>
      <c r="BV207" s="376"/>
      <c r="BW207" s="376"/>
      <c r="BX207" s="376"/>
      <c r="BY207" s="376"/>
      <c r="BZ207" s="376"/>
      <c r="CA207" s="376"/>
      <c r="CB207" s="376"/>
      <c r="CC207" s="376"/>
      <c r="CD207" s="370"/>
      <c r="CE207" s="370"/>
      <c r="CF207" s="362">
        <f>SUM(Table14[[#This Row],[Jan-25]:[Dec-25]])</f>
        <v>0</v>
      </c>
      <c r="CG207" s="370">
        <v>0</v>
      </c>
      <c r="CH207" s="370">
        <v>377100</v>
      </c>
      <c r="CI207" s="370">
        <v>296600</v>
      </c>
      <c r="CJ207" s="414">
        <f>SUM(Table14[[#This Row],[Jan-26]:[Mar-26]])</f>
        <v>673700</v>
      </c>
      <c r="CK207" s="531">
        <f>IFERROR(SUM(Table14[[#This Row],[Oct-25]:[Dec-25]],Table14[[#This Row],[Jan-26]:[Mar-26]])/COUNT(Table14[[#This Row],[Oct-25]:[Dec-25]],Table14[[#This Row],[Jan-26]:[Mar-26]]),0)</f>
        <v>224566.66666666666</v>
      </c>
      <c r="CL207" s="367"/>
      <c r="CM207" s="367">
        <f>Table14[[#This Row],[YTD 2024]]+Table14[[#This Row],[YTD 2025]]+Table14[[#This Row],[YTD 2026]]</f>
        <v>673700</v>
      </c>
      <c r="CN207" s="418"/>
      <c r="CO207" s="486" t="e">
        <f>CM207/CN207</f>
        <v>#DIV/0!</v>
      </c>
      <c r="CP207" s="490"/>
      <c r="CQ207" s="489" t="e">
        <f>Table14[[#This Row],[Avg reagent Sales per month Actual]]-Table14[[#This Row],[Per Month Reagent Commitment]]</f>
        <v>#DIV/0!</v>
      </c>
      <c r="CR207" s="373"/>
      <c r="CS207" s="367" t="e">
        <f>Table14[[#This Row],[On Track / (behind) (avg per month)]]/Table14[[#This Row],[Months]]</f>
        <v>#DIV/0!</v>
      </c>
      <c r="CT207" s="491"/>
      <c r="CU207" s="367">
        <f>Table14[[#This Row],[Total Reagent Sales till date Actual]]*Table14[[#This Row],[Margin %]]</f>
        <v>0</v>
      </c>
      <c r="CV207" s="371">
        <f>CT207</f>
        <v>0</v>
      </c>
    </row>
    <row r="210" spans="15:15" ht="15" customHeight="1" x14ac:dyDescent="0.3">
      <c r="O210" s="494" t="s">
        <v>1351</v>
      </c>
    </row>
  </sheetData>
  <phoneticPr fontId="39" type="noConversion"/>
  <conditionalFormatting sqref="A179:A182">
    <cfRule type="duplicateValues" dxfId="133" priority="31"/>
    <cfRule type="duplicateValues" dxfId="132" priority="30"/>
  </conditionalFormatting>
  <conditionalFormatting sqref="C179:C182">
    <cfRule type="duplicateValues" dxfId="131" priority="29"/>
    <cfRule type="duplicateValues" dxfId="130" priority="28"/>
  </conditionalFormatting>
  <conditionalFormatting sqref="G37">
    <cfRule type="duplicateValues" dxfId="129" priority="8"/>
  </conditionalFormatting>
  <conditionalFormatting sqref="G48:G49 G10 G14 G16:G25 G27:G36 G38:G46">
    <cfRule type="duplicateValues" dxfId="128" priority="224"/>
  </conditionalFormatting>
  <conditionalFormatting sqref="G51">
    <cfRule type="duplicateValues" dxfId="127" priority="229"/>
  </conditionalFormatting>
  <conditionalFormatting sqref="G60">
    <cfRule type="duplicateValues" dxfId="126" priority="230"/>
    <cfRule type="duplicateValues" dxfId="125" priority="231"/>
  </conditionalFormatting>
  <conditionalFormatting sqref="G61">
    <cfRule type="duplicateValues" dxfId="124" priority="232"/>
  </conditionalFormatting>
  <conditionalFormatting sqref="G62">
    <cfRule type="duplicateValues" dxfId="123" priority="233"/>
    <cfRule type="duplicateValues" dxfId="122" priority="234"/>
  </conditionalFormatting>
  <conditionalFormatting sqref="G69">
    <cfRule type="duplicateValues" dxfId="121" priority="235"/>
  </conditionalFormatting>
  <conditionalFormatting sqref="G83">
    <cfRule type="duplicateValues" dxfId="120" priority="20"/>
    <cfRule type="duplicateValues" dxfId="119" priority="236"/>
    <cfRule type="duplicateValues" dxfId="118" priority="19"/>
  </conditionalFormatting>
  <conditionalFormatting sqref="G83:G84">
    <cfRule type="duplicateValues" dxfId="117" priority="238"/>
    <cfRule type="duplicateValues" dxfId="116" priority="237"/>
  </conditionalFormatting>
  <conditionalFormatting sqref="G85">
    <cfRule type="duplicateValues" dxfId="115" priority="239"/>
  </conditionalFormatting>
  <conditionalFormatting sqref="G99">
    <cfRule type="duplicateValues" dxfId="114" priority="240"/>
    <cfRule type="duplicateValues" dxfId="113" priority="241"/>
  </conditionalFormatting>
  <conditionalFormatting sqref="G103">
    <cfRule type="duplicateValues" dxfId="112" priority="242"/>
  </conditionalFormatting>
  <conditionalFormatting sqref="G120">
    <cfRule type="duplicateValues" dxfId="111" priority="244"/>
  </conditionalFormatting>
  <conditionalFormatting sqref="G121">
    <cfRule type="duplicateValues" dxfId="110" priority="245"/>
  </conditionalFormatting>
  <conditionalFormatting sqref="G137:G143">
    <cfRule type="duplicateValues" dxfId="109" priority="430"/>
  </conditionalFormatting>
  <conditionalFormatting sqref="G145">
    <cfRule type="duplicateValues" dxfId="108" priority="248"/>
    <cfRule type="duplicateValues" dxfId="107" priority="249"/>
  </conditionalFormatting>
  <conditionalFormatting sqref="G146:G150">
    <cfRule type="duplicateValues" dxfId="106" priority="250"/>
  </conditionalFormatting>
  <conditionalFormatting sqref="G164">
    <cfRule type="duplicateValues" dxfId="105" priority="6"/>
    <cfRule type="duplicateValues" dxfId="104" priority="7"/>
    <cfRule type="duplicateValues" dxfId="103" priority="5"/>
    <cfRule type="duplicateValues" dxfId="102" priority="4"/>
    <cfRule type="duplicateValues" dxfId="101" priority="3"/>
    <cfRule type="duplicateValues" dxfId="100" priority="2"/>
    <cfRule type="duplicateValues" dxfId="99" priority="1"/>
  </conditionalFormatting>
  <conditionalFormatting sqref="G206">
    <cfRule type="duplicateValues" dxfId="98" priority="12"/>
  </conditionalFormatting>
  <conditionalFormatting sqref="G207:G1048576 G82:G110 G113:G118 G58:G67 G1:G36 G120:G123 G195:G205 G179:G181 G183:G185 G125:G161 G192:G193 G187:G190 G38:G53 G172:G177 G72:G80 G163 G69:G70 G55:G56 G165:G170">
    <cfRule type="duplicateValues" dxfId="97" priority="21"/>
  </conditionalFormatting>
  <conditionalFormatting sqref="G207:G1048576 G151:G161 G10:G14 G1:G7 G48:G51 G65:G67 G16:G25 G107 G100:G105 G109:G110 G86:G98 G56 G184:G185 G82:G84 G113:G118 G58:G63 G27:G36 G120:G123 G195:G205 G125:G136 G192:G193 G187:G190 G38:G46 G172:G177 G72:G80 G163 G69:G70 G165:G170">
    <cfRule type="duplicateValues" dxfId="96" priority="251"/>
  </conditionalFormatting>
  <conditionalFormatting sqref="G146:H150">
    <cfRule type="duplicateValues" dxfId="95" priority="46"/>
  </conditionalFormatting>
  <conditionalFormatting sqref="G207:H1048576 G197:G198 G151:H161 H85 G63:H63 H1:H6 G1:G7 G50:G51 H65:H69 G65:G67 G86:H94 G83:G84 G72:H80 G107 G109:G110 G113:G118 G100:G105 G122:H123 G184:H185 G95:G98 G56 G199:H205 H113:H119 G82:H82 G81:I81 G58:G59 G120:G121 G195:H196 H194 G125:H136 H124 G192:H193 H191 G187:H190 H186 G69 G172:H177 H171 G163:H163 H162 G70:H70 G165:H170 H164">
    <cfRule type="duplicateValues" dxfId="94" priority="154"/>
  </conditionalFormatting>
  <conditionalFormatting sqref="G179:Q179">
    <cfRule type="duplicateValues" dxfId="93" priority="26"/>
    <cfRule type="duplicateValues" dxfId="92" priority="27"/>
  </conditionalFormatting>
  <conditionalFormatting sqref="G180:Q180 G183:Q183 G181:H181 J181:Q182 H182">
    <cfRule type="duplicateValues" dxfId="91" priority="24"/>
    <cfRule type="duplicateValues" dxfId="90" priority="23"/>
  </conditionalFormatting>
  <conditionalFormatting sqref="H83">
    <cfRule type="duplicateValues" dxfId="89" priority="109"/>
  </conditionalFormatting>
  <conditionalFormatting sqref="H84">
    <cfRule type="duplicateValues" dxfId="88" priority="107"/>
  </conditionalFormatting>
  <conditionalFormatting sqref="H144:H145 G137:H143">
    <cfRule type="duplicateValues" dxfId="87" priority="57"/>
  </conditionalFormatting>
  <conditionalFormatting sqref="H178">
    <cfRule type="duplicateValues" dxfId="86" priority="11"/>
    <cfRule type="duplicateValues" dxfId="85" priority="10"/>
  </conditionalFormatting>
  <conditionalFormatting sqref="I37">
    <cfRule type="duplicateValues" dxfId="84" priority="9"/>
  </conditionalFormatting>
  <conditionalFormatting sqref="I65 I8 I10:I21 I58:I60 I23:I36 I62:I63 I38:I54">
    <cfRule type="duplicateValues" dxfId="83" priority="195"/>
  </conditionalFormatting>
  <conditionalFormatting sqref="I83">
    <cfRule type="duplicateValues" dxfId="82" priority="202"/>
  </conditionalFormatting>
  <conditionalFormatting sqref="I84">
    <cfRule type="duplicateValues" dxfId="81" priority="201"/>
  </conditionalFormatting>
  <conditionalFormatting sqref="I103">
    <cfRule type="duplicateValues" dxfId="80" priority="80"/>
  </conditionalFormatting>
  <conditionalFormatting sqref="I111">
    <cfRule type="duplicateValues" dxfId="79" priority="101"/>
  </conditionalFormatting>
  <conditionalFormatting sqref="I120">
    <cfRule type="duplicateValues" dxfId="78" priority="84"/>
  </conditionalFormatting>
  <conditionalFormatting sqref="I121">
    <cfRule type="duplicateValues" dxfId="77" priority="83"/>
  </conditionalFormatting>
  <conditionalFormatting sqref="I137">
    <cfRule type="duplicateValues" dxfId="76" priority="53"/>
  </conditionalFormatting>
  <conditionalFormatting sqref="I138">
    <cfRule type="duplicateValues" dxfId="75" priority="54"/>
  </conditionalFormatting>
  <conditionalFormatting sqref="I139">
    <cfRule type="duplicateValues" dxfId="74" priority="52"/>
  </conditionalFormatting>
  <conditionalFormatting sqref="I142">
    <cfRule type="duplicateValues" dxfId="73" priority="49"/>
  </conditionalFormatting>
  <conditionalFormatting sqref="I143">
    <cfRule type="duplicateValues" dxfId="72" priority="51"/>
  </conditionalFormatting>
  <conditionalFormatting sqref="I161">
    <cfRule type="duplicateValues" dxfId="71" priority="35"/>
    <cfRule type="duplicateValues" dxfId="70" priority="36"/>
  </conditionalFormatting>
  <conditionalFormatting sqref="I181">
    <cfRule type="duplicateValues" dxfId="69" priority="22"/>
  </conditionalFormatting>
  <conditionalFormatting sqref="I197">
    <cfRule type="duplicateValues" dxfId="68" priority="18"/>
  </conditionalFormatting>
  <conditionalFormatting sqref="I198">
    <cfRule type="duplicateValues" dxfId="67" priority="17"/>
  </conditionalFormatting>
  <conditionalFormatting sqref="I206">
    <cfRule type="duplicateValues" dxfId="66" priority="15"/>
  </conditionalFormatting>
  <conditionalFormatting sqref="J99">
    <cfRule type="duplicateValues" dxfId="65" priority="102"/>
  </conditionalFormatting>
  <conditionalFormatting sqref="J137:J145">
    <cfRule type="duplicateValues" dxfId="64" priority="473"/>
  </conditionalFormatting>
  <conditionalFormatting sqref="J146:J150">
    <cfRule type="duplicateValues" dxfId="63" priority="48"/>
  </conditionalFormatting>
  <conditionalFormatting sqref="J151:J178 J100:J105 J107 J109:J136 J1:J56 J184:J196 J58:J98 J199:J1048576">
    <cfRule type="duplicateValues" dxfId="62" priority="223"/>
  </conditionalFormatting>
  <conditionalFormatting sqref="CQ8:CQ177">
    <cfRule type="cellIs" dxfId="61" priority="45" operator="greaterThan">
      <formula>0</formula>
    </cfRule>
  </conditionalFormatting>
  <conditionalFormatting sqref="CQ206">
    <cfRule type="cellIs" dxfId="60" priority="13" operator="greaterThan">
      <formula>0</formula>
    </cfRule>
  </conditionalFormatting>
  <conditionalFormatting sqref="CS206">
    <cfRule type="cellIs" dxfId="59" priority="14" operator="lessThan">
      <formula>0</formula>
    </cfRule>
  </conditionalFormatting>
  <conditionalFormatting sqref="CS8:CT8 CS9 CS10:CT10 CS11:CS114 CT29:CT30 CT37:CT40 CT42:CT43 CT47:CT49 CT51 CT53:CT58 CT80 CT107:CT114 CT128:CT147">
    <cfRule type="cellIs" dxfId="58" priority="168" operator="lessThan">
      <formula>0</formula>
    </cfRule>
  </conditionalFormatting>
  <conditionalFormatting sqref="CT15:CT17 CT19:CT20 CT22:CT27 CT32:CT35 CT94:CT95">
    <cfRule type="cellIs" dxfId="57" priority="41" operator="lessThan">
      <formula>0</formula>
    </cfRule>
  </conditionalFormatting>
  <conditionalFormatting sqref="CT63:CT70 CT72:CT77 CT86 CT92 CT102 CT117:CT123">
    <cfRule type="cellIs" dxfId="56" priority="39" operator="lessThan">
      <formula>0</formula>
    </cfRule>
  </conditionalFormatting>
  <conditionalFormatting sqref="CT84 CT97:CT98 CT104">
    <cfRule type="cellIs" dxfId="55" priority="40" operator="lessThan">
      <formula>0</formula>
    </cfRule>
  </conditionalFormatting>
  <conditionalFormatting sqref="CT149">
    <cfRule type="cellIs" dxfId="54" priority="44" operator="lessThan">
      <formula>0</formula>
    </cfRule>
  </conditionalFormatting>
  <conditionalFormatting sqref="CZ8:CZ65">
    <cfRule type="cellIs" dxfId="53" priority="117" operator="lessThan">
      <formula>1</formula>
    </cfRule>
  </conditionalFormatting>
  <conditionalFormatting sqref="CZ111:CZ112">
    <cfRule type="cellIs" dxfId="52" priority="95" operator="lessThan">
      <formula>1</formula>
    </cfRule>
  </conditionalFormatting>
  <hyperlinks>
    <hyperlink ref="W137" r:id="rId1" xr:uid="{00000000-0004-0000-0100-000000000000}"/>
    <hyperlink ref="W9" r:id="rId2" xr:uid="{00000000-0004-0000-0100-000001000000}"/>
    <hyperlink ref="W46" r:id="rId3" xr:uid="{00000000-0004-0000-0100-000002000000}"/>
    <hyperlink ref="W76" r:id="rId4" xr:uid="{00000000-0004-0000-0100-000003000000}"/>
    <hyperlink ref="W74" r:id="rId5" xr:uid="{00000000-0004-0000-0100-000004000000}"/>
    <hyperlink ref="W60" r:id="rId6" xr:uid="{00000000-0004-0000-0100-000005000000}"/>
    <hyperlink ref="W103" r:id="rId7" xr:uid="{00000000-0004-0000-0100-000006000000}"/>
    <hyperlink ref="W90" r:id="rId8" xr:uid="{00000000-0004-0000-0100-000007000000}"/>
    <hyperlink ref="W84" r:id="rId9" xr:uid="{00000000-0004-0000-0100-000008000000}"/>
    <hyperlink ref="W86" r:id="rId10" xr:uid="{00000000-0004-0000-0100-000009000000}"/>
    <hyperlink ref="W100" r:id="rId11" xr:uid="{00000000-0004-0000-0100-00000A000000}"/>
    <hyperlink ref="W138" r:id="rId12" xr:uid="{00000000-0004-0000-0100-00000B000000}"/>
    <hyperlink ref="W35" r:id="rId13" xr:uid="{00000000-0004-0000-0100-00000C000000}"/>
    <hyperlink ref="W169" r:id="rId14" xr:uid="{00000000-0004-0000-0100-00000D000000}"/>
    <hyperlink ref="W8" r:id="rId15" xr:uid="{00000000-0004-0000-0100-00000E000000}"/>
    <hyperlink ref="W50" r:id="rId16" xr:uid="{00000000-0004-0000-0100-00000F000000}"/>
    <hyperlink ref="W153" r:id="rId17" xr:uid="{00000000-0004-0000-0100-000010000000}"/>
    <hyperlink ref="W49" r:id="rId18" display=" fareed.nmcz.net@gmail.com" xr:uid="{00000000-0004-0000-0100-000011000000}"/>
    <hyperlink ref="W96" r:id="rId19" xr:uid="{00000000-0004-0000-0100-000012000000}"/>
    <hyperlink ref="W48" r:id="rId20" display="mailto:noor.lab.surgical@gmail.com" xr:uid="{00000000-0004-0000-0100-000013000000}"/>
    <hyperlink ref="W116" r:id="rId21" xr:uid="{00000000-0004-0000-0100-000014000000}"/>
    <hyperlink ref="W178" r:id="rId22" xr:uid="{00000000-0004-0000-0100-000015000000}"/>
    <hyperlink ref="W22:W23" r:id="rId23" display="ahmed_ullah26@yahoo.com" xr:uid="{00000000-0004-0000-0100-000016000000}"/>
    <hyperlink ref="W61" r:id="rId24" xr:uid="{00000000-0004-0000-0100-000017000000}"/>
    <hyperlink ref="W148" r:id="rId25" xr:uid="{00000000-0004-0000-0100-000018000000}"/>
    <hyperlink ref="W147" r:id="rId26" xr:uid="{00000000-0004-0000-0100-000019000000}"/>
    <hyperlink ref="W31:W33" r:id="rId27" display="enterprisesojal@gmail.com" xr:uid="{00000000-0004-0000-0100-00001A000000}"/>
    <hyperlink ref="W120" r:id="rId28" xr:uid="{00000000-0004-0000-0100-00001B000000}"/>
    <hyperlink ref="W51" r:id="rId29" display=" fareed.nmcz.net@gmail.com" xr:uid="{00000000-0004-0000-0100-00001C000000}"/>
    <hyperlink ref="W52" r:id="rId30" xr:uid="{00000000-0004-0000-0100-00001D000000}"/>
    <hyperlink ref="W75" r:id="rId31" xr:uid="{00000000-0004-0000-0100-00001E000000}"/>
    <hyperlink ref="W98" r:id="rId32" xr:uid="{00000000-0004-0000-0100-00001F000000}"/>
    <hyperlink ref="W99" r:id="rId33" xr:uid="{00000000-0004-0000-0100-000020000000}"/>
    <hyperlink ref="W115" r:id="rId34" xr:uid="{00000000-0004-0000-0100-000022000000}"/>
    <hyperlink ref="W117" r:id="rId35" xr:uid="{00000000-0004-0000-0100-000023000000}"/>
    <hyperlink ref="W44" r:id="rId36" xr:uid="{00000000-0004-0000-0100-000024000000}"/>
    <hyperlink ref="W43" r:id="rId37" xr:uid="{00000000-0004-0000-0100-000025000000}"/>
    <hyperlink ref="W26" r:id="rId38" xr:uid="{00000000-0004-0000-0100-000026000000}"/>
    <hyperlink ref="W80" r:id="rId39" xr:uid="{00000000-0004-0000-0100-000027000000}"/>
    <hyperlink ref="W79" r:id="rId40" xr:uid="{00000000-0004-0000-0100-000028000000}"/>
    <hyperlink ref="W154" r:id="rId41" xr:uid="{00000000-0004-0000-0100-000029000000}"/>
    <hyperlink ref="W104" r:id="rId42" xr:uid="{00000000-0004-0000-0100-00002A000000}"/>
    <hyperlink ref="W180" r:id="rId43" display="enterprisesojal@gmail.com" xr:uid="{00000000-0004-0000-0100-00002B000000}"/>
    <hyperlink ref="W182" r:id="rId44" xr:uid="{00000000-0004-0000-0100-00002C000000}"/>
    <hyperlink ref="W47" r:id="rId45" xr:uid="{1312CD2F-169F-45DD-A0FC-C344B32BD4C1}"/>
    <hyperlink ref="W101" r:id="rId46" xr:uid="{D6671459-2D9D-4F4D-BF7C-B543BD174711}"/>
    <hyperlink ref="W64" r:id="rId47" xr:uid="{7F3A15EE-05AD-4219-A223-644F996D769A}"/>
    <hyperlink ref="W82" r:id="rId48" xr:uid="{C3D4D8A4-5587-483E-8695-F510EF36B1B1}"/>
    <hyperlink ref="W41" r:id="rId49" xr:uid="{67037FE1-57B5-4A3C-9C3D-E2E1D05E4059}"/>
    <hyperlink ref="W136" r:id="rId50" xr:uid="{5C013A8B-44E3-4C65-A657-9EE8596C757B}"/>
    <hyperlink ref="W105" r:id="rId51" xr:uid="{28EBDFDB-8566-4478-B1E5-66A8C4376A80}"/>
    <hyperlink ref="W118" r:id="rId52" xr:uid="{601FE4A5-8745-4FFD-8C76-4962BE423637}"/>
    <hyperlink ref="W133" r:id="rId53" xr:uid="{E75B9134-3A8C-4D29-A43E-A23586F4802C}"/>
    <hyperlink ref="W92" r:id="rId54" xr:uid="{5A46D842-12FF-4E39-9D87-DBD4DCB68B9C}"/>
    <hyperlink ref="W161" r:id="rId55" xr:uid="{579BEE76-A763-44C6-96C0-A5E0433CCBC1}"/>
    <hyperlink ref="W42" r:id="rId56" xr:uid="{5C23CE66-8426-4B52-9A64-71F9B3F63EA4}"/>
    <hyperlink ref="W112" r:id="rId57" xr:uid="{9CDD1004-8402-454B-B34C-FEF2329E986B}"/>
    <hyperlink ref="W40:W43" r:id="rId58" display="unsa.sajjad@tih.org.pk" xr:uid="{36A86D11-9F9F-4837-AC6F-E05C5AE1F905}"/>
    <hyperlink ref="W34" r:id="rId59" xr:uid="{5CBD1E68-7E7A-4C6B-8A67-E52B4BB59CA9}"/>
    <hyperlink ref="W107" r:id="rId60" xr:uid="{EEBE4DE1-6260-4AF1-9B88-4921A7306478}"/>
    <hyperlink ref="W141" r:id="rId61" xr:uid="{0BF0F205-C400-43D9-99AF-331B8ADE8999}"/>
    <hyperlink ref="W91" r:id="rId62" display="enterprisesojal@gmail.com" xr:uid="{14017B53-187D-498A-888C-274850299C20}"/>
    <hyperlink ref="W33" r:id="rId63" xr:uid="{0007FC96-8789-442E-BC60-DC2076B576BB}"/>
    <hyperlink ref="W95" r:id="rId64" xr:uid="{F5F921EC-542D-4648-A68E-E810B574FA4D}"/>
    <hyperlink ref="W83" r:id="rId65" xr:uid="{E12CBE8E-5797-46CA-9F0B-8F1C37DA561C}"/>
    <hyperlink ref="W157" r:id="rId66" xr:uid="{1DA84EAD-0EA3-40B6-A269-54696523FD0B}"/>
    <hyperlink ref="W132" r:id="rId67" xr:uid="{06E711D8-E529-435D-9EDE-BFB32EB499BE}"/>
    <hyperlink ref="W85" r:id="rId68" xr:uid="{AD953A9A-1ADF-4243-BC1A-EE0EF792EE15}"/>
    <hyperlink ref="W111" r:id="rId69" xr:uid="{C84A98B2-B547-4033-AAF6-554269A6889B}"/>
    <hyperlink ref="W119" r:id="rId70" xr:uid="{87A19C91-EA18-47B5-AC14-FE778282116A}"/>
    <hyperlink ref="W152" r:id="rId71" xr:uid="{12067853-D5E3-4381-8AFD-D838F253292A}"/>
    <hyperlink ref="W69" r:id="rId72" xr:uid="{C10FBCDF-EC7A-4029-B057-71FE774A0F0F}"/>
    <hyperlink ref="W68" r:id="rId73" xr:uid="{4CF2E7F1-6A6E-43EA-98E1-16441EB5476C}"/>
    <hyperlink ref="W155" r:id="rId74" xr:uid="{AFAD60C0-8FD3-430B-AC8D-6FEA493656AE}"/>
    <hyperlink ref="W185" r:id="rId75" xr:uid="{1A5AD4BE-A1A7-48B4-8BC9-4D8994BB1CCB}"/>
    <hyperlink ref="W70" r:id="rId76" xr:uid="{B19F938B-D92A-4989-A227-416DBA22ADEA}"/>
    <hyperlink ref="W25" r:id="rId77" xr:uid="{2DA0C9D1-D344-4A83-851D-7C32CDB317C9}"/>
    <hyperlink ref="W125" r:id="rId78" xr:uid="{D7ADE272-86F9-41AE-9FD4-7A11212AF497}"/>
    <hyperlink ref="W108" r:id="rId79" xr:uid="{D001364D-06D8-4E33-9FA1-69CD831CB9D8}"/>
    <hyperlink ref="W163" r:id="rId80" xr:uid="{187C6F72-6F21-46CB-911A-7103464549AA}"/>
    <hyperlink ref="W162" r:id="rId81" xr:uid="{5635F3AC-6BBB-4262-8BCB-3844539EC528}"/>
  </hyperlinks>
  <pageMargins left="0.17" right="0.17" top="0.74803149606299213" bottom="0.74803149606299213" header="0.31496062992125984" footer="0.31496062992125984"/>
  <pageSetup paperSize="9" scale="15" fitToHeight="0" orientation="landscape" r:id="rId82"/>
  <colBreaks count="1" manualBreakCount="1">
    <brk id="23" min="6" max="13" man="1"/>
  </colBreaks>
  <ignoredErrors>
    <ignoredError sqref="CM207" unlockedFormula="1"/>
  </ignoredErrors>
  <drawing r:id="rId83"/>
  <legacyDrawing r:id="rId84"/>
  <tableParts count="1">
    <tablePart r:id="rId85"/>
  </tableParts>
  <extLst>
    <ext xmlns:x15="http://schemas.microsoft.com/office/spreadsheetml/2010/11/main" uri="{3A4CF648-6AED-40f4-86FF-DC5316D8AED3}">
      <x14:slicerList xmlns:x14="http://schemas.microsoft.com/office/spreadsheetml/2009/9/main">
        <x14:slicer r:id="rId86"/>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ABCD-EA86-49FA-8C9E-8E48ED1F6774}">
  <dimension ref="A1:L118"/>
  <sheetViews>
    <sheetView workbookViewId="0">
      <selection activeCell="A3" sqref="A3:B81"/>
    </sheetView>
  </sheetViews>
  <sheetFormatPr defaultRowHeight="14.4" x14ac:dyDescent="0.3"/>
  <cols>
    <col min="1" max="1" width="9.109375" style="137"/>
    <col min="2" max="2" width="50.33203125" bestFit="1" customWidth="1"/>
    <col min="3" max="3" width="18.109375" style="43" bestFit="1" customWidth="1"/>
    <col min="4" max="4" width="12.44140625" bestFit="1" customWidth="1"/>
    <col min="5" max="5" width="26.33203125" customWidth="1"/>
    <col min="6" max="6" width="11.33203125" customWidth="1"/>
    <col min="7" max="7" width="10.5546875" bestFit="1" customWidth="1"/>
    <col min="8" max="8" width="11" bestFit="1" customWidth="1"/>
    <col min="9" max="9" width="13" customWidth="1"/>
    <col min="10" max="10" width="60.33203125" bestFit="1" customWidth="1"/>
    <col min="11" max="11" width="8.5546875" hidden="1" customWidth="1"/>
    <col min="12" max="12" width="27.109375" bestFit="1" customWidth="1"/>
  </cols>
  <sheetData>
    <row r="1" spans="1:12" ht="21" x14ac:dyDescent="0.4">
      <c r="B1" s="286"/>
    </row>
    <row r="2" spans="1:12" ht="21" x14ac:dyDescent="0.4">
      <c r="B2" s="287" t="s">
        <v>1352</v>
      </c>
    </row>
    <row r="3" spans="1:12" ht="39.6" customHeight="1" x14ac:dyDescent="0.3">
      <c r="A3" s="347"/>
      <c r="B3" s="323" t="s">
        <v>203</v>
      </c>
      <c r="C3" s="324" t="s">
        <v>204</v>
      </c>
      <c r="D3" s="325" t="s">
        <v>206</v>
      </c>
      <c r="E3" s="325" t="s">
        <v>208</v>
      </c>
      <c r="F3" s="326" t="s">
        <v>0</v>
      </c>
      <c r="G3" s="327" t="s">
        <v>3</v>
      </c>
      <c r="H3" s="327" t="s">
        <v>214</v>
      </c>
      <c r="I3" s="328" t="s">
        <v>215</v>
      </c>
      <c r="J3" s="329" t="s">
        <v>216</v>
      </c>
      <c r="K3" s="330" t="s">
        <v>252</v>
      </c>
      <c r="L3" s="331" t="s">
        <v>1353</v>
      </c>
    </row>
    <row r="4" spans="1:12" ht="28.95" customHeight="1" x14ac:dyDescent="0.3">
      <c r="A4" s="348">
        <v>1</v>
      </c>
      <c r="B4" s="288" t="s">
        <v>1087</v>
      </c>
      <c r="C4" s="289">
        <v>15002668</v>
      </c>
      <c r="D4" s="290">
        <v>3002000074</v>
      </c>
      <c r="E4" s="291" t="s">
        <v>1088</v>
      </c>
      <c r="F4" s="292" t="s">
        <v>304</v>
      </c>
      <c r="G4" s="292" t="s">
        <v>15</v>
      </c>
      <c r="H4" s="293" t="s">
        <v>401</v>
      </c>
      <c r="I4" s="293">
        <v>3020001175</v>
      </c>
      <c r="J4" s="294" t="s">
        <v>56</v>
      </c>
      <c r="K4" s="295">
        <v>1</v>
      </c>
      <c r="L4" s="332" t="s">
        <v>315</v>
      </c>
    </row>
    <row r="5" spans="1:12" ht="28.95" customHeight="1" x14ac:dyDescent="0.3">
      <c r="A5" s="348">
        <v>2</v>
      </c>
      <c r="B5" s="288" t="s">
        <v>28</v>
      </c>
      <c r="C5" s="289">
        <v>15002760</v>
      </c>
      <c r="D5" s="296">
        <v>3002000033</v>
      </c>
      <c r="E5" s="291">
        <v>30006238</v>
      </c>
      <c r="F5" s="291" t="s">
        <v>529</v>
      </c>
      <c r="G5" s="292" t="s">
        <v>15</v>
      </c>
      <c r="H5" s="293" t="s">
        <v>305</v>
      </c>
      <c r="I5" s="293">
        <v>3020000477</v>
      </c>
      <c r="J5" s="289" t="s">
        <v>58</v>
      </c>
      <c r="K5" s="297">
        <v>1</v>
      </c>
      <c r="L5" s="333" t="s">
        <v>561</v>
      </c>
    </row>
    <row r="6" spans="1:12" ht="28.95" customHeight="1" x14ac:dyDescent="0.3">
      <c r="A6" s="348">
        <v>3</v>
      </c>
      <c r="B6" s="288" t="s">
        <v>28</v>
      </c>
      <c r="C6" s="289">
        <v>15002760</v>
      </c>
      <c r="D6" s="296">
        <v>3002000037</v>
      </c>
      <c r="E6" s="291">
        <v>30006243</v>
      </c>
      <c r="F6" s="291" t="s">
        <v>529</v>
      </c>
      <c r="G6" s="292" t="s">
        <v>15</v>
      </c>
      <c r="H6" s="293" t="s">
        <v>305</v>
      </c>
      <c r="I6" s="293">
        <v>3020000477</v>
      </c>
      <c r="J6" s="289" t="s">
        <v>58</v>
      </c>
      <c r="K6" s="297">
        <v>1</v>
      </c>
      <c r="L6" s="333" t="s">
        <v>561</v>
      </c>
    </row>
    <row r="7" spans="1:12" ht="28.95" customHeight="1" x14ac:dyDescent="0.3">
      <c r="A7" s="348">
        <v>4</v>
      </c>
      <c r="B7" s="288" t="s">
        <v>865</v>
      </c>
      <c r="C7" s="298">
        <v>15002705</v>
      </c>
      <c r="D7" s="299">
        <v>3002000079</v>
      </c>
      <c r="E7" s="291" t="s">
        <v>866</v>
      </c>
      <c r="F7" s="292" t="s">
        <v>304</v>
      </c>
      <c r="G7" s="292" t="s">
        <v>17</v>
      </c>
      <c r="H7" s="293" t="s">
        <v>440</v>
      </c>
      <c r="I7" s="293">
        <v>3020000881</v>
      </c>
      <c r="J7" s="289" t="s">
        <v>59</v>
      </c>
      <c r="K7" s="295">
        <v>1</v>
      </c>
      <c r="L7" s="333" t="s">
        <v>315</v>
      </c>
    </row>
    <row r="8" spans="1:12" ht="28.95" customHeight="1" x14ac:dyDescent="0.3">
      <c r="A8" s="348">
        <v>5</v>
      </c>
      <c r="B8" s="288" t="s">
        <v>439</v>
      </c>
      <c r="C8" s="289">
        <v>15003000</v>
      </c>
      <c r="D8" s="299">
        <v>3002000101</v>
      </c>
      <c r="E8" s="299">
        <v>1613</v>
      </c>
      <c r="F8" s="292" t="s">
        <v>304</v>
      </c>
      <c r="G8" s="292" t="s">
        <v>17</v>
      </c>
      <c r="H8" s="293" t="s">
        <v>440</v>
      </c>
      <c r="I8" s="293">
        <v>3020000881</v>
      </c>
      <c r="J8" s="300" t="s">
        <v>59</v>
      </c>
      <c r="K8" s="295">
        <v>1</v>
      </c>
      <c r="L8" s="334" t="s">
        <v>315</v>
      </c>
    </row>
    <row r="9" spans="1:12" ht="28.95" customHeight="1" x14ac:dyDescent="0.3">
      <c r="A9" s="348">
        <v>6</v>
      </c>
      <c r="B9" s="288" t="s">
        <v>489</v>
      </c>
      <c r="C9" s="289">
        <v>15001968</v>
      </c>
      <c r="D9" s="301" t="s">
        <v>1004</v>
      </c>
      <c r="E9" s="301" t="s">
        <v>1005</v>
      </c>
      <c r="F9" s="291" t="s">
        <v>304</v>
      </c>
      <c r="G9" s="292" t="s">
        <v>17</v>
      </c>
      <c r="H9" s="293" t="s">
        <v>1006</v>
      </c>
      <c r="I9" s="293">
        <v>3020001042</v>
      </c>
      <c r="J9" s="300" t="s">
        <v>61</v>
      </c>
      <c r="K9" s="295">
        <v>1</v>
      </c>
      <c r="L9" s="334" t="s">
        <v>315</v>
      </c>
    </row>
    <row r="10" spans="1:12" ht="28.95" customHeight="1" x14ac:dyDescent="0.3">
      <c r="A10" s="348">
        <v>7</v>
      </c>
      <c r="B10" s="288" t="s">
        <v>439</v>
      </c>
      <c r="C10" s="289">
        <v>15003000</v>
      </c>
      <c r="D10" s="291">
        <v>3002000112</v>
      </c>
      <c r="E10" s="291">
        <v>1746</v>
      </c>
      <c r="F10" s="292" t="s">
        <v>304</v>
      </c>
      <c r="G10" s="292" t="s">
        <v>17</v>
      </c>
      <c r="H10" s="293" t="s">
        <v>440</v>
      </c>
      <c r="I10" s="293">
        <v>3020000170</v>
      </c>
      <c r="J10" s="289" t="s">
        <v>62</v>
      </c>
      <c r="K10" s="295">
        <v>1</v>
      </c>
      <c r="L10" s="334" t="s">
        <v>315</v>
      </c>
    </row>
    <row r="11" spans="1:12" ht="28.95" customHeight="1" x14ac:dyDescent="0.3">
      <c r="A11" s="348">
        <v>8</v>
      </c>
      <c r="B11" s="288" t="s">
        <v>679</v>
      </c>
      <c r="C11" s="289"/>
      <c r="D11" s="291"/>
      <c r="E11" s="302">
        <v>324100000639</v>
      </c>
      <c r="F11" s="292" t="s">
        <v>304</v>
      </c>
      <c r="G11" s="292" t="s">
        <v>15</v>
      </c>
      <c r="H11" s="293" t="s">
        <v>305</v>
      </c>
      <c r="I11" s="293">
        <v>3020000647</v>
      </c>
      <c r="J11" s="289" t="s">
        <v>64</v>
      </c>
      <c r="K11" s="295">
        <v>1</v>
      </c>
      <c r="L11" s="333" t="s">
        <v>315</v>
      </c>
    </row>
    <row r="12" spans="1:12" ht="28.95" customHeight="1" x14ac:dyDescent="0.3">
      <c r="A12" s="348">
        <v>9</v>
      </c>
      <c r="B12" s="288" t="s">
        <v>439</v>
      </c>
      <c r="C12" s="289">
        <v>15003000</v>
      </c>
      <c r="D12" s="299">
        <v>3002000102</v>
      </c>
      <c r="E12" s="291">
        <v>1614</v>
      </c>
      <c r="F12" s="292" t="s">
        <v>304</v>
      </c>
      <c r="G12" s="292" t="s">
        <v>17</v>
      </c>
      <c r="H12" s="293" t="s">
        <v>440</v>
      </c>
      <c r="I12" s="293">
        <v>3020000580</v>
      </c>
      <c r="J12" s="300" t="s">
        <v>65</v>
      </c>
      <c r="K12" s="295">
        <v>1</v>
      </c>
      <c r="L12" s="334" t="s">
        <v>315</v>
      </c>
    </row>
    <row r="13" spans="1:12" ht="28.95" customHeight="1" x14ac:dyDescent="0.3">
      <c r="A13" s="348">
        <v>10</v>
      </c>
      <c r="B13" s="288" t="s">
        <v>996</v>
      </c>
      <c r="C13" s="289">
        <v>15002128</v>
      </c>
      <c r="D13" s="291"/>
      <c r="E13" s="303" t="s">
        <v>997</v>
      </c>
      <c r="F13" s="292" t="s">
        <v>304</v>
      </c>
      <c r="G13" s="292" t="s">
        <v>15</v>
      </c>
      <c r="H13" s="293" t="s">
        <v>1000</v>
      </c>
      <c r="I13" s="288">
        <v>3020001042</v>
      </c>
      <c r="J13" s="289" t="s">
        <v>67</v>
      </c>
      <c r="K13" s="295">
        <v>1</v>
      </c>
      <c r="L13" s="333" t="s">
        <v>315</v>
      </c>
    </row>
    <row r="14" spans="1:12" ht="28.95" customHeight="1" x14ac:dyDescent="0.3">
      <c r="A14" s="348">
        <v>11</v>
      </c>
      <c r="B14" s="288" t="s">
        <v>33</v>
      </c>
      <c r="C14" s="289">
        <v>15001967</v>
      </c>
      <c r="D14" s="296">
        <v>3002000004</v>
      </c>
      <c r="E14" s="291">
        <v>104282</v>
      </c>
      <c r="F14" s="292" t="s">
        <v>304</v>
      </c>
      <c r="G14" s="292" t="s">
        <v>16</v>
      </c>
      <c r="H14" s="293" t="s">
        <v>565</v>
      </c>
      <c r="I14" s="293">
        <v>3020000515</v>
      </c>
      <c r="J14" s="300" t="s">
        <v>68</v>
      </c>
      <c r="K14" s="297">
        <v>1</v>
      </c>
      <c r="L14" s="334" t="s">
        <v>315</v>
      </c>
    </row>
    <row r="15" spans="1:12" ht="28.95" customHeight="1" x14ac:dyDescent="0.3">
      <c r="A15" s="348">
        <v>12</v>
      </c>
      <c r="B15" s="288" t="s">
        <v>31</v>
      </c>
      <c r="C15" s="289">
        <v>15002462</v>
      </c>
      <c r="D15" s="296">
        <v>3002000014</v>
      </c>
      <c r="E15" s="291" t="s">
        <v>592</v>
      </c>
      <c r="F15" s="291" t="s">
        <v>596</v>
      </c>
      <c r="G15" s="292" t="s">
        <v>15</v>
      </c>
      <c r="H15" s="293" t="s">
        <v>305</v>
      </c>
      <c r="I15" s="293">
        <v>3020000539</v>
      </c>
      <c r="J15" s="288" t="s">
        <v>136</v>
      </c>
      <c r="K15" s="304">
        <v>1</v>
      </c>
      <c r="L15" s="335" t="s">
        <v>315</v>
      </c>
    </row>
    <row r="16" spans="1:12" ht="28.95" customHeight="1" x14ac:dyDescent="0.3">
      <c r="A16" s="348">
        <v>13</v>
      </c>
      <c r="B16" s="288" t="s">
        <v>30</v>
      </c>
      <c r="C16" s="289">
        <v>15002463</v>
      </c>
      <c r="D16" s="291">
        <v>3002000002</v>
      </c>
      <c r="E16" s="291" t="s">
        <v>1093</v>
      </c>
      <c r="F16" s="292" t="s">
        <v>304</v>
      </c>
      <c r="G16" s="292" t="s">
        <v>16</v>
      </c>
      <c r="H16" s="293" t="s">
        <v>1095</v>
      </c>
      <c r="I16" s="293">
        <v>3020001192</v>
      </c>
      <c r="J16" s="300" t="s">
        <v>70</v>
      </c>
      <c r="K16" s="305">
        <v>1</v>
      </c>
      <c r="L16" s="334" t="s">
        <v>315</v>
      </c>
    </row>
    <row r="17" spans="1:12" ht="28.95" customHeight="1" x14ac:dyDescent="0.3">
      <c r="A17" s="348">
        <v>14</v>
      </c>
      <c r="B17" s="288" t="s">
        <v>35</v>
      </c>
      <c r="C17" s="289">
        <v>15002553</v>
      </c>
      <c r="D17" s="291" t="s">
        <v>788</v>
      </c>
      <c r="E17" s="303" t="s">
        <v>789</v>
      </c>
      <c r="F17" s="292" t="s">
        <v>304</v>
      </c>
      <c r="G17" s="292" t="s">
        <v>17</v>
      </c>
      <c r="H17" s="293" t="s">
        <v>791</v>
      </c>
      <c r="I17" s="293">
        <v>3020000764</v>
      </c>
      <c r="J17" s="300" t="s">
        <v>71</v>
      </c>
      <c r="K17" s="295">
        <v>1</v>
      </c>
      <c r="L17" s="334" t="s">
        <v>315</v>
      </c>
    </row>
    <row r="18" spans="1:12" ht="28.95" customHeight="1" x14ac:dyDescent="0.3">
      <c r="A18" s="348">
        <v>15</v>
      </c>
      <c r="B18" s="288" t="s">
        <v>31</v>
      </c>
      <c r="C18" s="289">
        <v>15002462</v>
      </c>
      <c r="D18" s="296">
        <v>3002000009</v>
      </c>
      <c r="E18" s="291" t="s">
        <v>531</v>
      </c>
      <c r="F18" s="291" t="s">
        <v>304</v>
      </c>
      <c r="G18" s="292" t="s">
        <v>15</v>
      </c>
      <c r="H18" s="293" t="s">
        <v>305</v>
      </c>
      <c r="I18" s="293">
        <v>3020000447</v>
      </c>
      <c r="J18" s="288" t="s">
        <v>72</v>
      </c>
      <c r="K18" s="304">
        <v>1</v>
      </c>
      <c r="L18" s="335" t="s">
        <v>315</v>
      </c>
    </row>
    <row r="19" spans="1:12" ht="28.95" customHeight="1" x14ac:dyDescent="0.3">
      <c r="A19" s="348">
        <v>17</v>
      </c>
      <c r="B19" s="288" t="s">
        <v>33</v>
      </c>
      <c r="C19" s="289">
        <v>15001967</v>
      </c>
      <c r="D19" s="299">
        <v>3002000095</v>
      </c>
      <c r="E19" s="291">
        <v>123220</v>
      </c>
      <c r="F19" s="292" t="s">
        <v>304</v>
      </c>
      <c r="G19" s="292" t="s">
        <v>16</v>
      </c>
      <c r="H19" s="293" t="s">
        <v>565</v>
      </c>
      <c r="I19" s="293">
        <v>3020000753</v>
      </c>
      <c r="J19" s="300" t="s">
        <v>73</v>
      </c>
      <c r="K19" s="295">
        <v>1</v>
      </c>
      <c r="L19" s="334" t="s">
        <v>315</v>
      </c>
    </row>
    <row r="20" spans="1:12" ht="28.95" customHeight="1" x14ac:dyDescent="0.3">
      <c r="A20" s="348">
        <v>18</v>
      </c>
      <c r="B20" s="288" t="s">
        <v>35</v>
      </c>
      <c r="C20" s="289">
        <v>15002553</v>
      </c>
      <c r="D20" s="309">
        <v>3002000060</v>
      </c>
      <c r="E20" s="309" t="s">
        <v>908</v>
      </c>
      <c r="F20" s="292" t="s">
        <v>596</v>
      </c>
      <c r="G20" s="292" t="s">
        <v>15</v>
      </c>
      <c r="H20" s="293" t="s">
        <v>305</v>
      </c>
      <c r="I20" s="293">
        <v>3020000917</v>
      </c>
      <c r="J20" s="300" t="s">
        <v>141</v>
      </c>
      <c r="K20" s="304">
        <v>1</v>
      </c>
      <c r="L20" s="334" t="s">
        <v>315</v>
      </c>
    </row>
    <row r="21" spans="1:12" ht="28.95" customHeight="1" x14ac:dyDescent="0.3">
      <c r="A21" s="348">
        <v>19</v>
      </c>
      <c r="B21" s="288" t="s">
        <v>30</v>
      </c>
      <c r="C21" s="289">
        <v>15002463</v>
      </c>
      <c r="D21" s="296">
        <v>3002000012</v>
      </c>
      <c r="E21" s="291" t="s">
        <v>704</v>
      </c>
      <c r="F21" s="292" t="s">
        <v>529</v>
      </c>
      <c r="G21" s="292" t="s">
        <v>15</v>
      </c>
      <c r="H21" s="293" t="s">
        <v>305</v>
      </c>
      <c r="I21" s="293">
        <v>3020000692</v>
      </c>
      <c r="J21" s="300" t="s">
        <v>74</v>
      </c>
      <c r="K21" s="305">
        <v>1</v>
      </c>
      <c r="L21" s="334" t="s">
        <v>315</v>
      </c>
    </row>
    <row r="22" spans="1:12" ht="28.95" customHeight="1" x14ac:dyDescent="0.3">
      <c r="A22" s="348">
        <v>20</v>
      </c>
      <c r="B22" s="288" t="s">
        <v>31</v>
      </c>
      <c r="C22" s="289">
        <v>15002462</v>
      </c>
      <c r="D22" s="296">
        <v>3002000010</v>
      </c>
      <c r="E22" s="291" t="s">
        <v>300</v>
      </c>
      <c r="F22" s="291" t="s">
        <v>304</v>
      </c>
      <c r="G22" s="292" t="s">
        <v>15</v>
      </c>
      <c r="H22" s="293" t="s">
        <v>305</v>
      </c>
      <c r="I22" s="293">
        <v>3020000013</v>
      </c>
      <c r="J22" s="300" t="s">
        <v>76</v>
      </c>
      <c r="K22" s="304">
        <v>1</v>
      </c>
      <c r="L22" s="334" t="s">
        <v>315</v>
      </c>
    </row>
    <row r="23" spans="1:12" ht="28.95" customHeight="1" x14ac:dyDescent="0.3">
      <c r="A23" s="348">
        <v>21</v>
      </c>
      <c r="B23" s="288" t="s">
        <v>29</v>
      </c>
      <c r="C23" s="289">
        <v>15002758</v>
      </c>
      <c r="D23" s="296">
        <v>3002000027</v>
      </c>
      <c r="E23" s="291">
        <v>36001565</v>
      </c>
      <c r="F23" s="292" t="s">
        <v>529</v>
      </c>
      <c r="G23" s="292" t="s">
        <v>15</v>
      </c>
      <c r="H23" s="293" t="s">
        <v>927</v>
      </c>
      <c r="I23" s="293">
        <v>3020000917</v>
      </c>
      <c r="J23" s="300" t="s">
        <v>75</v>
      </c>
      <c r="K23" s="295">
        <v>1</v>
      </c>
      <c r="L23" s="334" t="s">
        <v>635</v>
      </c>
    </row>
    <row r="24" spans="1:12" ht="28.95" customHeight="1" x14ac:dyDescent="0.3">
      <c r="A24" s="348">
        <v>22</v>
      </c>
      <c r="B24" s="306" t="s">
        <v>35</v>
      </c>
      <c r="C24" s="289">
        <v>15002553</v>
      </c>
      <c r="D24" s="307"/>
      <c r="E24" s="307" t="s">
        <v>1283</v>
      </c>
      <c r="F24" s="307" t="s">
        <v>304</v>
      </c>
      <c r="G24" s="307" t="s">
        <v>15</v>
      </c>
      <c r="H24" s="308" t="s">
        <v>1000</v>
      </c>
      <c r="I24" s="293">
        <v>3020001748</v>
      </c>
      <c r="J24" s="306" t="s">
        <v>85</v>
      </c>
      <c r="K24" s="295">
        <v>1</v>
      </c>
      <c r="L24" s="336"/>
    </row>
    <row r="25" spans="1:12" ht="28.95" customHeight="1" x14ac:dyDescent="0.3">
      <c r="A25" s="348">
        <v>23</v>
      </c>
      <c r="B25" s="306" t="s">
        <v>409</v>
      </c>
      <c r="C25" s="289">
        <v>15003243</v>
      </c>
      <c r="D25" s="307" t="s">
        <v>410</v>
      </c>
      <c r="E25" s="307" t="s">
        <v>411</v>
      </c>
      <c r="F25" s="307" t="s">
        <v>304</v>
      </c>
      <c r="G25" s="307" t="s">
        <v>15</v>
      </c>
      <c r="H25" s="308" t="s">
        <v>401</v>
      </c>
      <c r="I25" s="293">
        <v>3020000114</v>
      </c>
      <c r="J25" s="306" t="s">
        <v>77</v>
      </c>
      <c r="K25" s="295">
        <v>1</v>
      </c>
      <c r="L25" s="336" t="s">
        <v>315</v>
      </c>
    </row>
    <row r="26" spans="1:12" ht="28.95" customHeight="1" x14ac:dyDescent="0.3">
      <c r="A26" s="348">
        <v>24</v>
      </c>
      <c r="B26" s="288" t="s">
        <v>36</v>
      </c>
      <c r="C26" s="289">
        <v>15002128</v>
      </c>
      <c r="D26" s="296">
        <v>3002000003</v>
      </c>
      <c r="E26" s="291" t="s">
        <v>318</v>
      </c>
      <c r="F26" s="291" t="s">
        <v>304</v>
      </c>
      <c r="G26" s="292" t="s">
        <v>15</v>
      </c>
      <c r="H26" s="293" t="s">
        <v>305</v>
      </c>
      <c r="I26" s="293">
        <v>3020000022</v>
      </c>
      <c r="J26" s="300" t="s">
        <v>78</v>
      </c>
      <c r="K26" s="304">
        <v>1</v>
      </c>
      <c r="L26" s="334" t="s">
        <v>315</v>
      </c>
    </row>
    <row r="27" spans="1:12" ht="28.95" customHeight="1" x14ac:dyDescent="0.3">
      <c r="A27" s="348">
        <v>25</v>
      </c>
      <c r="B27" s="288" t="s">
        <v>1297</v>
      </c>
      <c r="C27" s="298">
        <v>15002760</v>
      </c>
      <c r="D27" s="299">
        <v>3002000090</v>
      </c>
      <c r="E27" s="299">
        <v>30006326</v>
      </c>
      <c r="F27" s="291" t="s">
        <v>1323</v>
      </c>
      <c r="G27" s="292" t="s">
        <v>15</v>
      </c>
      <c r="H27" s="293" t="s">
        <v>1000</v>
      </c>
      <c r="I27" s="293">
        <v>3020001748</v>
      </c>
      <c r="J27" s="310" t="s">
        <v>80</v>
      </c>
      <c r="K27" s="304">
        <v>1</v>
      </c>
      <c r="L27" s="337" t="s">
        <v>635</v>
      </c>
    </row>
    <row r="28" spans="1:12" ht="28.95" customHeight="1" x14ac:dyDescent="0.3">
      <c r="A28" s="348">
        <v>26</v>
      </c>
      <c r="B28" s="288" t="s">
        <v>35</v>
      </c>
      <c r="C28" s="289">
        <v>15002553</v>
      </c>
      <c r="D28" s="299">
        <v>3002000106</v>
      </c>
      <c r="E28" s="303" t="s">
        <v>809</v>
      </c>
      <c r="F28" s="292" t="s">
        <v>304</v>
      </c>
      <c r="G28" s="292" t="s">
        <v>16</v>
      </c>
      <c r="H28" s="293" t="s">
        <v>349</v>
      </c>
      <c r="I28" s="293">
        <v>3020000771</v>
      </c>
      <c r="J28" s="300" t="s">
        <v>86</v>
      </c>
      <c r="K28" s="295">
        <v>1</v>
      </c>
      <c r="L28" s="334" t="s">
        <v>315</v>
      </c>
    </row>
    <row r="29" spans="1:12" ht="28.95" customHeight="1" x14ac:dyDescent="0.3">
      <c r="A29" s="348">
        <v>27</v>
      </c>
      <c r="B29" s="288" t="s">
        <v>507</v>
      </c>
      <c r="C29" s="289">
        <v>15002673</v>
      </c>
      <c r="D29" s="291"/>
      <c r="E29" s="291"/>
      <c r="F29" s="292" t="s">
        <v>304</v>
      </c>
      <c r="G29" s="292" t="s">
        <v>16</v>
      </c>
      <c r="H29" s="293" t="s">
        <v>510</v>
      </c>
      <c r="I29" s="293">
        <v>3020000394</v>
      </c>
      <c r="J29" s="300" t="s">
        <v>81</v>
      </c>
      <c r="K29" s="295">
        <v>1</v>
      </c>
      <c r="L29" s="334" t="s">
        <v>315</v>
      </c>
    </row>
    <row r="30" spans="1:12" ht="28.95" customHeight="1" x14ac:dyDescent="0.3">
      <c r="A30" s="348">
        <v>28</v>
      </c>
      <c r="B30" s="288" t="s">
        <v>848</v>
      </c>
      <c r="C30" s="298">
        <v>15002705</v>
      </c>
      <c r="D30" s="291" t="s">
        <v>849</v>
      </c>
      <c r="E30" s="291" t="s">
        <v>850</v>
      </c>
      <c r="F30" s="292" t="s">
        <v>304</v>
      </c>
      <c r="G30" s="292" t="s">
        <v>16</v>
      </c>
      <c r="H30" s="293" t="s">
        <v>349</v>
      </c>
      <c r="I30" s="293">
        <v>3020000823</v>
      </c>
      <c r="J30" s="300" t="s">
        <v>84</v>
      </c>
      <c r="K30" s="295">
        <v>1</v>
      </c>
      <c r="L30" s="334" t="s">
        <v>315</v>
      </c>
    </row>
    <row r="31" spans="1:12" ht="28.95" customHeight="1" x14ac:dyDescent="0.3">
      <c r="A31" s="348">
        <v>30</v>
      </c>
      <c r="B31" s="288" t="s">
        <v>31</v>
      </c>
      <c r="C31" s="289">
        <v>15002462</v>
      </c>
      <c r="D31" s="299">
        <v>3002000100</v>
      </c>
      <c r="E31" s="299" t="s">
        <v>1177</v>
      </c>
      <c r="F31" s="292" t="s">
        <v>304</v>
      </c>
      <c r="G31" s="292" t="s">
        <v>17</v>
      </c>
      <c r="H31" s="293" t="s">
        <v>791</v>
      </c>
      <c r="I31" s="293">
        <v>3020001357</v>
      </c>
      <c r="J31" s="300" t="s">
        <v>87</v>
      </c>
      <c r="K31" s="295">
        <v>1</v>
      </c>
      <c r="L31" s="334" t="s">
        <v>315</v>
      </c>
    </row>
    <row r="32" spans="1:12" ht="28.95" customHeight="1" x14ac:dyDescent="0.3">
      <c r="A32" s="348">
        <v>31</v>
      </c>
      <c r="B32" s="306" t="s">
        <v>31</v>
      </c>
      <c r="C32" s="289">
        <v>15002462</v>
      </c>
      <c r="D32" s="307"/>
      <c r="E32" s="307" t="s">
        <v>502</v>
      </c>
      <c r="F32" s="292" t="s">
        <v>304</v>
      </c>
      <c r="G32" s="307" t="s">
        <v>15</v>
      </c>
      <c r="H32" s="308" t="s">
        <v>305</v>
      </c>
      <c r="I32" s="311">
        <v>3020000386</v>
      </c>
      <c r="J32" s="306" t="s">
        <v>89</v>
      </c>
      <c r="K32" s="295">
        <v>1</v>
      </c>
      <c r="L32" s="336" t="s">
        <v>315</v>
      </c>
    </row>
    <row r="33" spans="1:12" ht="28.95" customHeight="1" x14ac:dyDescent="0.3">
      <c r="A33" s="348">
        <v>32</v>
      </c>
      <c r="B33" s="288" t="s">
        <v>35</v>
      </c>
      <c r="C33" s="289">
        <v>15002553</v>
      </c>
      <c r="D33" s="291"/>
      <c r="E33" s="291" t="s">
        <v>642</v>
      </c>
      <c r="F33" s="292" t="s">
        <v>304</v>
      </c>
      <c r="G33" s="292" t="s">
        <v>16</v>
      </c>
      <c r="H33" s="293" t="s">
        <v>643</v>
      </c>
      <c r="I33" s="293">
        <v>3020000605</v>
      </c>
      <c r="J33" s="300" t="s">
        <v>90</v>
      </c>
      <c r="K33" s="295">
        <v>1</v>
      </c>
      <c r="L33" s="334" t="s">
        <v>315</v>
      </c>
    </row>
    <row r="34" spans="1:12" ht="28.95" customHeight="1" x14ac:dyDescent="0.3">
      <c r="A34" s="348">
        <v>33</v>
      </c>
      <c r="B34" s="306" t="s">
        <v>30</v>
      </c>
      <c r="C34" s="289">
        <v>15002463</v>
      </c>
      <c r="D34" s="307"/>
      <c r="E34" s="307"/>
      <c r="F34" s="307" t="s">
        <v>304</v>
      </c>
      <c r="G34" s="307" t="s">
        <v>15</v>
      </c>
      <c r="H34" s="308" t="s">
        <v>305</v>
      </c>
      <c r="I34" s="311">
        <v>3020000386</v>
      </c>
      <c r="J34" s="306" t="s">
        <v>89</v>
      </c>
      <c r="K34" s="312">
        <v>1</v>
      </c>
      <c r="L34" s="336" t="s">
        <v>315</v>
      </c>
    </row>
    <row r="35" spans="1:12" ht="28.95" customHeight="1" x14ac:dyDescent="0.3">
      <c r="A35" s="348">
        <v>34</v>
      </c>
      <c r="B35" s="288" t="s">
        <v>35</v>
      </c>
      <c r="C35" s="289">
        <v>15002553</v>
      </c>
      <c r="D35" s="291" t="s">
        <v>1187</v>
      </c>
      <c r="E35" s="303" t="s">
        <v>1188</v>
      </c>
      <c r="F35" s="292" t="s">
        <v>304</v>
      </c>
      <c r="G35" s="292" t="s">
        <v>16</v>
      </c>
      <c r="H35" s="293" t="s">
        <v>973</v>
      </c>
      <c r="I35" s="293">
        <v>3020001384</v>
      </c>
      <c r="J35" s="300" t="s">
        <v>93</v>
      </c>
      <c r="K35" s="295">
        <v>1</v>
      </c>
      <c r="L35" s="334" t="s">
        <v>315</v>
      </c>
    </row>
    <row r="36" spans="1:12" ht="28.95" customHeight="1" x14ac:dyDescent="0.3">
      <c r="A36" s="348">
        <v>35</v>
      </c>
      <c r="B36" s="288" t="s">
        <v>33</v>
      </c>
      <c r="C36" s="289">
        <v>15001967</v>
      </c>
      <c r="D36" s="299">
        <v>3002000082</v>
      </c>
      <c r="E36" s="291">
        <v>122534</v>
      </c>
      <c r="F36" s="292" t="s">
        <v>304</v>
      </c>
      <c r="G36" s="292" t="s">
        <v>15</v>
      </c>
      <c r="H36" s="293" t="s">
        <v>1225</v>
      </c>
      <c r="I36" s="293">
        <v>3020001511</v>
      </c>
      <c r="J36" s="300" t="s">
        <v>91</v>
      </c>
      <c r="K36" s="295">
        <v>1</v>
      </c>
      <c r="L36" s="334" t="s">
        <v>315</v>
      </c>
    </row>
    <row r="37" spans="1:12" ht="28.95" customHeight="1" x14ac:dyDescent="0.3">
      <c r="A37" s="348">
        <v>36</v>
      </c>
      <c r="B37" s="288" t="s">
        <v>1223</v>
      </c>
      <c r="C37" s="313">
        <v>15002669</v>
      </c>
      <c r="D37" s="299">
        <v>3002000085</v>
      </c>
      <c r="E37" s="291" t="s">
        <v>1224</v>
      </c>
      <c r="F37" s="292" t="s">
        <v>304</v>
      </c>
      <c r="G37" s="292" t="s">
        <v>15</v>
      </c>
      <c r="H37" s="293" t="s">
        <v>1225</v>
      </c>
      <c r="I37" s="293">
        <v>3020001511</v>
      </c>
      <c r="J37" s="300" t="s">
        <v>91</v>
      </c>
      <c r="K37" s="295">
        <v>1</v>
      </c>
      <c r="L37" s="334" t="s">
        <v>315</v>
      </c>
    </row>
    <row r="38" spans="1:12" ht="28.95" customHeight="1" x14ac:dyDescent="0.3">
      <c r="A38" s="348">
        <v>37</v>
      </c>
      <c r="B38" s="288" t="s">
        <v>1241</v>
      </c>
      <c r="C38" s="289">
        <v>15002670</v>
      </c>
      <c r="D38" s="299">
        <v>3002000086</v>
      </c>
      <c r="E38" s="299" t="s">
        <v>1242</v>
      </c>
      <c r="F38" s="292" t="s">
        <v>304</v>
      </c>
      <c r="G38" s="292" t="s">
        <v>15</v>
      </c>
      <c r="H38" s="293" t="s">
        <v>1225</v>
      </c>
      <c r="I38" s="293">
        <v>3020001511</v>
      </c>
      <c r="J38" s="300" t="s">
        <v>91</v>
      </c>
      <c r="K38" s="295">
        <v>1</v>
      </c>
      <c r="L38" s="334" t="s">
        <v>315</v>
      </c>
    </row>
    <row r="39" spans="1:12" ht="28.95" customHeight="1" x14ac:dyDescent="0.3">
      <c r="A39" s="348">
        <v>38</v>
      </c>
      <c r="B39" s="288" t="s">
        <v>1238</v>
      </c>
      <c r="C39" s="289">
        <v>15002674</v>
      </c>
      <c r="D39" s="299">
        <v>3002000084</v>
      </c>
      <c r="E39" s="299" t="s">
        <v>1239</v>
      </c>
      <c r="F39" s="292" t="s">
        <v>304</v>
      </c>
      <c r="G39" s="292" t="s">
        <v>15</v>
      </c>
      <c r="H39" s="293" t="s">
        <v>1225</v>
      </c>
      <c r="I39" s="293">
        <v>3020001511</v>
      </c>
      <c r="J39" s="300" t="s">
        <v>91</v>
      </c>
      <c r="K39" s="295">
        <v>1</v>
      </c>
      <c r="L39" s="334" t="s">
        <v>315</v>
      </c>
    </row>
    <row r="40" spans="1:12" ht="28.95" customHeight="1" x14ac:dyDescent="0.3">
      <c r="A40" s="348">
        <v>39</v>
      </c>
      <c r="B40" s="288" t="s">
        <v>1244</v>
      </c>
      <c r="C40" s="298">
        <v>15000003</v>
      </c>
      <c r="D40" s="299">
        <v>3002000083</v>
      </c>
      <c r="E40" s="299" t="s">
        <v>1245</v>
      </c>
      <c r="F40" s="292" t="s">
        <v>304</v>
      </c>
      <c r="G40" s="292" t="s">
        <v>15</v>
      </c>
      <c r="H40" s="293" t="s">
        <v>1225</v>
      </c>
      <c r="I40" s="293">
        <v>3020001511</v>
      </c>
      <c r="J40" s="300" t="s">
        <v>91</v>
      </c>
      <c r="K40" s="295">
        <v>1</v>
      </c>
      <c r="L40" s="334" t="s">
        <v>315</v>
      </c>
    </row>
    <row r="41" spans="1:12" ht="28.95" customHeight="1" x14ac:dyDescent="0.3">
      <c r="A41" s="348">
        <v>40</v>
      </c>
      <c r="B41" s="288" t="s">
        <v>38</v>
      </c>
      <c r="C41" s="314">
        <v>15002674</v>
      </c>
      <c r="D41" s="315" t="s">
        <v>1230</v>
      </c>
      <c r="E41" s="315" t="s">
        <v>1231</v>
      </c>
      <c r="F41" s="316" t="s">
        <v>304</v>
      </c>
      <c r="G41" s="316" t="s">
        <v>15</v>
      </c>
      <c r="H41" s="317" t="s">
        <v>305</v>
      </c>
      <c r="I41" s="317">
        <v>3020001511</v>
      </c>
      <c r="J41" s="300" t="s">
        <v>92</v>
      </c>
      <c r="K41" s="318">
        <v>1</v>
      </c>
      <c r="L41" s="334" t="s">
        <v>1236</v>
      </c>
    </row>
    <row r="42" spans="1:12" ht="28.95" customHeight="1" x14ac:dyDescent="0.3">
      <c r="A42" s="348">
        <v>41</v>
      </c>
      <c r="B42" s="288" t="s">
        <v>35</v>
      </c>
      <c r="C42" s="289">
        <v>15002553</v>
      </c>
      <c r="D42" s="296">
        <v>3002000029</v>
      </c>
      <c r="E42" s="291" t="s">
        <v>832</v>
      </c>
      <c r="F42" s="291" t="s">
        <v>304</v>
      </c>
      <c r="G42" s="292" t="s">
        <v>16</v>
      </c>
      <c r="H42" s="293" t="s">
        <v>349</v>
      </c>
      <c r="I42" s="293">
        <v>3020000816</v>
      </c>
      <c r="J42" s="300" t="s">
        <v>99</v>
      </c>
      <c r="K42" s="305">
        <v>1</v>
      </c>
      <c r="L42" s="334" t="s">
        <v>315</v>
      </c>
    </row>
    <row r="43" spans="1:12" ht="28.95" customHeight="1" x14ac:dyDescent="0.3">
      <c r="A43" s="348">
        <v>42</v>
      </c>
      <c r="B43" s="288" t="s">
        <v>35</v>
      </c>
      <c r="C43" s="289">
        <v>15002553</v>
      </c>
      <c r="D43" s="291"/>
      <c r="E43" s="291"/>
      <c r="F43" s="292" t="s">
        <v>304</v>
      </c>
      <c r="G43" s="292" t="s">
        <v>16</v>
      </c>
      <c r="H43" s="289" t="s">
        <v>1072</v>
      </c>
      <c r="I43" s="293">
        <v>3020001131</v>
      </c>
      <c r="J43" s="300" t="s">
        <v>103</v>
      </c>
      <c r="K43" s="312">
        <v>1</v>
      </c>
      <c r="L43" s="334" t="s">
        <v>315</v>
      </c>
    </row>
    <row r="44" spans="1:12" ht="28.95" customHeight="1" x14ac:dyDescent="0.3">
      <c r="A44" s="348">
        <v>43</v>
      </c>
      <c r="B44" s="288" t="s">
        <v>1044</v>
      </c>
      <c r="C44" s="289"/>
      <c r="D44" s="291"/>
      <c r="E44" s="319">
        <v>127707</v>
      </c>
      <c r="F44" s="292" t="s">
        <v>304</v>
      </c>
      <c r="G44" s="292" t="s">
        <v>15</v>
      </c>
      <c r="H44" s="293" t="s">
        <v>305</v>
      </c>
      <c r="I44" s="293">
        <v>3020001074</v>
      </c>
      <c r="J44" s="300" t="s">
        <v>94</v>
      </c>
      <c r="K44" s="295">
        <v>1</v>
      </c>
      <c r="L44" s="334" t="s">
        <v>315</v>
      </c>
    </row>
    <row r="45" spans="1:12" ht="28.95" customHeight="1" x14ac:dyDescent="0.3">
      <c r="A45" s="348">
        <v>44</v>
      </c>
      <c r="B45" s="306" t="s">
        <v>30</v>
      </c>
      <c r="C45" s="289">
        <v>15002463</v>
      </c>
      <c r="D45" s="307" t="s">
        <v>770</v>
      </c>
      <c r="E45" s="307" t="s">
        <v>771</v>
      </c>
      <c r="F45" s="307" t="s">
        <v>304</v>
      </c>
      <c r="G45" s="307" t="s">
        <v>16</v>
      </c>
      <c r="H45" s="308" t="s">
        <v>349</v>
      </c>
      <c r="I45" s="293">
        <v>3020000736</v>
      </c>
      <c r="J45" s="306" t="s">
        <v>95</v>
      </c>
      <c r="K45" s="295">
        <v>1</v>
      </c>
      <c r="L45" s="334" t="s">
        <v>315</v>
      </c>
    </row>
    <row r="46" spans="1:12" ht="28.95" customHeight="1" x14ac:dyDescent="0.3">
      <c r="A46" s="348">
        <v>45</v>
      </c>
      <c r="B46" s="306" t="s">
        <v>778</v>
      </c>
      <c r="C46" s="289">
        <v>15001967</v>
      </c>
      <c r="D46" s="307" t="s">
        <v>779</v>
      </c>
      <c r="E46" s="307">
        <v>123216</v>
      </c>
      <c r="F46" s="307" t="s">
        <v>304</v>
      </c>
      <c r="G46" s="307" t="s">
        <v>16</v>
      </c>
      <c r="H46" s="308" t="s">
        <v>349</v>
      </c>
      <c r="I46" s="293">
        <v>3020000736</v>
      </c>
      <c r="J46" s="306" t="s">
        <v>95</v>
      </c>
      <c r="K46" s="295">
        <v>1</v>
      </c>
      <c r="L46" s="334" t="s">
        <v>315</v>
      </c>
    </row>
    <row r="47" spans="1:12" ht="28.95" customHeight="1" x14ac:dyDescent="0.3">
      <c r="A47" s="348">
        <v>46</v>
      </c>
      <c r="B47" s="288" t="s">
        <v>28</v>
      </c>
      <c r="C47" s="289">
        <v>15002760</v>
      </c>
      <c r="D47" s="296">
        <v>3002000021</v>
      </c>
      <c r="E47" s="291">
        <v>30006248</v>
      </c>
      <c r="F47" s="291" t="s">
        <v>1323</v>
      </c>
      <c r="G47" s="292" t="s">
        <v>15</v>
      </c>
      <c r="H47" s="293" t="s">
        <v>1000</v>
      </c>
      <c r="I47" s="293">
        <v>3020001748</v>
      </c>
      <c r="J47" s="310" t="s">
        <v>96</v>
      </c>
      <c r="K47" s="304">
        <v>1</v>
      </c>
      <c r="L47" s="337" t="s">
        <v>635</v>
      </c>
    </row>
    <row r="48" spans="1:12" ht="28.95" customHeight="1" x14ac:dyDescent="0.3">
      <c r="A48" s="348">
        <v>47</v>
      </c>
      <c r="B48" s="306" t="s">
        <v>485</v>
      </c>
      <c r="C48" s="298">
        <v>15002759</v>
      </c>
      <c r="D48" s="299">
        <v>3002000087</v>
      </c>
      <c r="E48" s="299">
        <v>30006188</v>
      </c>
      <c r="F48" s="307" t="s">
        <v>304</v>
      </c>
      <c r="G48" s="307" t="s">
        <v>17</v>
      </c>
      <c r="H48" s="293" t="s">
        <v>791</v>
      </c>
      <c r="I48" s="320">
        <v>3020000936</v>
      </c>
      <c r="J48" s="306" t="s">
        <v>97</v>
      </c>
      <c r="K48" s="295">
        <v>1</v>
      </c>
      <c r="L48" s="336" t="s">
        <v>635</v>
      </c>
    </row>
    <row r="49" spans="1:12" ht="28.95" customHeight="1" x14ac:dyDescent="0.3">
      <c r="A49" s="348">
        <v>48</v>
      </c>
      <c r="B49" s="306" t="s">
        <v>485</v>
      </c>
      <c r="C49" s="311"/>
      <c r="D49" s="291"/>
      <c r="E49" s="321">
        <v>30006408</v>
      </c>
      <c r="F49" s="292" t="s">
        <v>304</v>
      </c>
      <c r="G49" s="292" t="s">
        <v>16</v>
      </c>
      <c r="H49" s="293" t="s">
        <v>674</v>
      </c>
      <c r="I49" s="293">
        <v>3020000645</v>
      </c>
      <c r="J49" s="300" t="s">
        <v>98</v>
      </c>
      <c r="K49" s="295">
        <v>1</v>
      </c>
      <c r="L49" s="334" t="s">
        <v>635</v>
      </c>
    </row>
    <row r="50" spans="1:12" ht="28.95" customHeight="1" x14ac:dyDescent="0.3">
      <c r="A50" s="348">
        <v>49</v>
      </c>
      <c r="B50" s="288" t="s">
        <v>28</v>
      </c>
      <c r="C50" s="289">
        <v>15002760</v>
      </c>
      <c r="D50" s="291"/>
      <c r="E50" s="291">
        <v>30006181</v>
      </c>
      <c r="F50" s="292" t="s">
        <v>304</v>
      </c>
      <c r="G50" s="292" t="s">
        <v>16</v>
      </c>
      <c r="H50" s="293" t="s">
        <v>973</v>
      </c>
      <c r="I50" s="293">
        <v>3020000979</v>
      </c>
      <c r="J50" s="300" t="s">
        <v>100</v>
      </c>
      <c r="K50" s="295">
        <v>1</v>
      </c>
      <c r="L50" s="334" t="s">
        <v>635</v>
      </c>
    </row>
    <row r="51" spans="1:12" ht="28.95" customHeight="1" x14ac:dyDescent="0.3">
      <c r="A51" s="348">
        <v>50</v>
      </c>
      <c r="B51" s="288" t="s">
        <v>30</v>
      </c>
      <c r="C51" s="289">
        <v>15002463</v>
      </c>
      <c r="D51" s="291">
        <v>3002000115</v>
      </c>
      <c r="E51" s="291" t="s">
        <v>972</v>
      </c>
      <c r="F51" s="292" t="s">
        <v>304</v>
      </c>
      <c r="G51" s="292" t="s">
        <v>16</v>
      </c>
      <c r="H51" s="293" t="s">
        <v>973</v>
      </c>
      <c r="I51" s="293">
        <v>3020000979</v>
      </c>
      <c r="J51" s="300" t="s">
        <v>101</v>
      </c>
      <c r="K51" s="295">
        <v>1</v>
      </c>
      <c r="L51" s="334" t="s">
        <v>315</v>
      </c>
    </row>
    <row r="52" spans="1:12" ht="28.95" customHeight="1" x14ac:dyDescent="0.3">
      <c r="A52" s="348">
        <v>51</v>
      </c>
      <c r="B52" s="288" t="s">
        <v>475</v>
      </c>
      <c r="C52" s="289">
        <v>15002760</v>
      </c>
      <c r="D52" s="291">
        <v>3002000059</v>
      </c>
      <c r="E52" s="296">
        <v>30004998</v>
      </c>
      <c r="F52" s="292" t="s">
        <v>304</v>
      </c>
      <c r="G52" s="292" t="s">
        <v>16</v>
      </c>
      <c r="H52" s="293" t="s">
        <v>478</v>
      </c>
      <c r="I52" s="293">
        <v>3020000206</v>
      </c>
      <c r="J52" s="300" t="s">
        <v>104</v>
      </c>
      <c r="K52" s="305">
        <v>1</v>
      </c>
      <c r="L52" s="334" t="s">
        <v>480</v>
      </c>
    </row>
    <row r="53" spans="1:12" ht="28.95" customHeight="1" x14ac:dyDescent="0.3">
      <c r="A53" s="348">
        <v>52</v>
      </c>
      <c r="B53" s="288" t="s">
        <v>439</v>
      </c>
      <c r="C53" s="289">
        <v>15003000</v>
      </c>
      <c r="D53" s="290">
        <v>3002000069</v>
      </c>
      <c r="E53" s="291">
        <v>1588</v>
      </c>
      <c r="F53" s="292" t="s">
        <v>304</v>
      </c>
      <c r="G53" s="292" t="s">
        <v>15</v>
      </c>
      <c r="H53" s="293" t="s">
        <v>305</v>
      </c>
      <c r="I53" s="288">
        <v>3020000845</v>
      </c>
      <c r="J53" s="300" t="s">
        <v>105</v>
      </c>
      <c r="K53" s="305">
        <v>1</v>
      </c>
      <c r="L53" s="336" t="s">
        <v>315</v>
      </c>
    </row>
    <row r="54" spans="1:12" ht="28.95" customHeight="1" x14ac:dyDescent="0.3">
      <c r="A54" s="348">
        <v>53</v>
      </c>
      <c r="B54" s="306" t="s">
        <v>30</v>
      </c>
      <c r="C54" s="289">
        <v>15002463</v>
      </c>
      <c r="D54" s="291"/>
      <c r="E54" s="291"/>
      <c r="F54" s="292" t="s">
        <v>304</v>
      </c>
      <c r="G54" s="292" t="s">
        <v>15</v>
      </c>
      <c r="H54" s="293" t="s">
        <v>305</v>
      </c>
      <c r="I54" s="293">
        <v>3020000664</v>
      </c>
      <c r="J54" s="300" t="s">
        <v>106</v>
      </c>
      <c r="K54" s="295">
        <v>1</v>
      </c>
      <c r="L54" s="334" t="s">
        <v>315</v>
      </c>
    </row>
    <row r="55" spans="1:12" ht="28.95" customHeight="1" x14ac:dyDescent="0.3">
      <c r="A55" s="348">
        <v>54</v>
      </c>
      <c r="B55" s="288" t="s">
        <v>1033</v>
      </c>
      <c r="C55" s="289">
        <v>15001968</v>
      </c>
      <c r="D55" s="296">
        <v>3002000041</v>
      </c>
      <c r="E55" s="291">
        <v>120754</v>
      </c>
      <c r="F55" s="291" t="s">
        <v>304</v>
      </c>
      <c r="G55" s="292" t="s">
        <v>15</v>
      </c>
      <c r="H55" s="293" t="s">
        <v>305</v>
      </c>
      <c r="I55" s="293">
        <v>3020001067</v>
      </c>
      <c r="J55" s="300" t="s">
        <v>107</v>
      </c>
      <c r="K55" s="304">
        <v>1</v>
      </c>
      <c r="L55" s="334" t="s">
        <v>315</v>
      </c>
    </row>
    <row r="56" spans="1:12" ht="28.95" customHeight="1" x14ac:dyDescent="0.3">
      <c r="A56" s="348">
        <v>55</v>
      </c>
      <c r="B56" s="288" t="s">
        <v>1042</v>
      </c>
      <c r="C56" s="300">
        <v>15001968</v>
      </c>
      <c r="D56" s="291"/>
      <c r="E56" s="291" t="s">
        <v>1043</v>
      </c>
      <c r="F56" s="292" t="s">
        <v>529</v>
      </c>
      <c r="G56" s="292" t="s">
        <v>15</v>
      </c>
      <c r="H56" s="293" t="s">
        <v>305</v>
      </c>
      <c r="I56" s="293">
        <v>3020001067</v>
      </c>
      <c r="J56" s="300" t="s">
        <v>107</v>
      </c>
      <c r="K56" s="295">
        <v>1</v>
      </c>
      <c r="L56" s="334" t="s">
        <v>315</v>
      </c>
    </row>
    <row r="57" spans="1:12" ht="28.95" customHeight="1" x14ac:dyDescent="0.3">
      <c r="A57" s="348">
        <v>56</v>
      </c>
      <c r="B57" s="306" t="s">
        <v>1027</v>
      </c>
      <c r="C57" s="298">
        <v>15003159</v>
      </c>
      <c r="D57" s="299">
        <v>3002000096</v>
      </c>
      <c r="E57" s="299">
        <v>8673</v>
      </c>
      <c r="F57" s="307" t="s">
        <v>304</v>
      </c>
      <c r="G57" s="307" t="s">
        <v>15</v>
      </c>
      <c r="H57" s="308" t="s">
        <v>305</v>
      </c>
      <c r="I57" s="311">
        <v>3020001067</v>
      </c>
      <c r="J57" s="306" t="s">
        <v>107</v>
      </c>
      <c r="K57" s="295">
        <v>1</v>
      </c>
      <c r="L57" s="336" t="s">
        <v>315</v>
      </c>
    </row>
    <row r="58" spans="1:12" ht="28.95" customHeight="1" x14ac:dyDescent="0.3">
      <c r="A58" s="348">
        <v>57</v>
      </c>
      <c r="B58" s="306" t="s">
        <v>1027</v>
      </c>
      <c r="C58" s="298">
        <v>15003159</v>
      </c>
      <c r="D58" s="307"/>
      <c r="E58" s="307"/>
      <c r="F58" s="307" t="s">
        <v>400</v>
      </c>
      <c r="G58" s="307" t="s">
        <v>15</v>
      </c>
      <c r="H58" s="308" t="s">
        <v>305</v>
      </c>
      <c r="I58" s="311">
        <v>3020001067</v>
      </c>
      <c r="J58" s="306" t="s">
        <v>107</v>
      </c>
      <c r="K58" s="295">
        <v>1</v>
      </c>
      <c r="L58" s="336" t="s">
        <v>561</v>
      </c>
    </row>
    <row r="59" spans="1:12" ht="28.95" customHeight="1" x14ac:dyDescent="0.3">
      <c r="A59" s="348">
        <v>58</v>
      </c>
      <c r="B59" s="288" t="s">
        <v>30</v>
      </c>
      <c r="C59" s="289">
        <v>15002463</v>
      </c>
      <c r="D59" s="296">
        <v>3002000017</v>
      </c>
      <c r="E59" s="291" t="s">
        <v>1010</v>
      </c>
      <c r="F59" s="291" t="s">
        <v>529</v>
      </c>
      <c r="G59" s="292" t="s">
        <v>15</v>
      </c>
      <c r="H59" s="293" t="s">
        <v>305</v>
      </c>
      <c r="I59" s="293">
        <v>3020001047</v>
      </c>
      <c r="J59" s="288" t="s">
        <v>108</v>
      </c>
      <c r="K59" s="297">
        <v>1</v>
      </c>
      <c r="L59" s="335" t="s">
        <v>315</v>
      </c>
    </row>
    <row r="60" spans="1:12" ht="28.95" customHeight="1" x14ac:dyDescent="0.3">
      <c r="A60" s="348">
        <v>59</v>
      </c>
      <c r="B60" s="288" t="s">
        <v>35</v>
      </c>
      <c r="C60" s="289">
        <v>15002553</v>
      </c>
      <c r="D60" s="299">
        <v>3002000099</v>
      </c>
      <c r="E60" s="299" t="s">
        <v>986</v>
      </c>
      <c r="F60" s="292" t="s">
        <v>304</v>
      </c>
      <c r="G60" s="292" t="s">
        <v>17</v>
      </c>
      <c r="H60" s="293" t="s">
        <v>987</v>
      </c>
      <c r="I60" s="293">
        <v>3020000987</v>
      </c>
      <c r="J60" s="300" t="s">
        <v>109</v>
      </c>
      <c r="K60" s="295">
        <v>1</v>
      </c>
      <c r="L60" s="334" t="s">
        <v>315</v>
      </c>
    </row>
    <row r="61" spans="1:12" ht="28.95" customHeight="1" x14ac:dyDescent="0.3">
      <c r="A61" s="348">
        <v>60</v>
      </c>
      <c r="B61" s="288" t="s">
        <v>28</v>
      </c>
      <c r="C61" s="289">
        <v>15002760</v>
      </c>
      <c r="D61" s="296">
        <v>3002000036</v>
      </c>
      <c r="E61" s="291">
        <v>30006183</v>
      </c>
      <c r="F61" s="291" t="s">
        <v>304</v>
      </c>
      <c r="G61" s="292" t="s">
        <v>15</v>
      </c>
      <c r="H61" s="293" t="s">
        <v>305</v>
      </c>
      <c r="I61" s="293">
        <v>3020000547</v>
      </c>
      <c r="J61" s="300" t="s">
        <v>110</v>
      </c>
      <c r="K61" s="297">
        <v>1</v>
      </c>
      <c r="L61" s="334" t="s">
        <v>635</v>
      </c>
    </row>
    <row r="62" spans="1:12" ht="28.95" customHeight="1" x14ac:dyDescent="0.3">
      <c r="A62" s="348">
        <v>61</v>
      </c>
      <c r="B62" s="288" t="s">
        <v>33</v>
      </c>
      <c r="C62" s="289">
        <v>15001967</v>
      </c>
      <c r="D62" s="296">
        <v>3002000052</v>
      </c>
      <c r="E62" s="291">
        <v>123019</v>
      </c>
      <c r="F62" s="292" t="s">
        <v>304</v>
      </c>
      <c r="G62" s="292" t="s">
        <v>16</v>
      </c>
      <c r="H62" s="293" t="s">
        <v>426</v>
      </c>
      <c r="I62" s="293">
        <v>3020000166</v>
      </c>
      <c r="J62" s="300" t="s">
        <v>112</v>
      </c>
      <c r="K62" s="305">
        <v>1</v>
      </c>
      <c r="L62" s="334" t="s">
        <v>315</v>
      </c>
    </row>
    <row r="63" spans="1:12" ht="28.95" customHeight="1" x14ac:dyDescent="0.3">
      <c r="A63" s="348">
        <v>62</v>
      </c>
      <c r="B63" s="288" t="s">
        <v>33</v>
      </c>
      <c r="C63" s="289">
        <v>15001967</v>
      </c>
      <c r="D63" s="290">
        <v>3002000053</v>
      </c>
      <c r="E63" s="291">
        <v>123108</v>
      </c>
      <c r="F63" s="292" t="s">
        <v>304</v>
      </c>
      <c r="G63" s="292" t="s">
        <v>16</v>
      </c>
      <c r="H63" s="293" t="s">
        <v>426</v>
      </c>
      <c r="I63" s="293">
        <v>3020000166</v>
      </c>
      <c r="J63" s="300" t="s">
        <v>112</v>
      </c>
      <c r="K63" s="305">
        <v>1</v>
      </c>
      <c r="L63" s="334" t="s">
        <v>315</v>
      </c>
    </row>
    <row r="64" spans="1:12" ht="28.95" customHeight="1" x14ac:dyDescent="0.3">
      <c r="A64" s="348">
        <v>63</v>
      </c>
      <c r="B64" s="288" t="s">
        <v>33</v>
      </c>
      <c r="C64" s="289">
        <v>15001967</v>
      </c>
      <c r="D64" s="290">
        <v>3002000054</v>
      </c>
      <c r="E64" s="291">
        <v>123109</v>
      </c>
      <c r="F64" s="292" t="s">
        <v>304</v>
      </c>
      <c r="G64" s="292" t="s">
        <v>16</v>
      </c>
      <c r="H64" s="293" t="s">
        <v>426</v>
      </c>
      <c r="I64" s="293">
        <v>3020000166</v>
      </c>
      <c r="J64" s="300" t="s">
        <v>112</v>
      </c>
      <c r="K64" s="305">
        <v>1</v>
      </c>
      <c r="L64" s="334" t="s">
        <v>315</v>
      </c>
    </row>
    <row r="65" spans="1:12" ht="28.95" customHeight="1" x14ac:dyDescent="0.3">
      <c r="A65" s="348">
        <v>64</v>
      </c>
      <c r="B65" s="288" t="s">
        <v>33</v>
      </c>
      <c r="C65" s="289">
        <v>15001967</v>
      </c>
      <c r="D65" s="290">
        <v>3002000055</v>
      </c>
      <c r="E65" s="291">
        <v>123200</v>
      </c>
      <c r="F65" s="292" t="s">
        <v>304</v>
      </c>
      <c r="G65" s="292" t="s">
        <v>16</v>
      </c>
      <c r="H65" s="293" t="s">
        <v>426</v>
      </c>
      <c r="I65" s="293">
        <v>3020000166</v>
      </c>
      <c r="J65" s="300" t="s">
        <v>112</v>
      </c>
      <c r="K65" s="305">
        <v>1</v>
      </c>
      <c r="L65" s="334" t="s">
        <v>315</v>
      </c>
    </row>
    <row r="66" spans="1:12" ht="28.95" customHeight="1" x14ac:dyDescent="0.3">
      <c r="A66" s="348">
        <v>65</v>
      </c>
      <c r="B66" s="288" t="s">
        <v>33</v>
      </c>
      <c r="C66" s="289">
        <v>15001967</v>
      </c>
      <c r="D66" s="290">
        <v>3002000056</v>
      </c>
      <c r="E66" s="291">
        <v>123217</v>
      </c>
      <c r="F66" s="292" t="s">
        <v>304</v>
      </c>
      <c r="G66" s="292" t="s">
        <v>16</v>
      </c>
      <c r="H66" s="293" t="s">
        <v>426</v>
      </c>
      <c r="I66" s="293">
        <v>3020000166</v>
      </c>
      <c r="J66" s="300" t="s">
        <v>112</v>
      </c>
      <c r="K66" s="305">
        <v>1</v>
      </c>
      <c r="L66" s="334" t="s">
        <v>315</v>
      </c>
    </row>
    <row r="67" spans="1:12" ht="28.95" customHeight="1" x14ac:dyDescent="0.3">
      <c r="A67" s="348">
        <v>66</v>
      </c>
      <c r="B67" s="300" t="s">
        <v>436</v>
      </c>
      <c r="C67" s="289"/>
      <c r="D67" s="291"/>
      <c r="E67" s="291"/>
      <c r="F67" s="292" t="s">
        <v>400</v>
      </c>
      <c r="G67" s="292" t="s">
        <v>16</v>
      </c>
      <c r="H67" s="293" t="s">
        <v>426</v>
      </c>
      <c r="I67" s="293">
        <v>3020000166</v>
      </c>
      <c r="J67" s="300" t="s">
        <v>172</v>
      </c>
      <c r="K67" s="312">
        <v>1</v>
      </c>
      <c r="L67" s="334" t="s">
        <v>315</v>
      </c>
    </row>
    <row r="68" spans="1:12" ht="28.95" customHeight="1" x14ac:dyDescent="0.3">
      <c r="A68" s="348">
        <v>67</v>
      </c>
      <c r="B68" s="288" t="s">
        <v>32</v>
      </c>
      <c r="C68" s="289">
        <v>15002462</v>
      </c>
      <c r="D68" s="296">
        <v>3002000028</v>
      </c>
      <c r="E68" s="291" t="s">
        <v>1073</v>
      </c>
      <c r="F68" s="291" t="s">
        <v>304</v>
      </c>
      <c r="G68" s="292" t="s">
        <v>16</v>
      </c>
      <c r="H68" s="293" t="s">
        <v>973</v>
      </c>
      <c r="I68" s="293">
        <v>3020001141</v>
      </c>
      <c r="J68" s="288" t="s">
        <v>113</v>
      </c>
      <c r="K68" s="312">
        <v>1</v>
      </c>
      <c r="L68" s="334" t="s">
        <v>315</v>
      </c>
    </row>
    <row r="69" spans="1:12" ht="28.95" customHeight="1" x14ac:dyDescent="0.3">
      <c r="A69" s="348">
        <v>68</v>
      </c>
      <c r="B69" s="288" t="s">
        <v>28</v>
      </c>
      <c r="C69" s="289">
        <v>15002760</v>
      </c>
      <c r="D69" s="296">
        <v>3002000020</v>
      </c>
      <c r="E69" s="291">
        <v>30006249</v>
      </c>
      <c r="F69" s="291" t="s">
        <v>1323</v>
      </c>
      <c r="G69" s="292" t="s">
        <v>15</v>
      </c>
      <c r="H69" s="293" t="s">
        <v>1000</v>
      </c>
      <c r="I69" s="293">
        <v>3020001748</v>
      </c>
      <c r="J69" s="310" t="s">
        <v>114</v>
      </c>
      <c r="K69" s="304">
        <v>1</v>
      </c>
      <c r="L69" s="337" t="s">
        <v>635</v>
      </c>
    </row>
    <row r="70" spans="1:12" ht="28.95" customHeight="1" x14ac:dyDescent="0.3">
      <c r="A70" s="348">
        <v>69</v>
      </c>
      <c r="B70" s="306" t="s">
        <v>691</v>
      </c>
      <c r="C70" s="298">
        <v>15002760</v>
      </c>
      <c r="D70" s="299">
        <v>3002000078</v>
      </c>
      <c r="E70" s="291">
        <v>30004151</v>
      </c>
      <c r="F70" s="307" t="s">
        <v>304</v>
      </c>
      <c r="G70" s="307" t="s">
        <v>15</v>
      </c>
      <c r="H70" s="308" t="s">
        <v>1000</v>
      </c>
      <c r="I70" s="293">
        <v>3020001748</v>
      </c>
      <c r="J70" s="306" t="s">
        <v>115</v>
      </c>
      <c r="K70" s="295">
        <v>1</v>
      </c>
      <c r="L70" s="336" t="s">
        <v>635</v>
      </c>
    </row>
    <row r="71" spans="1:12" ht="28.95" customHeight="1" x14ac:dyDescent="0.3">
      <c r="A71" s="348">
        <v>70</v>
      </c>
      <c r="B71" s="306" t="s">
        <v>691</v>
      </c>
      <c r="C71" s="298">
        <v>15002760</v>
      </c>
      <c r="D71" s="299">
        <v>3002000089</v>
      </c>
      <c r="E71" s="291">
        <v>30006362</v>
      </c>
      <c r="F71" s="307" t="s">
        <v>304</v>
      </c>
      <c r="G71" s="307" t="s">
        <v>15</v>
      </c>
      <c r="H71" s="308" t="s">
        <v>1000</v>
      </c>
      <c r="I71" s="293">
        <v>3020001748</v>
      </c>
      <c r="J71" s="306" t="s">
        <v>116</v>
      </c>
      <c r="K71" s="295">
        <v>1</v>
      </c>
      <c r="L71" s="336" t="s">
        <v>635</v>
      </c>
    </row>
    <row r="72" spans="1:12" ht="28.95" customHeight="1" x14ac:dyDescent="0.3">
      <c r="A72" s="348">
        <v>71</v>
      </c>
      <c r="B72" s="288" t="s">
        <v>1195</v>
      </c>
      <c r="C72" s="289"/>
      <c r="D72" s="291"/>
      <c r="E72" s="291">
        <v>2024070199</v>
      </c>
      <c r="F72" s="292" t="s">
        <v>400</v>
      </c>
      <c r="G72" s="292" t="s">
        <v>17</v>
      </c>
      <c r="H72" s="293" t="s">
        <v>987</v>
      </c>
      <c r="I72" s="293">
        <v>3020001399</v>
      </c>
      <c r="J72" s="300" t="s">
        <v>173</v>
      </c>
      <c r="K72" s="312">
        <v>1</v>
      </c>
      <c r="L72" s="334" t="s">
        <v>315</v>
      </c>
    </row>
    <row r="73" spans="1:12" ht="28.95" customHeight="1" x14ac:dyDescent="0.3">
      <c r="A73" s="348">
        <v>72</v>
      </c>
      <c r="B73" s="288" t="s">
        <v>848</v>
      </c>
      <c r="C73" s="298">
        <v>15002705</v>
      </c>
      <c r="D73" s="299">
        <v>3002000104</v>
      </c>
      <c r="E73" s="299" t="s">
        <v>1193</v>
      </c>
      <c r="F73" s="292" t="s">
        <v>304</v>
      </c>
      <c r="G73" s="292" t="s">
        <v>17</v>
      </c>
      <c r="H73" s="293" t="s">
        <v>987</v>
      </c>
      <c r="I73" s="293">
        <v>3020001399</v>
      </c>
      <c r="J73" s="300" t="s">
        <v>117</v>
      </c>
      <c r="K73" s="295">
        <v>1</v>
      </c>
      <c r="L73" s="333" t="s">
        <v>315</v>
      </c>
    </row>
    <row r="74" spans="1:12" ht="28.95" customHeight="1" x14ac:dyDescent="0.3">
      <c r="A74" s="348">
        <v>73</v>
      </c>
      <c r="B74" s="288" t="s">
        <v>31</v>
      </c>
      <c r="C74" s="289">
        <v>15002462</v>
      </c>
      <c r="D74" s="299">
        <v>3002000098</v>
      </c>
      <c r="E74" s="299" t="s">
        <v>1324</v>
      </c>
      <c r="F74" s="292" t="s">
        <v>304</v>
      </c>
      <c r="G74" s="292" t="s">
        <v>16</v>
      </c>
      <c r="H74" s="293" t="s">
        <v>1325</v>
      </c>
      <c r="I74" s="293">
        <v>3020001809</v>
      </c>
      <c r="J74" s="300" t="s">
        <v>118</v>
      </c>
      <c r="K74" s="295">
        <v>1</v>
      </c>
      <c r="L74" s="334" t="s">
        <v>315</v>
      </c>
    </row>
    <row r="75" spans="1:12" ht="28.95" customHeight="1" x14ac:dyDescent="0.3">
      <c r="A75" s="348">
        <v>74</v>
      </c>
      <c r="B75" s="288" t="s">
        <v>36</v>
      </c>
      <c r="C75" s="289">
        <v>15002128</v>
      </c>
      <c r="D75" s="299">
        <v>3002000081</v>
      </c>
      <c r="E75" s="291" t="s">
        <v>380</v>
      </c>
      <c r="F75" s="291" t="s">
        <v>304</v>
      </c>
      <c r="G75" s="292" t="s">
        <v>15</v>
      </c>
      <c r="H75" s="293" t="s">
        <v>305</v>
      </c>
      <c r="I75" s="293">
        <v>3020000084</v>
      </c>
      <c r="J75" s="288" t="s">
        <v>120</v>
      </c>
      <c r="K75" s="297">
        <v>1</v>
      </c>
      <c r="L75" s="335" t="s">
        <v>315</v>
      </c>
    </row>
    <row r="76" spans="1:12" ht="28.95" customHeight="1" x14ac:dyDescent="0.3">
      <c r="A76" s="348">
        <v>75</v>
      </c>
      <c r="B76" s="288" t="s">
        <v>33</v>
      </c>
      <c r="C76" s="289">
        <v>15001967</v>
      </c>
      <c r="D76" s="291" t="s">
        <v>393</v>
      </c>
      <c r="E76" s="291">
        <v>12313</v>
      </c>
      <c r="F76" s="292" t="s">
        <v>304</v>
      </c>
      <c r="G76" s="292" t="s">
        <v>15</v>
      </c>
      <c r="H76" s="293" t="s">
        <v>305</v>
      </c>
      <c r="I76" s="293">
        <v>3020000084</v>
      </c>
      <c r="J76" s="300" t="s">
        <v>120</v>
      </c>
      <c r="K76" s="295">
        <v>1</v>
      </c>
      <c r="L76" s="334" t="s">
        <v>315</v>
      </c>
    </row>
    <row r="77" spans="1:12" ht="28.95" customHeight="1" x14ac:dyDescent="0.3">
      <c r="A77" s="348">
        <v>76</v>
      </c>
      <c r="B77" s="288" t="s">
        <v>31</v>
      </c>
      <c r="C77" s="289">
        <v>15002462</v>
      </c>
      <c r="D77" s="299">
        <v>3002000097</v>
      </c>
      <c r="E77" s="291" t="s">
        <v>364</v>
      </c>
      <c r="F77" s="292" t="s">
        <v>304</v>
      </c>
      <c r="G77" s="292" t="s">
        <v>15</v>
      </c>
      <c r="H77" s="293" t="s">
        <v>305</v>
      </c>
      <c r="I77" s="293">
        <v>3020000084</v>
      </c>
      <c r="J77" s="300" t="s">
        <v>120</v>
      </c>
      <c r="K77" s="295">
        <v>1</v>
      </c>
      <c r="L77" s="334" t="s">
        <v>315</v>
      </c>
    </row>
    <row r="78" spans="1:12" ht="28.95" customHeight="1" x14ac:dyDescent="0.3">
      <c r="A78" s="348">
        <v>77</v>
      </c>
      <c r="B78" s="288" t="s">
        <v>33</v>
      </c>
      <c r="C78" s="289">
        <v>15001967</v>
      </c>
      <c r="D78" s="291">
        <v>3002000064</v>
      </c>
      <c r="E78" s="291">
        <v>121497</v>
      </c>
      <c r="F78" s="292" t="s">
        <v>304</v>
      </c>
      <c r="G78" s="292" t="s">
        <v>15</v>
      </c>
      <c r="H78" s="293" t="s">
        <v>374</v>
      </c>
      <c r="I78" s="293">
        <v>3020000084</v>
      </c>
      <c r="J78" s="300" t="s">
        <v>121</v>
      </c>
      <c r="K78" s="295">
        <v>1</v>
      </c>
      <c r="L78" s="334" t="s">
        <v>315</v>
      </c>
    </row>
    <row r="79" spans="1:12" ht="28.95" customHeight="1" x14ac:dyDescent="0.3">
      <c r="A79" s="348">
        <v>78</v>
      </c>
      <c r="B79" s="288" t="s">
        <v>36</v>
      </c>
      <c r="C79" s="289">
        <v>15002128</v>
      </c>
      <c r="D79" s="291">
        <v>3002000076</v>
      </c>
      <c r="E79" s="291" t="s">
        <v>383</v>
      </c>
      <c r="F79" s="292" t="s">
        <v>304</v>
      </c>
      <c r="G79" s="292" t="s">
        <v>15</v>
      </c>
      <c r="H79" s="293" t="s">
        <v>374</v>
      </c>
      <c r="I79" s="293">
        <v>3020000084</v>
      </c>
      <c r="J79" s="300" t="s">
        <v>121</v>
      </c>
      <c r="K79" s="295">
        <v>1</v>
      </c>
      <c r="L79" s="335" t="s">
        <v>315</v>
      </c>
    </row>
    <row r="80" spans="1:12" ht="28.95" customHeight="1" x14ac:dyDescent="0.3">
      <c r="A80" s="348">
        <v>79</v>
      </c>
      <c r="B80" s="288" t="s">
        <v>371</v>
      </c>
      <c r="C80" s="289">
        <v>15003241</v>
      </c>
      <c r="D80" s="291"/>
      <c r="E80" s="291" t="s">
        <v>372</v>
      </c>
      <c r="F80" s="292" t="s">
        <v>304</v>
      </c>
      <c r="G80" s="292" t="s">
        <v>15</v>
      </c>
      <c r="H80" s="293" t="s">
        <v>374</v>
      </c>
      <c r="I80" s="293">
        <v>3020000084</v>
      </c>
      <c r="J80" s="300" t="s">
        <v>121</v>
      </c>
      <c r="K80" s="295">
        <v>1</v>
      </c>
      <c r="L80" s="334" t="s">
        <v>315</v>
      </c>
    </row>
    <row r="81" spans="1:12" ht="28.95" customHeight="1" x14ac:dyDescent="0.3">
      <c r="A81" s="348">
        <v>80</v>
      </c>
      <c r="B81" s="288" t="s">
        <v>36</v>
      </c>
      <c r="C81" s="289">
        <v>15002128</v>
      </c>
      <c r="D81" s="291">
        <v>3002000073</v>
      </c>
      <c r="E81" s="291" t="s">
        <v>386</v>
      </c>
      <c r="F81" s="292" t="s">
        <v>304</v>
      </c>
      <c r="G81" s="292" t="s">
        <v>15</v>
      </c>
      <c r="H81" s="293" t="s">
        <v>388</v>
      </c>
      <c r="I81" s="293">
        <v>3020000084</v>
      </c>
      <c r="J81" s="300" t="s">
        <v>122</v>
      </c>
      <c r="K81" s="295">
        <v>1</v>
      </c>
      <c r="L81" s="335" t="s">
        <v>315</v>
      </c>
    </row>
    <row r="82" spans="1:12" ht="28.95" customHeight="1" x14ac:dyDescent="0.3">
      <c r="A82" s="348">
        <v>81</v>
      </c>
      <c r="B82" s="288" t="s">
        <v>33</v>
      </c>
      <c r="C82" s="289">
        <v>15001967</v>
      </c>
      <c r="D82" s="291" t="s">
        <v>396</v>
      </c>
      <c r="E82" s="291">
        <v>123120</v>
      </c>
      <c r="F82" s="292" t="s">
        <v>304</v>
      </c>
      <c r="G82" s="292" t="s">
        <v>15</v>
      </c>
      <c r="H82" s="293" t="s">
        <v>379</v>
      </c>
      <c r="I82" s="293">
        <v>3020000084</v>
      </c>
      <c r="J82" s="300" t="s">
        <v>123</v>
      </c>
      <c r="K82" s="295">
        <v>1</v>
      </c>
      <c r="L82" s="334" t="s">
        <v>315</v>
      </c>
    </row>
    <row r="83" spans="1:12" ht="28.95" customHeight="1" x14ac:dyDescent="0.3">
      <c r="A83" s="348">
        <v>82</v>
      </c>
      <c r="B83" s="288" t="s">
        <v>33</v>
      </c>
      <c r="C83" s="289">
        <v>15001967</v>
      </c>
      <c r="D83" s="291">
        <v>3002000048</v>
      </c>
      <c r="E83" s="291">
        <v>121496</v>
      </c>
      <c r="F83" s="292" t="s">
        <v>304</v>
      </c>
      <c r="G83" s="292" t="s">
        <v>15</v>
      </c>
      <c r="H83" s="293" t="s">
        <v>376</v>
      </c>
      <c r="I83" s="293">
        <v>3020000084</v>
      </c>
      <c r="J83" s="300" t="s">
        <v>124</v>
      </c>
      <c r="K83" s="295">
        <v>1</v>
      </c>
      <c r="L83" s="334" t="s">
        <v>315</v>
      </c>
    </row>
    <row r="84" spans="1:12" ht="28.95" customHeight="1" x14ac:dyDescent="0.3">
      <c r="A84" s="348">
        <v>83</v>
      </c>
      <c r="B84" s="288" t="s">
        <v>36</v>
      </c>
      <c r="C84" s="289">
        <v>15002128</v>
      </c>
      <c r="D84" s="291" t="s">
        <v>389</v>
      </c>
      <c r="E84" s="291" t="s">
        <v>390</v>
      </c>
      <c r="F84" s="292" t="s">
        <v>304</v>
      </c>
      <c r="G84" s="292" t="s">
        <v>15</v>
      </c>
      <c r="H84" s="293" t="s">
        <v>376</v>
      </c>
      <c r="I84" s="293">
        <v>3020000084</v>
      </c>
      <c r="J84" s="300" t="s">
        <v>124</v>
      </c>
      <c r="K84" s="295">
        <v>1</v>
      </c>
      <c r="L84" s="335" t="s">
        <v>315</v>
      </c>
    </row>
    <row r="85" spans="1:12" ht="28.95" customHeight="1" x14ac:dyDescent="0.3">
      <c r="A85" s="348">
        <v>84</v>
      </c>
      <c r="B85" s="288" t="s">
        <v>371</v>
      </c>
      <c r="C85" s="289">
        <v>15003241</v>
      </c>
      <c r="D85" s="291"/>
      <c r="E85" s="291" t="s">
        <v>375</v>
      </c>
      <c r="F85" s="292" t="s">
        <v>304</v>
      </c>
      <c r="G85" s="292" t="s">
        <v>15</v>
      </c>
      <c r="H85" s="293" t="s">
        <v>376</v>
      </c>
      <c r="I85" s="293">
        <v>3020000084</v>
      </c>
      <c r="J85" s="300" t="s">
        <v>124</v>
      </c>
      <c r="K85" s="295">
        <v>1</v>
      </c>
      <c r="L85" s="334" t="s">
        <v>315</v>
      </c>
    </row>
    <row r="86" spans="1:12" ht="28.95" customHeight="1" x14ac:dyDescent="0.3">
      <c r="A86" s="348">
        <v>85</v>
      </c>
      <c r="B86" s="288" t="s">
        <v>377</v>
      </c>
      <c r="C86" s="289">
        <v>15003241</v>
      </c>
      <c r="D86" s="291"/>
      <c r="E86" s="291"/>
      <c r="F86" s="292" t="s">
        <v>304</v>
      </c>
      <c r="G86" s="292" t="s">
        <v>15</v>
      </c>
      <c r="H86" s="293" t="s">
        <v>379</v>
      </c>
      <c r="I86" s="293">
        <v>3020000084</v>
      </c>
      <c r="J86" s="300" t="s">
        <v>124</v>
      </c>
      <c r="K86" s="312">
        <v>1</v>
      </c>
      <c r="L86" s="334" t="s">
        <v>315</v>
      </c>
    </row>
    <row r="87" spans="1:12" ht="28.95" customHeight="1" x14ac:dyDescent="0.3">
      <c r="A87" s="348">
        <v>86</v>
      </c>
      <c r="B87" s="288" t="s">
        <v>30</v>
      </c>
      <c r="C87" s="289">
        <v>15002463</v>
      </c>
      <c r="D87" s="296">
        <v>3002000001</v>
      </c>
      <c r="E87" s="291" t="s">
        <v>1120</v>
      </c>
      <c r="F87" s="291" t="s">
        <v>304</v>
      </c>
      <c r="G87" s="292" t="s">
        <v>16</v>
      </c>
      <c r="H87" s="293" t="s">
        <v>973</v>
      </c>
      <c r="I87" s="293">
        <v>3020001237</v>
      </c>
      <c r="J87" s="300" t="s">
        <v>126</v>
      </c>
      <c r="K87" s="297">
        <v>1</v>
      </c>
      <c r="L87" s="334" t="s">
        <v>315</v>
      </c>
    </row>
    <row r="88" spans="1:12" ht="28.95" customHeight="1" x14ac:dyDescent="0.3">
      <c r="A88" s="348">
        <v>87</v>
      </c>
      <c r="B88" s="288" t="s">
        <v>409</v>
      </c>
      <c r="C88" s="289">
        <v>15003243</v>
      </c>
      <c r="D88" s="291"/>
      <c r="E88" s="291" t="s">
        <v>1115</v>
      </c>
      <c r="F88" s="292" t="s">
        <v>304</v>
      </c>
      <c r="G88" s="292" t="s">
        <v>16</v>
      </c>
      <c r="H88" s="293" t="s">
        <v>973</v>
      </c>
      <c r="I88" s="293">
        <v>3020001237</v>
      </c>
      <c r="J88" s="300" t="s">
        <v>126</v>
      </c>
      <c r="K88" s="295">
        <v>1</v>
      </c>
      <c r="L88" s="334" t="s">
        <v>315</v>
      </c>
    </row>
    <row r="89" spans="1:12" ht="28.95" customHeight="1" x14ac:dyDescent="0.3">
      <c r="A89" s="348">
        <v>88</v>
      </c>
      <c r="B89" s="288" t="s">
        <v>31</v>
      </c>
      <c r="C89" s="289">
        <v>15002462</v>
      </c>
      <c r="D89" s="322">
        <v>3002000072</v>
      </c>
      <c r="E89" s="291" t="s">
        <v>1201</v>
      </c>
      <c r="F89" s="291" t="s">
        <v>304</v>
      </c>
      <c r="G89" s="292" t="s">
        <v>17</v>
      </c>
      <c r="H89" s="293" t="s">
        <v>1204</v>
      </c>
      <c r="I89" s="293">
        <v>3020001430</v>
      </c>
      <c r="J89" s="300" t="s">
        <v>129</v>
      </c>
      <c r="K89" s="297">
        <v>1</v>
      </c>
      <c r="L89" s="334" t="s">
        <v>315</v>
      </c>
    </row>
    <row r="90" spans="1:12" ht="28.95" customHeight="1" x14ac:dyDescent="0.3">
      <c r="A90" s="348">
        <v>90</v>
      </c>
      <c r="B90" s="288" t="s">
        <v>32</v>
      </c>
      <c r="C90" s="289">
        <v>15002462</v>
      </c>
      <c r="D90" s="291">
        <v>3002000071</v>
      </c>
      <c r="E90" s="291" t="s">
        <v>1166</v>
      </c>
      <c r="F90" s="292" t="s">
        <v>304</v>
      </c>
      <c r="G90" s="292" t="s">
        <v>16</v>
      </c>
      <c r="H90" s="293" t="s">
        <v>1058</v>
      </c>
      <c r="I90" s="293">
        <v>3020001280</v>
      </c>
      <c r="J90" s="300" t="s">
        <v>130</v>
      </c>
      <c r="K90" s="295">
        <v>1</v>
      </c>
      <c r="L90" s="334" t="s">
        <v>315</v>
      </c>
    </row>
    <row r="91" spans="1:12" ht="28.95" customHeight="1" x14ac:dyDescent="0.3">
      <c r="A91" s="348">
        <v>91</v>
      </c>
      <c r="B91" s="288" t="s">
        <v>30</v>
      </c>
      <c r="C91" s="289">
        <v>15002463</v>
      </c>
      <c r="D91" s="296">
        <v>3002000018</v>
      </c>
      <c r="E91" s="291" t="s">
        <v>655</v>
      </c>
      <c r="F91" s="291" t="s">
        <v>304</v>
      </c>
      <c r="G91" s="292" t="s">
        <v>16</v>
      </c>
      <c r="H91" s="293" t="s">
        <v>651</v>
      </c>
      <c r="I91" s="293">
        <v>3020000633</v>
      </c>
      <c r="J91" s="300" t="s">
        <v>131</v>
      </c>
      <c r="K91" s="297">
        <v>1</v>
      </c>
      <c r="L91" s="334" t="s">
        <v>315</v>
      </c>
    </row>
    <row r="92" spans="1:12" ht="28.95" customHeight="1" x14ac:dyDescent="0.3">
      <c r="A92" s="348">
        <v>92</v>
      </c>
      <c r="B92" s="288" t="s">
        <v>38</v>
      </c>
      <c r="C92" s="289">
        <v>15002674</v>
      </c>
      <c r="D92" s="299">
        <v>3002000103</v>
      </c>
      <c r="E92" s="299" t="s">
        <v>650</v>
      </c>
      <c r="F92" s="292" t="s">
        <v>304</v>
      </c>
      <c r="G92" s="292" t="s">
        <v>16</v>
      </c>
      <c r="H92" s="293" t="s">
        <v>651</v>
      </c>
      <c r="I92" s="293">
        <v>3020000633</v>
      </c>
      <c r="J92" s="300" t="s">
        <v>131</v>
      </c>
      <c r="K92" s="295">
        <v>1</v>
      </c>
      <c r="L92" s="334" t="s">
        <v>315</v>
      </c>
    </row>
    <row r="93" spans="1:12" ht="28.95" customHeight="1" x14ac:dyDescent="0.3">
      <c r="A93" s="348">
        <v>93</v>
      </c>
      <c r="B93" s="288" t="s">
        <v>489</v>
      </c>
      <c r="C93" s="298">
        <v>15002248</v>
      </c>
      <c r="D93" s="299">
        <v>3002000093</v>
      </c>
      <c r="E93" s="299" t="s">
        <v>490</v>
      </c>
      <c r="F93" s="292" t="s">
        <v>304</v>
      </c>
      <c r="G93" s="292" t="s">
        <v>16</v>
      </c>
      <c r="H93" s="293" t="s">
        <v>349</v>
      </c>
      <c r="I93" s="293">
        <v>3020000209</v>
      </c>
      <c r="J93" s="300" t="s">
        <v>132</v>
      </c>
      <c r="K93" s="295">
        <v>1</v>
      </c>
      <c r="L93" s="334" t="s">
        <v>315</v>
      </c>
    </row>
    <row r="94" spans="1:12" ht="28.95" customHeight="1" x14ac:dyDescent="0.3">
      <c r="A94" s="348">
        <v>94</v>
      </c>
      <c r="B94" s="288" t="s">
        <v>28</v>
      </c>
      <c r="C94" s="289">
        <v>15002760</v>
      </c>
      <c r="D94" s="296">
        <v>3002000022</v>
      </c>
      <c r="E94" s="291">
        <v>30006240</v>
      </c>
      <c r="F94" s="291" t="s">
        <v>1323</v>
      </c>
      <c r="G94" s="292" t="s">
        <v>15</v>
      </c>
      <c r="H94" s="293" t="s">
        <v>1000</v>
      </c>
      <c r="I94" s="293">
        <v>3020001748</v>
      </c>
      <c r="J94" s="310" t="s">
        <v>133</v>
      </c>
      <c r="K94" s="304">
        <v>1</v>
      </c>
      <c r="L94" s="337" t="s">
        <v>635</v>
      </c>
    </row>
    <row r="95" spans="1:12" ht="28.95" customHeight="1" x14ac:dyDescent="0.3">
      <c r="A95" s="348">
        <v>95</v>
      </c>
      <c r="B95" s="288" t="s">
        <v>691</v>
      </c>
      <c r="C95" s="289">
        <v>15002760</v>
      </c>
      <c r="D95" s="291"/>
      <c r="E95" s="291"/>
      <c r="F95" s="292" t="s">
        <v>304</v>
      </c>
      <c r="G95" s="292" t="s">
        <v>15</v>
      </c>
      <c r="H95" s="289" t="s">
        <v>305</v>
      </c>
      <c r="I95" s="293">
        <v>3020000664</v>
      </c>
      <c r="J95" s="300" t="s">
        <v>106</v>
      </c>
      <c r="K95" s="295">
        <v>1</v>
      </c>
      <c r="L95" s="334" t="s">
        <v>635</v>
      </c>
    </row>
    <row r="96" spans="1:12" ht="28.95" customHeight="1" x14ac:dyDescent="0.3">
      <c r="A96" s="348">
        <v>96</v>
      </c>
      <c r="B96" s="288" t="s">
        <v>485</v>
      </c>
      <c r="C96" s="289">
        <v>15002760</v>
      </c>
      <c r="D96" s="291" t="s">
        <v>1331</v>
      </c>
      <c r="E96" s="291">
        <v>30006374</v>
      </c>
      <c r="F96" s="292" t="s">
        <v>304</v>
      </c>
      <c r="G96" s="292" t="s">
        <v>17</v>
      </c>
      <c r="H96" s="289" t="s">
        <v>987</v>
      </c>
      <c r="I96" s="293"/>
      <c r="J96" s="300" t="s">
        <v>83</v>
      </c>
      <c r="K96" s="295">
        <v>1</v>
      </c>
      <c r="L96" s="334" t="s">
        <v>635</v>
      </c>
    </row>
    <row r="97" spans="1:12" ht="28.95" customHeight="1" x14ac:dyDescent="0.3">
      <c r="A97" s="348">
        <v>97</v>
      </c>
      <c r="B97" s="288" t="s">
        <v>485</v>
      </c>
      <c r="C97" s="289">
        <v>15002760</v>
      </c>
      <c r="D97" s="291"/>
      <c r="E97" s="291"/>
      <c r="F97" s="292" t="s">
        <v>400</v>
      </c>
      <c r="G97" s="292" t="s">
        <v>17</v>
      </c>
      <c r="H97" s="289" t="s">
        <v>987</v>
      </c>
      <c r="I97" s="293"/>
      <c r="J97" s="300" t="s">
        <v>146</v>
      </c>
      <c r="K97" s="312">
        <v>1</v>
      </c>
      <c r="L97" s="334" t="s">
        <v>635</v>
      </c>
    </row>
    <row r="98" spans="1:12" ht="28.95" customHeight="1" x14ac:dyDescent="0.3">
      <c r="A98" s="348">
        <v>98</v>
      </c>
      <c r="B98" s="288" t="s">
        <v>371</v>
      </c>
      <c r="C98" s="289">
        <v>15003241</v>
      </c>
      <c r="D98" s="291" t="s">
        <v>1175</v>
      </c>
      <c r="E98" s="291" t="s">
        <v>1176</v>
      </c>
      <c r="F98" s="292" t="s">
        <v>400</v>
      </c>
      <c r="G98" s="292" t="s">
        <v>16</v>
      </c>
      <c r="H98" s="289" t="s">
        <v>349</v>
      </c>
      <c r="I98" s="293">
        <v>3020001280</v>
      </c>
      <c r="J98" s="300" t="s">
        <v>130</v>
      </c>
      <c r="K98" s="312">
        <v>1</v>
      </c>
      <c r="L98" s="334" t="s">
        <v>315</v>
      </c>
    </row>
    <row r="99" spans="1:12" ht="28.95" customHeight="1" x14ac:dyDescent="0.3">
      <c r="A99" s="348">
        <v>99</v>
      </c>
      <c r="B99" s="288" t="s">
        <v>35</v>
      </c>
      <c r="C99" s="289">
        <v>15002553</v>
      </c>
      <c r="D99" s="291" t="s">
        <v>1173</v>
      </c>
      <c r="E99" s="291" t="s">
        <v>1174</v>
      </c>
      <c r="F99" s="292" t="s">
        <v>400</v>
      </c>
      <c r="G99" s="292" t="s">
        <v>16</v>
      </c>
      <c r="H99" s="289" t="s">
        <v>651</v>
      </c>
      <c r="I99" s="293">
        <v>3020001280</v>
      </c>
      <c r="J99" s="300" t="s">
        <v>181</v>
      </c>
      <c r="K99" s="312">
        <v>1</v>
      </c>
      <c r="L99" s="334" t="s">
        <v>315</v>
      </c>
    </row>
    <row r="100" spans="1:12" ht="28.95" customHeight="1" x14ac:dyDescent="0.3">
      <c r="A100" s="348">
        <v>100</v>
      </c>
      <c r="B100" s="288" t="s">
        <v>38</v>
      </c>
      <c r="C100" s="289">
        <v>15002674</v>
      </c>
      <c r="D100" s="291" t="s">
        <v>1333</v>
      </c>
      <c r="E100" s="291" t="s">
        <v>1335</v>
      </c>
      <c r="F100" s="291" t="s">
        <v>304</v>
      </c>
      <c r="G100" s="292" t="s">
        <v>15</v>
      </c>
      <c r="H100" s="289" t="s">
        <v>1000</v>
      </c>
      <c r="I100" s="293"/>
      <c r="J100" s="300" t="s">
        <v>79</v>
      </c>
      <c r="K100" s="312">
        <v>1</v>
      </c>
      <c r="L100" s="334" t="s">
        <v>304</v>
      </c>
    </row>
    <row r="101" spans="1:12" ht="28.95" customHeight="1" x14ac:dyDescent="0.3">
      <c r="A101" s="348">
        <v>101</v>
      </c>
      <c r="B101" s="288" t="s">
        <v>409</v>
      </c>
      <c r="C101" s="289">
        <v>15003243</v>
      </c>
      <c r="D101" s="291"/>
      <c r="E101" s="291"/>
      <c r="F101" s="292" t="s">
        <v>400</v>
      </c>
      <c r="G101" s="292" t="s">
        <v>16</v>
      </c>
      <c r="H101" s="289" t="s">
        <v>349</v>
      </c>
      <c r="I101" s="293">
        <v>3020000206</v>
      </c>
      <c r="J101" s="300" t="s">
        <v>104</v>
      </c>
      <c r="K101" s="312">
        <v>1</v>
      </c>
      <c r="L101" s="334" t="s">
        <v>315</v>
      </c>
    </row>
    <row r="102" spans="1:12" ht="28.95" customHeight="1" x14ac:dyDescent="0.3">
      <c r="A102" s="348">
        <v>102</v>
      </c>
      <c r="B102" s="288" t="s">
        <v>33</v>
      </c>
      <c r="C102" s="289">
        <v>15001967</v>
      </c>
      <c r="D102" s="291" t="s">
        <v>468</v>
      </c>
      <c r="E102" s="291">
        <v>126054</v>
      </c>
      <c r="F102" s="292" t="s">
        <v>304</v>
      </c>
      <c r="G102" s="292" t="s">
        <v>16</v>
      </c>
      <c r="H102" s="289" t="s">
        <v>349</v>
      </c>
      <c r="I102" s="293">
        <v>3020000206</v>
      </c>
      <c r="J102" s="300" t="s">
        <v>104</v>
      </c>
      <c r="K102" s="295">
        <v>1</v>
      </c>
      <c r="L102" s="334" t="s">
        <v>315</v>
      </c>
    </row>
    <row r="103" spans="1:12" ht="28.95" customHeight="1" x14ac:dyDescent="0.3">
      <c r="A103" s="348">
        <v>103</v>
      </c>
      <c r="B103" s="288" t="s">
        <v>485</v>
      </c>
      <c r="C103" s="289">
        <v>15002760</v>
      </c>
      <c r="D103" s="291" t="s">
        <v>486</v>
      </c>
      <c r="E103" s="291"/>
      <c r="F103" s="292" t="s">
        <v>400</v>
      </c>
      <c r="G103" s="292" t="s">
        <v>16</v>
      </c>
      <c r="H103" s="289" t="s">
        <v>349</v>
      </c>
      <c r="I103" s="293">
        <v>3020000206</v>
      </c>
      <c r="J103" s="300" t="s">
        <v>163</v>
      </c>
      <c r="K103" s="312">
        <v>1</v>
      </c>
      <c r="L103" s="334" t="s">
        <v>488</v>
      </c>
    </row>
    <row r="104" spans="1:12" ht="28.95" customHeight="1" x14ac:dyDescent="0.3">
      <c r="A104" s="348">
        <v>104</v>
      </c>
      <c r="B104" s="288" t="s">
        <v>38</v>
      </c>
      <c r="C104" s="289">
        <v>15002674</v>
      </c>
      <c r="D104" s="291"/>
      <c r="E104" s="322" t="s">
        <v>1086</v>
      </c>
      <c r="F104" s="292" t="s">
        <v>304</v>
      </c>
      <c r="G104" s="292" t="s">
        <v>15</v>
      </c>
      <c r="H104" s="289" t="s">
        <v>305</v>
      </c>
      <c r="I104" s="293">
        <v>3020001174</v>
      </c>
      <c r="J104" s="300" t="s">
        <v>127</v>
      </c>
      <c r="K104" s="312">
        <v>1</v>
      </c>
      <c r="L104" s="334" t="s">
        <v>315</v>
      </c>
    </row>
    <row r="105" spans="1:12" ht="28.95" customHeight="1" x14ac:dyDescent="0.3">
      <c r="A105" s="348">
        <v>105</v>
      </c>
      <c r="B105" s="288" t="s">
        <v>38</v>
      </c>
      <c r="C105" s="289">
        <v>15002674</v>
      </c>
      <c r="D105" s="291"/>
      <c r="E105" s="291"/>
      <c r="F105" s="292" t="s">
        <v>304</v>
      </c>
      <c r="G105" s="292" t="s">
        <v>15</v>
      </c>
      <c r="H105" s="289" t="s">
        <v>305</v>
      </c>
      <c r="I105" s="293">
        <v>3020000811</v>
      </c>
      <c r="J105" s="300" t="s">
        <v>88</v>
      </c>
      <c r="K105" s="312">
        <v>1</v>
      </c>
      <c r="L105" s="334" t="s">
        <v>315</v>
      </c>
    </row>
    <row r="106" spans="1:12" ht="28.95" customHeight="1" x14ac:dyDescent="0.3">
      <c r="A106" s="348">
        <v>106</v>
      </c>
      <c r="B106" s="288" t="s">
        <v>829</v>
      </c>
      <c r="C106" s="289">
        <v>15002671</v>
      </c>
      <c r="D106" s="291"/>
      <c r="E106" s="291"/>
      <c r="F106" s="292" t="s">
        <v>304</v>
      </c>
      <c r="G106" s="292" t="s">
        <v>15</v>
      </c>
      <c r="H106" s="289" t="s">
        <v>305</v>
      </c>
      <c r="I106" s="293">
        <v>3020000811</v>
      </c>
      <c r="J106" s="300" t="s">
        <v>88</v>
      </c>
      <c r="K106" s="312">
        <v>1</v>
      </c>
      <c r="L106" s="334" t="s">
        <v>315</v>
      </c>
    </row>
    <row r="107" spans="1:12" ht="28.95" customHeight="1" x14ac:dyDescent="0.3">
      <c r="A107" s="348">
        <v>107</v>
      </c>
      <c r="B107" s="288" t="s">
        <v>33</v>
      </c>
      <c r="C107" s="289">
        <v>15001967</v>
      </c>
      <c r="D107" s="291"/>
      <c r="E107" s="291"/>
      <c r="F107" s="292" t="s">
        <v>400</v>
      </c>
      <c r="G107" s="292" t="s">
        <v>16</v>
      </c>
      <c r="H107" s="289" t="s">
        <v>349</v>
      </c>
      <c r="I107" s="293">
        <v>3020000736</v>
      </c>
      <c r="J107" s="300" t="s">
        <v>95</v>
      </c>
      <c r="K107" s="312">
        <v>1</v>
      </c>
      <c r="L107" s="334" t="s">
        <v>315</v>
      </c>
    </row>
    <row r="108" spans="1:12" ht="28.95" customHeight="1" x14ac:dyDescent="0.3">
      <c r="A108" s="348">
        <v>108</v>
      </c>
      <c r="B108" s="288" t="s">
        <v>30</v>
      </c>
      <c r="C108" s="289">
        <v>15002463</v>
      </c>
      <c r="D108" s="291"/>
      <c r="E108" s="291"/>
      <c r="F108" s="292" t="s">
        <v>304</v>
      </c>
      <c r="G108" s="292" t="s">
        <v>16</v>
      </c>
      <c r="H108" s="289" t="s">
        <v>973</v>
      </c>
      <c r="I108" s="293">
        <v>3020000979</v>
      </c>
      <c r="J108" s="300" t="s">
        <v>101</v>
      </c>
      <c r="K108" s="312">
        <v>1</v>
      </c>
      <c r="L108" s="334" t="s">
        <v>315</v>
      </c>
    </row>
    <row r="109" spans="1:12" ht="28.95" customHeight="1" x14ac:dyDescent="0.3">
      <c r="A109" s="348">
        <v>109</v>
      </c>
      <c r="B109" s="288" t="s">
        <v>485</v>
      </c>
      <c r="C109" s="289">
        <v>15002760</v>
      </c>
      <c r="D109" s="291"/>
      <c r="E109" s="291"/>
      <c r="F109" s="292" t="s">
        <v>304</v>
      </c>
      <c r="G109" s="292" t="s">
        <v>16</v>
      </c>
      <c r="H109" s="289" t="s">
        <v>349</v>
      </c>
      <c r="I109" s="293">
        <v>3020001124</v>
      </c>
      <c r="J109" s="300" t="s">
        <v>111</v>
      </c>
      <c r="K109" s="312">
        <v>1</v>
      </c>
      <c r="L109" s="334" t="s">
        <v>635</v>
      </c>
    </row>
    <row r="110" spans="1:12" ht="28.95" customHeight="1" x14ac:dyDescent="0.3">
      <c r="A110" s="348">
        <v>110</v>
      </c>
      <c r="B110" s="288" t="s">
        <v>30</v>
      </c>
      <c r="C110" s="289">
        <v>15002463</v>
      </c>
      <c r="D110" s="291"/>
      <c r="E110" s="291"/>
      <c r="F110" s="292" t="s">
        <v>529</v>
      </c>
      <c r="G110" s="292" t="s">
        <v>15</v>
      </c>
      <c r="H110" s="293" t="s">
        <v>305</v>
      </c>
      <c r="I110" s="293">
        <v>3020001224</v>
      </c>
      <c r="J110" s="310" t="s">
        <v>128</v>
      </c>
      <c r="K110" s="312">
        <v>1</v>
      </c>
      <c r="L110" s="335" t="s">
        <v>315</v>
      </c>
    </row>
    <row r="111" spans="1:12" ht="28.95" customHeight="1" x14ac:dyDescent="0.3">
      <c r="A111" s="348">
        <v>111</v>
      </c>
      <c r="B111" s="288" t="s">
        <v>1042</v>
      </c>
      <c r="C111" s="289">
        <v>15001968</v>
      </c>
      <c r="D111" s="291"/>
      <c r="E111" s="292">
        <v>128455</v>
      </c>
      <c r="F111" s="292" t="s">
        <v>400</v>
      </c>
      <c r="G111" s="292" t="s">
        <v>16</v>
      </c>
      <c r="H111" s="289" t="s">
        <v>1344</v>
      </c>
      <c r="I111" s="293"/>
      <c r="J111" s="289" t="s">
        <v>174</v>
      </c>
      <c r="K111" s="312">
        <v>1</v>
      </c>
      <c r="L111" s="334" t="s">
        <v>315</v>
      </c>
    </row>
    <row r="112" spans="1:12" ht="28.95" customHeight="1" x14ac:dyDescent="0.3">
      <c r="A112" s="348">
        <v>112</v>
      </c>
      <c r="B112" s="288" t="s">
        <v>1060</v>
      </c>
      <c r="C112" s="289">
        <v>15003001</v>
      </c>
      <c r="D112" s="291"/>
      <c r="E112" s="291"/>
      <c r="F112" s="292" t="s">
        <v>400</v>
      </c>
      <c r="G112" s="292" t="s">
        <v>16</v>
      </c>
      <c r="H112" s="289" t="s">
        <v>349</v>
      </c>
      <c r="I112" s="293">
        <v>3020001124</v>
      </c>
      <c r="J112" s="289" t="s">
        <v>171</v>
      </c>
      <c r="K112" s="312">
        <v>1</v>
      </c>
      <c r="L112" s="333" t="s">
        <v>1070</v>
      </c>
    </row>
    <row r="113" spans="1:12" ht="28.95" customHeight="1" x14ac:dyDescent="0.3">
      <c r="A113" s="348">
        <v>113</v>
      </c>
      <c r="B113" s="288" t="s">
        <v>1244</v>
      </c>
      <c r="C113" s="289"/>
      <c r="D113" s="307"/>
      <c r="E113" s="307"/>
      <c r="F113" s="292" t="s">
        <v>400</v>
      </c>
      <c r="G113" s="292" t="s">
        <v>15</v>
      </c>
      <c r="H113" s="311" t="s">
        <v>1250</v>
      </c>
      <c r="I113" s="293"/>
      <c r="J113" s="289" t="s">
        <v>186</v>
      </c>
      <c r="K113" s="312">
        <v>1</v>
      </c>
      <c r="L113" s="335" t="s">
        <v>315</v>
      </c>
    </row>
    <row r="114" spans="1:12" ht="28.95" customHeight="1" x14ac:dyDescent="0.3">
      <c r="A114" s="348">
        <v>114</v>
      </c>
      <c r="B114" s="288" t="s">
        <v>1337</v>
      </c>
      <c r="C114" s="289"/>
      <c r="D114" s="307"/>
      <c r="E114" s="299" t="s">
        <v>1294</v>
      </c>
      <c r="F114" s="292" t="s">
        <v>400</v>
      </c>
      <c r="G114" s="292" t="s">
        <v>15</v>
      </c>
      <c r="H114" s="293" t="s">
        <v>1000</v>
      </c>
      <c r="I114" s="293"/>
      <c r="J114" s="289" t="s">
        <v>144</v>
      </c>
      <c r="K114" s="312">
        <v>1</v>
      </c>
      <c r="L114" s="334" t="s">
        <v>315</v>
      </c>
    </row>
    <row r="115" spans="1:12" ht="28.95" customHeight="1" x14ac:dyDescent="0.3">
      <c r="A115" s="348">
        <v>115</v>
      </c>
      <c r="B115" s="288" t="s">
        <v>1338</v>
      </c>
      <c r="C115" s="289"/>
      <c r="D115" s="307"/>
      <c r="E115" s="307"/>
      <c r="F115" s="292" t="s">
        <v>400</v>
      </c>
      <c r="G115" s="292" t="s">
        <v>15</v>
      </c>
      <c r="H115" s="293" t="s">
        <v>1000</v>
      </c>
      <c r="I115" s="293"/>
      <c r="J115" s="289" t="s">
        <v>142</v>
      </c>
      <c r="K115" s="312">
        <v>1</v>
      </c>
      <c r="L115" s="334" t="s">
        <v>315</v>
      </c>
    </row>
    <row r="116" spans="1:12" ht="28.95" customHeight="1" x14ac:dyDescent="0.3">
      <c r="A116" s="348">
        <v>116</v>
      </c>
      <c r="B116" s="288" t="s">
        <v>33</v>
      </c>
      <c r="C116" s="289">
        <v>15001967</v>
      </c>
      <c r="D116" s="307"/>
      <c r="E116" s="307"/>
      <c r="F116" s="307" t="s">
        <v>304</v>
      </c>
      <c r="G116" s="292" t="s">
        <v>15</v>
      </c>
      <c r="H116" s="311" t="s">
        <v>399</v>
      </c>
      <c r="I116" s="293"/>
      <c r="J116" s="289" t="s">
        <v>1354</v>
      </c>
      <c r="K116" s="312">
        <v>1</v>
      </c>
      <c r="L116" s="334" t="s">
        <v>315</v>
      </c>
    </row>
    <row r="117" spans="1:12" x14ac:dyDescent="0.3">
      <c r="A117" s="348">
        <v>117</v>
      </c>
      <c r="B117" s="306" t="s">
        <v>35</v>
      </c>
      <c r="C117" s="289">
        <v>15002553</v>
      </c>
      <c r="D117" s="299">
        <v>3002000108</v>
      </c>
      <c r="E117" s="299" t="s">
        <v>1296</v>
      </c>
      <c r="F117" s="307" t="s">
        <v>304</v>
      </c>
      <c r="G117" s="307" t="s">
        <v>15</v>
      </c>
      <c r="H117" s="308" t="s">
        <v>1000</v>
      </c>
      <c r="I117" s="293">
        <v>3020001748</v>
      </c>
      <c r="J117" t="s">
        <v>1355</v>
      </c>
      <c r="L117" s="338" t="s">
        <v>315</v>
      </c>
    </row>
    <row r="118" spans="1:12" x14ac:dyDescent="0.3">
      <c r="A118" s="349">
        <v>118</v>
      </c>
      <c r="B118" s="339" t="s">
        <v>35</v>
      </c>
      <c r="C118" s="340">
        <v>15002553</v>
      </c>
      <c r="D118" s="341" t="s">
        <v>1292</v>
      </c>
      <c r="E118" s="341" t="s">
        <v>1293</v>
      </c>
      <c r="F118" s="341" t="s">
        <v>304</v>
      </c>
      <c r="G118" s="341" t="s">
        <v>15</v>
      </c>
      <c r="H118" s="342" t="s">
        <v>1000</v>
      </c>
      <c r="I118" s="343">
        <v>3020001748</v>
      </c>
      <c r="J118" s="344" t="s">
        <v>1356</v>
      </c>
      <c r="K118" s="345"/>
      <c r="L118" s="346" t="s">
        <v>315</v>
      </c>
    </row>
  </sheetData>
  <autoFilter ref="A3:L118" xr:uid="{CFC3ABCD-EA86-49FA-8C9E-8E48ED1F6774}"/>
  <conditionalFormatting sqref="D25:D26 D6 D8:D23">
    <cfRule type="duplicateValues" dxfId="51" priority="48"/>
  </conditionalFormatting>
  <conditionalFormatting sqref="D28">
    <cfRule type="duplicateValues" dxfId="50" priority="47"/>
  </conditionalFormatting>
  <conditionalFormatting sqref="D29">
    <cfRule type="duplicateValues" dxfId="49" priority="46"/>
    <cfRule type="duplicateValues" dxfId="48" priority="45"/>
  </conditionalFormatting>
  <conditionalFormatting sqref="D31">
    <cfRule type="duplicateValues" dxfId="47" priority="44"/>
  </conditionalFormatting>
  <conditionalFormatting sqref="D39">
    <cfRule type="duplicateValues" dxfId="46" priority="40"/>
  </conditionalFormatting>
  <conditionalFormatting sqref="D39:D40">
    <cfRule type="duplicateValues" dxfId="45" priority="42"/>
    <cfRule type="duplicateValues" dxfId="44" priority="41"/>
  </conditionalFormatting>
  <conditionalFormatting sqref="D41">
    <cfRule type="duplicateValues" dxfId="43" priority="43"/>
  </conditionalFormatting>
  <conditionalFormatting sqref="D47">
    <cfRule type="duplicateValues" dxfId="42" priority="35"/>
    <cfRule type="duplicateValues" dxfId="41" priority="34"/>
  </conditionalFormatting>
  <conditionalFormatting sqref="D50">
    <cfRule type="duplicateValues" dxfId="40" priority="32"/>
  </conditionalFormatting>
  <conditionalFormatting sqref="D57">
    <cfRule type="duplicateValues" dxfId="39" priority="29"/>
  </conditionalFormatting>
  <conditionalFormatting sqref="D65">
    <cfRule type="duplicateValues" dxfId="38" priority="26"/>
  </conditionalFormatting>
  <conditionalFormatting sqref="D66">
    <cfRule type="duplicateValues" dxfId="37" priority="27"/>
  </conditionalFormatting>
  <conditionalFormatting sqref="D81:D88">
    <cfRule type="duplicateValues" dxfId="36" priority="22"/>
    <cfRule type="duplicateValues" dxfId="35" priority="322"/>
  </conditionalFormatting>
  <conditionalFormatting sqref="D90:D94">
    <cfRule type="duplicateValues" dxfId="34" priority="15"/>
  </conditionalFormatting>
  <conditionalFormatting sqref="D95:D112 D53 D55:D56 D58:D80 D48:D51 D42:D46 D31:D40 D27:D28 D3">
    <cfRule type="duplicateValues" dxfId="33" priority="305"/>
  </conditionalFormatting>
  <conditionalFormatting sqref="D95:D112 D53 D55:D80 D48:D51 D42:D46 D31:D40 D25:D29 D8:D23 D5:D6 D3">
    <cfRule type="duplicateValues" dxfId="32" priority="52"/>
  </conditionalFormatting>
  <conditionalFormatting sqref="D117">
    <cfRule type="duplicateValues" dxfId="31" priority="4"/>
    <cfRule type="duplicateValues" dxfId="30" priority="5"/>
  </conditionalFormatting>
  <conditionalFormatting sqref="D118">
    <cfRule type="duplicateValues" dxfId="29" priority="1"/>
    <cfRule type="duplicateValues" dxfId="28" priority="3"/>
  </conditionalFormatting>
  <conditionalFormatting sqref="D116:F116 D113:E113 H113 H116 D115:E115 D114">
    <cfRule type="duplicateValues" dxfId="27" priority="330"/>
    <cfRule type="duplicateValues" dxfId="26" priority="331"/>
  </conditionalFormatting>
  <conditionalFormatting sqref="E12:E29 E5:E10">
    <cfRule type="duplicateValues" dxfId="25" priority="363"/>
  </conditionalFormatting>
  <conditionalFormatting sqref="E39">
    <cfRule type="duplicateValues" dxfId="24" priority="39"/>
  </conditionalFormatting>
  <conditionalFormatting sqref="E40">
    <cfRule type="duplicateValues" dxfId="23" priority="38"/>
  </conditionalFormatting>
  <conditionalFormatting sqref="E50">
    <cfRule type="duplicateValues" dxfId="22" priority="31"/>
  </conditionalFormatting>
  <conditionalFormatting sqref="E57">
    <cfRule type="duplicateValues" dxfId="21" priority="28"/>
  </conditionalFormatting>
  <conditionalFormatting sqref="E58">
    <cfRule type="duplicateValues" dxfId="20" priority="30"/>
  </conditionalFormatting>
  <conditionalFormatting sqref="E65">
    <cfRule type="duplicateValues" dxfId="19" priority="25"/>
  </conditionalFormatting>
  <conditionalFormatting sqref="E66">
    <cfRule type="duplicateValues" dxfId="18" priority="24"/>
  </conditionalFormatting>
  <conditionalFormatting sqref="E81">
    <cfRule type="duplicateValues" dxfId="17" priority="19"/>
  </conditionalFormatting>
  <conditionalFormatting sqref="E82">
    <cfRule type="duplicateValues" dxfId="16" priority="20"/>
  </conditionalFormatting>
  <conditionalFormatting sqref="E83">
    <cfRule type="duplicateValues" dxfId="15" priority="18"/>
  </conditionalFormatting>
  <conditionalFormatting sqref="E87">
    <cfRule type="duplicateValues" dxfId="14" priority="17"/>
  </conditionalFormatting>
  <conditionalFormatting sqref="E102">
    <cfRule type="duplicateValues" dxfId="13" priority="10"/>
    <cfRule type="duplicateValues" dxfId="12" priority="9"/>
  </conditionalFormatting>
  <conditionalFormatting sqref="E118">
    <cfRule type="duplicateValues" dxfId="11" priority="2"/>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5:AJ10"/>
  <sheetViews>
    <sheetView workbookViewId="0">
      <selection activeCell="G18" sqref="G18"/>
    </sheetView>
  </sheetViews>
  <sheetFormatPr defaultRowHeight="14.4" x14ac:dyDescent="0.3"/>
  <cols>
    <col min="1" max="1" width="8.6640625" bestFit="1" customWidth="1"/>
    <col min="2" max="2" width="35.44140625" bestFit="1" customWidth="1"/>
    <col min="3" max="3" width="16.44140625" customWidth="1"/>
    <col min="4" max="4" width="17" bestFit="1" customWidth="1"/>
    <col min="5" max="5" width="11" bestFit="1" customWidth="1"/>
    <col min="6" max="6" width="8.44140625" bestFit="1" customWidth="1"/>
    <col min="7" max="7" width="16.33203125" customWidth="1"/>
    <col min="8" max="8" width="18.33203125" customWidth="1"/>
    <col min="9" max="10" width="10.33203125" bestFit="1" customWidth="1"/>
    <col min="11" max="11" width="21.5546875" customWidth="1"/>
    <col min="12" max="12" width="8.6640625" customWidth="1"/>
    <col min="13" max="13" width="10.33203125" customWidth="1"/>
    <col min="14" max="14" width="12" customWidth="1"/>
    <col min="15" max="15" width="15.5546875" customWidth="1"/>
    <col min="16" max="16" width="28.5546875" customWidth="1"/>
    <col min="17" max="17" width="24" customWidth="1"/>
    <col min="18" max="18" width="25.44140625" customWidth="1"/>
    <col min="19" max="19" width="19.5546875" customWidth="1"/>
    <col min="20" max="20" width="25.5546875" bestFit="1" customWidth="1"/>
    <col min="21" max="21" width="10.33203125" bestFit="1" customWidth="1"/>
    <col min="22" max="22" width="15.5546875" bestFit="1" customWidth="1"/>
    <col min="23" max="23" width="10.5546875" bestFit="1" customWidth="1"/>
    <col min="24" max="24" width="8.5546875" bestFit="1" customWidth="1"/>
    <col min="25" max="25" width="10.5546875" bestFit="1" customWidth="1"/>
    <col min="26" max="26" width="29.44140625" customWidth="1"/>
    <col min="27" max="27" width="8.44140625" bestFit="1" customWidth="1"/>
    <col min="28" max="28" width="11.5546875" bestFit="1" customWidth="1"/>
    <col min="29" max="29" width="7.6640625" bestFit="1" customWidth="1"/>
    <col min="30" max="30" width="10.5546875" bestFit="1" customWidth="1"/>
    <col min="31" max="31" width="11.5546875" bestFit="1" customWidth="1"/>
    <col min="32" max="32" width="10.5546875" bestFit="1" customWidth="1"/>
    <col min="33" max="33" width="19.5546875" customWidth="1"/>
    <col min="34" max="34" width="12.44140625" bestFit="1" customWidth="1"/>
    <col min="35" max="35" width="7.5546875" bestFit="1" customWidth="1"/>
    <col min="36" max="36" width="10.5546875" bestFit="1" customWidth="1"/>
  </cols>
  <sheetData>
    <row r="5" spans="1:36" ht="15" thickBot="1" x14ac:dyDescent="0.35"/>
    <row r="6" spans="1:36" ht="60" customHeight="1" thickTop="1" thickBot="1" x14ac:dyDescent="0.35">
      <c r="A6" s="160" t="s">
        <v>202</v>
      </c>
      <c r="B6" s="160" t="s">
        <v>203</v>
      </c>
      <c r="C6" s="126" t="s">
        <v>204</v>
      </c>
      <c r="D6" s="126" t="s">
        <v>205</v>
      </c>
      <c r="E6" s="126" t="s">
        <v>206</v>
      </c>
      <c r="F6" s="126" t="s">
        <v>207</v>
      </c>
      <c r="G6" s="126" t="s">
        <v>208</v>
      </c>
      <c r="H6" s="160" t="s">
        <v>209</v>
      </c>
      <c r="I6" s="126" t="s">
        <v>210</v>
      </c>
      <c r="J6" s="126" t="s">
        <v>211</v>
      </c>
      <c r="K6" s="126" t="s">
        <v>212</v>
      </c>
      <c r="L6" s="160" t="s">
        <v>0</v>
      </c>
      <c r="M6" s="160" t="s">
        <v>3</v>
      </c>
      <c r="N6" s="160" t="s">
        <v>214</v>
      </c>
      <c r="O6" s="125" t="s">
        <v>215</v>
      </c>
      <c r="P6" s="160" t="s">
        <v>216</v>
      </c>
      <c r="Q6" s="126" t="s">
        <v>217</v>
      </c>
      <c r="R6" s="161" t="s">
        <v>218</v>
      </c>
      <c r="S6" s="126" t="s">
        <v>219</v>
      </c>
      <c r="T6" s="126" t="s">
        <v>220</v>
      </c>
      <c r="U6" s="126" t="s">
        <v>221</v>
      </c>
      <c r="V6" s="126" t="s">
        <v>222</v>
      </c>
      <c r="W6" s="162" t="s">
        <v>223</v>
      </c>
      <c r="X6" s="162" t="s">
        <v>224</v>
      </c>
      <c r="Y6" s="162" t="s">
        <v>225</v>
      </c>
      <c r="Z6" s="163" t="s">
        <v>246</v>
      </c>
      <c r="AA6" s="164" t="s">
        <v>1357</v>
      </c>
      <c r="AB6" s="163" t="s">
        <v>280</v>
      </c>
      <c r="AC6" s="165" t="s">
        <v>281</v>
      </c>
      <c r="AD6" s="166" t="s">
        <v>282</v>
      </c>
      <c r="AE6" s="166" t="s">
        <v>283</v>
      </c>
      <c r="AF6" s="165" t="s">
        <v>284</v>
      </c>
      <c r="AG6" s="167" t="s">
        <v>285</v>
      </c>
      <c r="AH6" s="168" t="s">
        <v>286</v>
      </c>
      <c r="AI6" s="169" t="s">
        <v>287</v>
      </c>
      <c r="AJ6" s="168" t="s">
        <v>288</v>
      </c>
    </row>
    <row r="7" spans="1:36" ht="36.6" customHeight="1" x14ac:dyDescent="0.3">
      <c r="A7" s="131" t="s">
        <v>23</v>
      </c>
      <c r="B7" s="131" t="s">
        <v>30</v>
      </c>
      <c r="C7" s="131">
        <v>15002463</v>
      </c>
      <c r="D7" s="131" t="s">
        <v>317</v>
      </c>
      <c r="E7" s="170">
        <v>3002000017</v>
      </c>
      <c r="F7" s="159"/>
      <c r="G7" s="131" t="s">
        <v>1010</v>
      </c>
      <c r="H7" s="171" t="s">
        <v>1011</v>
      </c>
      <c r="I7" s="171" t="s">
        <v>1012</v>
      </c>
      <c r="J7" s="171" t="s">
        <v>1013</v>
      </c>
      <c r="K7" s="171" t="s">
        <v>303</v>
      </c>
      <c r="L7" s="132" t="s">
        <v>753</v>
      </c>
      <c r="M7" s="131" t="s">
        <v>15</v>
      </c>
      <c r="N7" s="131" t="s">
        <v>305</v>
      </c>
      <c r="O7" s="131">
        <v>3020001047</v>
      </c>
      <c r="P7" s="132" t="s">
        <v>108</v>
      </c>
      <c r="Q7" s="132" t="s">
        <v>1358</v>
      </c>
      <c r="R7" s="132" t="s">
        <v>1015</v>
      </c>
      <c r="S7" s="132" t="s">
        <v>1016</v>
      </c>
      <c r="T7" s="172" t="s">
        <v>578</v>
      </c>
      <c r="U7" s="131"/>
      <c r="V7" s="131" t="s">
        <v>1017</v>
      </c>
      <c r="W7" s="173"/>
      <c r="X7" s="174"/>
      <c r="Y7" s="173"/>
      <c r="Z7" s="181" t="s">
        <v>746</v>
      </c>
      <c r="AA7" s="182"/>
      <c r="AB7" s="183">
        <v>3525325.0200000005</v>
      </c>
      <c r="AC7" s="184"/>
      <c r="AD7" s="185"/>
      <c r="AE7" s="185"/>
      <c r="AF7" s="185"/>
      <c r="AG7" s="186" t="s">
        <v>640</v>
      </c>
      <c r="AH7" s="187"/>
      <c r="AI7" s="188">
        <v>0.45</v>
      </c>
      <c r="AJ7" s="187">
        <v>1586396.2590000001</v>
      </c>
    </row>
    <row r="8" spans="1:36" ht="36.6" customHeight="1" x14ac:dyDescent="0.3">
      <c r="A8" s="129" t="s">
        <v>23</v>
      </c>
      <c r="B8" s="129" t="s">
        <v>30</v>
      </c>
      <c r="C8" s="129">
        <v>15002463</v>
      </c>
      <c r="D8" s="129" t="s">
        <v>317</v>
      </c>
      <c r="E8" s="122">
        <v>3002000012</v>
      </c>
      <c r="F8" s="175" t="s">
        <v>299</v>
      </c>
      <c r="G8" s="129" t="s">
        <v>704</v>
      </c>
      <c r="H8" s="176" t="s">
        <v>705</v>
      </c>
      <c r="I8" s="176" t="s">
        <v>594</v>
      </c>
      <c r="J8" s="176" t="s">
        <v>706</v>
      </c>
      <c r="K8" s="177" t="s">
        <v>303</v>
      </c>
      <c r="L8" s="130" t="s">
        <v>348</v>
      </c>
      <c r="M8" s="129" t="s">
        <v>15</v>
      </c>
      <c r="N8" s="129" t="s">
        <v>305</v>
      </c>
      <c r="O8" s="129">
        <v>3020000692</v>
      </c>
      <c r="P8" s="130" t="s">
        <v>74</v>
      </c>
      <c r="Q8" s="130" t="s">
        <v>707</v>
      </c>
      <c r="R8" s="130" t="s">
        <v>708</v>
      </c>
      <c r="S8" s="130" t="s">
        <v>709</v>
      </c>
      <c r="T8" s="178" t="s">
        <v>710</v>
      </c>
      <c r="U8" s="129" t="s">
        <v>701</v>
      </c>
      <c r="V8" s="129"/>
      <c r="W8" s="179"/>
      <c r="X8" s="180"/>
      <c r="Y8" s="179"/>
      <c r="Z8" s="189" t="s">
        <v>702</v>
      </c>
      <c r="AA8" s="190"/>
      <c r="AB8" s="179">
        <v>4832249.83</v>
      </c>
      <c r="AC8" s="191"/>
      <c r="AD8" s="192"/>
      <c r="AE8" s="192"/>
      <c r="AF8" s="192"/>
      <c r="AG8" s="193" t="s">
        <v>343</v>
      </c>
      <c r="AH8" s="194"/>
      <c r="AI8" s="195">
        <v>0.45</v>
      </c>
      <c r="AJ8" s="194">
        <v>2174512.4235</v>
      </c>
    </row>
    <row r="9" spans="1:36" ht="36.6" customHeight="1" x14ac:dyDescent="0.3">
      <c r="A9" s="131" t="s">
        <v>21</v>
      </c>
      <c r="B9" s="131" t="s">
        <v>28</v>
      </c>
      <c r="C9" s="131">
        <v>15002760</v>
      </c>
      <c r="D9" s="131" t="s">
        <v>298</v>
      </c>
      <c r="E9" s="170">
        <v>3002000033</v>
      </c>
      <c r="F9" s="159" t="s">
        <v>299</v>
      </c>
      <c r="G9" s="131">
        <v>30006238</v>
      </c>
      <c r="H9" s="171" t="s">
        <v>546</v>
      </c>
      <c r="I9" s="196"/>
      <c r="J9" s="196"/>
      <c r="K9" s="171" t="s">
        <v>425</v>
      </c>
      <c r="L9" s="128" t="s">
        <v>753</v>
      </c>
      <c r="M9" s="127" t="s">
        <v>15</v>
      </c>
      <c r="N9" s="127" t="s">
        <v>305</v>
      </c>
      <c r="O9" s="127">
        <v>3020000477</v>
      </c>
      <c r="P9" s="132" t="s">
        <v>1359</v>
      </c>
      <c r="Q9" s="128" t="s">
        <v>547</v>
      </c>
      <c r="R9" s="128" t="s">
        <v>548</v>
      </c>
      <c r="S9" s="128" t="s">
        <v>549</v>
      </c>
      <c r="T9" s="197" t="s">
        <v>550</v>
      </c>
      <c r="U9" s="127" t="s">
        <v>1360</v>
      </c>
      <c r="V9" s="127"/>
      <c r="W9" s="173"/>
      <c r="X9" s="174"/>
      <c r="Y9" s="173"/>
      <c r="Z9" s="159" t="s">
        <v>557</v>
      </c>
      <c r="AA9" s="182"/>
      <c r="AB9" s="204">
        <v>22061437.5</v>
      </c>
      <c r="AC9" s="184"/>
      <c r="AD9" s="185"/>
      <c r="AE9" s="185"/>
      <c r="AF9" s="185"/>
      <c r="AG9" s="205" t="s">
        <v>343</v>
      </c>
      <c r="AH9" s="187"/>
      <c r="AI9" s="206">
        <v>0.2</v>
      </c>
      <c r="AJ9" s="187">
        <v>5550210</v>
      </c>
    </row>
    <row r="10" spans="1:36" ht="36.6" customHeight="1" thickBot="1" x14ac:dyDescent="0.35">
      <c r="A10" s="133" t="s">
        <v>21</v>
      </c>
      <c r="B10" s="133" t="s">
        <v>28</v>
      </c>
      <c r="C10" s="133">
        <v>15002760</v>
      </c>
      <c r="D10" s="133" t="s">
        <v>298</v>
      </c>
      <c r="E10" s="122">
        <v>3002000037</v>
      </c>
      <c r="F10" s="198" t="s">
        <v>299</v>
      </c>
      <c r="G10" s="133">
        <v>30006243</v>
      </c>
      <c r="H10" s="199" t="s">
        <v>546</v>
      </c>
      <c r="I10" s="200"/>
      <c r="J10" s="200"/>
      <c r="K10" s="199" t="s">
        <v>425</v>
      </c>
      <c r="L10" s="134" t="s">
        <v>753</v>
      </c>
      <c r="M10" s="133" t="s">
        <v>15</v>
      </c>
      <c r="N10" s="133" t="s">
        <v>305</v>
      </c>
      <c r="O10" s="133">
        <v>3020000477</v>
      </c>
      <c r="P10" s="134" t="s">
        <v>1359</v>
      </c>
      <c r="Q10" s="134" t="s">
        <v>303</v>
      </c>
      <c r="R10" s="134" t="s">
        <v>548</v>
      </c>
      <c r="S10" s="134" t="s">
        <v>549</v>
      </c>
      <c r="T10" s="201" t="s">
        <v>550</v>
      </c>
      <c r="U10" s="133" t="s">
        <v>1360</v>
      </c>
      <c r="V10" s="133"/>
      <c r="W10" s="202"/>
      <c r="X10" s="203"/>
      <c r="Y10" s="202"/>
      <c r="Z10" s="198" t="s">
        <v>557</v>
      </c>
      <c r="AA10" s="207"/>
      <c r="AB10" s="208">
        <v>22061437.5</v>
      </c>
      <c r="AC10" s="191"/>
      <c r="AD10" s="192"/>
      <c r="AE10" s="192"/>
      <c r="AF10" s="209"/>
      <c r="AG10" s="193" t="s">
        <v>343</v>
      </c>
      <c r="AH10" s="210"/>
      <c r="AI10" s="211">
        <v>0.2</v>
      </c>
      <c r="AJ10" s="210">
        <v>4412287.5</v>
      </c>
    </row>
  </sheetData>
  <conditionalFormatting sqref="E6">
    <cfRule type="duplicateValues" dxfId="10" priority="2"/>
    <cfRule type="duplicateValues" dxfId="9" priority="3"/>
  </conditionalFormatting>
  <conditionalFormatting sqref="E7:E10">
    <cfRule type="duplicateValues" dxfId="8" priority="6"/>
    <cfRule type="duplicateValues" dxfId="7" priority="9"/>
  </conditionalFormatting>
  <conditionalFormatting sqref="G7:G10">
    <cfRule type="duplicateValues" dxfId="6" priority="7"/>
  </conditionalFormatting>
  <conditionalFormatting sqref="H6">
    <cfRule type="duplicateValues" dxfId="5" priority="1"/>
  </conditionalFormatting>
  <conditionalFormatting sqref="H7:H10">
    <cfRule type="duplicateValues" dxfId="4" priority="8"/>
  </conditionalFormatting>
  <conditionalFormatting sqref="AF10">
    <cfRule type="cellIs" dxfId="3" priority="4" operator="greaterThan">
      <formula>0</formula>
    </cfRule>
  </conditionalFormatting>
  <conditionalFormatting sqref="AH7:AI10">
    <cfRule type="cellIs" dxfId="2" priority="5" operator="lessThan">
      <formula>0</formula>
    </cfRule>
  </conditionalFormatting>
  <hyperlinks>
    <hyperlink ref="T8" r:id="rId1" xr:uid="{00000000-0004-0000-0400-000000000000}"/>
    <hyperlink ref="T10" r:id="rId2" xr:uid="{00000000-0004-0000-0400-000001000000}"/>
    <hyperlink ref="T9" r:id="rId3" display=" fareed.nmcz.net@gmail.com" xr:uid="{00000000-0004-0000-0400-000002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6"/>
  <sheetViews>
    <sheetView showGridLines="0" zoomScaleNormal="100" workbookViewId="0">
      <selection activeCell="C12" sqref="C12:E12"/>
    </sheetView>
  </sheetViews>
  <sheetFormatPr defaultRowHeight="14.4" x14ac:dyDescent="0.3"/>
  <cols>
    <col min="1" max="1" width="13.33203125" bestFit="1" customWidth="1"/>
    <col min="2" max="2" width="49.6640625" bestFit="1" customWidth="1"/>
    <col min="3" max="5" width="14.44140625" bestFit="1" customWidth="1"/>
    <col min="6" max="6" width="43" bestFit="1" customWidth="1"/>
  </cols>
  <sheetData>
    <row r="1" spans="1:6" ht="23.4" x14ac:dyDescent="0.45">
      <c r="B1" s="716" t="s">
        <v>1361</v>
      </c>
      <c r="C1" s="716"/>
      <c r="D1" s="716"/>
      <c r="E1" s="716"/>
    </row>
    <row r="2" spans="1:6" x14ac:dyDescent="0.3">
      <c r="A2" s="138" t="s">
        <v>1362</v>
      </c>
      <c r="B2" s="138" t="s">
        <v>216</v>
      </c>
      <c r="C2" s="139">
        <v>45283</v>
      </c>
      <c r="D2" s="139">
        <v>45315</v>
      </c>
      <c r="E2" s="139">
        <v>45346</v>
      </c>
      <c r="F2" s="138" t="s">
        <v>1363</v>
      </c>
    </row>
    <row r="3" spans="1:6" x14ac:dyDescent="0.3">
      <c r="A3" cm="1">
        <f t="array" ref="A3:A96">_xlfn.UNIQUE(Table14[Customer No.])</f>
        <v>3020000013</v>
      </c>
      <c r="B3" t="str">
        <f>VLOOKUP(A3,Table14[[Customer No.]:[Customer Name]],2,0)</f>
        <v>Dar ul Sehat Hospital</v>
      </c>
      <c r="C3" s="140" t="s">
        <v>733</v>
      </c>
      <c r="D3" s="140" t="s">
        <v>733</v>
      </c>
      <c r="E3" s="140">
        <v>245000</v>
      </c>
      <c r="F3" s="137"/>
    </row>
    <row r="4" spans="1:6" x14ac:dyDescent="0.3">
      <c r="A4">
        <v>3020000022</v>
      </c>
      <c r="B4" t="str">
        <f>VLOOKUP(A4,Table14[[Customer No.]:[Customer Name]],2,0)</f>
        <v>Dr. Essa Laboratory</v>
      </c>
      <c r="C4" s="140">
        <v>184680</v>
      </c>
      <c r="D4" s="140">
        <v>351000</v>
      </c>
      <c r="E4" s="140">
        <v>428000</v>
      </c>
      <c r="F4" s="137"/>
    </row>
    <row r="5" spans="1:6" x14ac:dyDescent="0.3">
      <c r="A5">
        <v>3020000072</v>
      </c>
      <c r="B5" t="str">
        <f>VLOOKUP(A5,Table14[[Customer No.]:[Customer Name]],2,0)</f>
        <v xml:space="preserve">Hormone lab </v>
      </c>
      <c r="C5" s="140" t="s">
        <v>733</v>
      </c>
      <c r="D5" s="140">
        <v>806508.59</v>
      </c>
      <c r="E5" s="140"/>
      <c r="F5" s="140"/>
    </row>
    <row r="6" spans="1:6" x14ac:dyDescent="0.3">
      <c r="A6">
        <v>3020000084</v>
      </c>
      <c r="B6" t="str">
        <f>VLOOKUP(A6,Table14[[Customer No.]:[Customer Name]],2,0)</f>
        <v>SICVD (Sindh Institute of Cardiovascular) Baldia-Karachi</v>
      </c>
      <c r="C6" s="140" t="s">
        <v>733</v>
      </c>
      <c r="D6" s="140" t="s">
        <v>733</v>
      </c>
      <c r="E6" s="140">
        <v>422557.39</v>
      </c>
      <c r="F6" s="137"/>
    </row>
    <row r="7" spans="1:6" x14ac:dyDescent="0.3">
      <c r="A7">
        <v>3020000088</v>
      </c>
      <c r="B7" t="str">
        <f>VLOOKUP(A7,Table14[[Customer No.]:[Customer Name]],2,0)</f>
        <v>National Institue of Blood Diseases</v>
      </c>
      <c r="C7" s="140">
        <v>661770.52999999991</v>
      </c>
      <c r="D7" s="140">
        <v>138967.22</v>
      </c>
      <c r="E7" s="140">
        <v>548950.83000000007</v>
      </c>
      <c r="F7" s="137"/>
    </row>
    <row r="8" spans="1:6" x14ac:dyDescent="0.3">
      <c r="A8">
        <v>3020000114</v>
      </c>
      <c r="B8" t="str">
        <f>VLOOKUP(A8,Table14[[Customer No.]:[Customer Name]],2,0)</f>
        <v>DHO Nawabshah Through HS Medical Nawab Shah</v>
      </c>
      <c r="C8" s="140" t="s">
        <v>733</v>
      </c>
      <c r="D8" s="140" t="s">
        <v>733</v>
      </c>
      <c r="E8" s="140" t="s">
        <v>733</v>
      </c>
      <c r="F8" s="137" t="s">
        <v>1364</v>
      </c>
    </row>
    <row r="9" spans="1:6" x14ac:dyDescent="0.3">
      <c r="A9">
        <v>3020000125</v>
      </c>
      <c r="B9" t="str">
        <f>VLOOKUP(A9,Table14[[Customer No.]:[Customer Name]],2,0)</f>
        <v>Minhaj Lab lahore</v>
      </c>
      <c r="C9" s="140" t="s">
        <v>733</v>
      </c>
      <c r="D9" s="140" t="s">
        <v>733</v>
      </c>
      <c r="E9" s="140" t="s">
        <v>733</v>
      </c>
      <c r="F9" s="137" t="s">
        <v>1365</v>
      </c>
    </row>
    <row r="10" spans="1:6" x14ac:dyDescent="0.3">
      <c r="A10">
        <v>3020000166</v>
      </c>
      <c r="B10" t="str">
        <f>VLOOKUP(A10,Table14[[Customer No.]:[Customer Name]],2,0)</f>
        <v>QAMC</v>
      </c>
      <c r="C10" s="140">
        <v>474100</v>
      </c>
      <c r="D10" s="140">
        <v>146900</v>
      </c>
      <c r="E10" s="140">
        <v>740800</v>
      </c>
      <c r="F10" s="137"/>
    </row>
    <row r="11" spans="1:6" x14ac:dyDescent="0.3">
      <c r="A11">
        <v>3020001814</v>
      </c>
      <c r="B11" t="str">
        <f>VLOOKUP(A11,Table14[[Customer No.]:[Customer Name]],2,0)</f>
        <v>Al Khidmat Razi Hospital</v>
      </c>
      <c r="C11" s="140">
        <v>30360</v>
      </c>
      <c r="D11" s="140" t="s">
        <v>733</v>
      </c>
      <c r="E11" s="140" t="s">
        <v>733</v>
      </c>
      <c r="F11" s="137" t="s">
        <v>1366</v>
      </c>
    </row>
    <row r="12" spans="1:6" x14ac:dyDescent="0.3">
      <c r="A12">
        <v>3020000190</v>
      </c>
      <c r="B12" t="str">
        <f>VLOOKUP(A12,Table14[[Customer No.]:[Customer Name]],2,0)</f>
        <v xml:space="preserve">Citilab </v>
      </c>
      <c r="C12" s="140"/>
      <c r="D12" s="140"/>
      <c r="E12" s="140"/>
      <c r="F12" s="137"/>
    </row>
    <row r="13" spans="1:6" x14ac:dyDescent="0.3">
      <c r="A13">
        <v>3020000206</v>
      </c>
      <c r="B13" t="str">
        <f>VLOOKUP(A13,Table14[[Customer No.]:[Customer Name]],2,0)</f>
        <v>Mughal Diagnostics &amp; Research Labs/Cancer Care Hospital</v>
      </c>
      <c r="C13" s="140">
        <v>143659.01999999999</v>
      </c>
      <c r="D13" s="140">
        <v>261866</v>
      </c>
      <c r="E13" s="140">
        <v>759548.4</v>
      </c>
      <c r="F13" s="137"/>
    </row>
    <row r="14" spans="1:6" x14ac:dyDescent="0.3">
      <c r="A14">
        <v>3020000209</v>
      </c>
      <c r="B14" t="str">
        <f>VLOOKUP(A14,Table14[[Customer No.]:[Customer Name]],2,0)</f>
        <v>University of Lahore Hospital</v>
      </c>
      <c r="C14" s="140" t="s">
        <v>733</v>
      </c>
      <c r="D14" s="140" t="s">
        <v>733</v>
      </c>
      <c r="E14" s="140" t="s">
        <v>733</v>
      </c>
      <c r="F14" s="137" t="s">
        <v>1367</v>
      </c>
    </row>
    <row r="15" spans="1:6" x14ac:dyDescent="0.3">
      <c r="A15">
        <v>3020000314</v>
      </c>
      <c r="B15" t="str">
        <f>VLOOKUP(A15,Table14[[Customer No.]:[Customer Name]],2,0)</f>
        <v>Hashmani Hospital</v>
      </c>
      <c r="C15" s="140">
        <v>682286</v>
      </c>
      <c r="D15" s="140">
        <v>696429</v>
      </c>
      <c r="E15" s="140">
        <v>586866</v>
      </c>
      <c r="F15" s="137"/>
    </row>
    <row r="16" spans="1:6" x14ac:dyDescent="0.3">
      <c r="A16">
        <v>3020000386</v>
      </c>
      <c r="B16" t="str">
        <f>VLOOKUP(A16,Table14[[Customer No.]:[Customer Name]],2,0)</f>
        <v>Hussaini Blood Bank</v>
      </c>
      <c r="C16" s="140">
        <v>301720</v>
      </c>
      <c r="D16" s="140">
        <v>411080</v>
      </c>
      <c r="E16" s="140">
        <v>347580</v>
      </c>
      <c r="F16" s="137"/>
    </row>
    <row r="17" spans="1:6" x14ac:dyDescent="0.3">
      <c r="A17">
        <v>3020000394</v>
      </c>
      <c r="B17" t="str">
        <f>VLOOKUP(A17,Table14[[Customer No.]:[Customer Name]],2,0)</f>
        <v>Fazle Umar Hospital</v>
      </c>
      <c r="C17" s="140" t="s">
        <v>733</v>
      </c>
      <c r="D17" s="140" t="s">
        <v>733</v>
      </c>
      <c r="E17" s="140" t="s">
        <v>733</v>
      </c>
      <c r="F17" s="137" t="s">
        <v>1368</v>
      </c>
    </row>
    <row r="18" spans="1:6" x14ac:dyDescent="0.3">
      <c r="A18">
        <v>3020000439</v>
      </c>
      <c r="B18" t="str">
        <f>VLOOKUP(A18,Table14[[Customer No.]:[Customer Name]],2,0)</f>
        <v xml:space="preserve">Al Maisarah Dialysis &amp; Diabetes trust </v>
      </c>
      <c r="C18" s="140" t="s">
        <v>733</v>
      </c>
      <c r="D18" s="140" t="s">
        <v>733</v>
      </c>
      <c r="E18" s="140" t="s">
        <v>733</v>
      </c>
      <c r="F18" s="137" t="s">
        <v>1369</v>
      </c>
    </row>
    <row r="19" spans="1:6" x14ac:dyDescent="0.3">
      <c r="A19">
        <v>3020000447</v>
      </c>
      <c r="B19" t="str">
        <f>VLOOKUP(A19,Table14[[Customer No.]:[Customer Name]],2,0)</f>
        <v>Burhani Hospital Trust</v>
      </c>
      <c r="C19" s="140" t="s">
        <v>733</v>
      </c>
      <c r="D19" s="140" t="s">
        <v>733</v>
      </c>
      <c r="E19" s="140" t="s">
        <v>733</v>
      </c>
      <c r="F19" s="137" t="s">
        <v>1370</v>
      </c>
    </row>
    <row r="20" spans="1:6" x14ac:dyDescent="0.3">
      <c r="A20">
        <v>3020000477</v>
      </c>
      <c r="B20" t="str">
        <f>VLOOKUP(A20,Table14[[Customer No.]:[Customer Name]],2,0)</f>
        <v>Aga Khan Hospital</v>
      </c>
      <c r="C20" s="140" t="s">
        <v>733</v>
      </c>
      <c r="D20" s="140">
        <v>123561.28</v>
      </c>
      <c r="E20" s="140">
        <v>275002</v>
      </c>
      <c r="F20" s="137"/>
    </row>
    <row r="21" spans="1:6" x14ac:dyDescent="0.3">
      <c r="A21">
        <v>3020000491</v>
      </c>
      <c r="B21" t="str">
        <f>VLOOKUP(A21,Table14[[Customer No.]:[Customer Name]],2,0)</f>
        <v>AL Khidmat Diagnostic Center</v>
      </c>
      <c r="C21" s="140">
        <v>1376009</v>
      </c>
      <c r="D21" s="140"/>
      <c r="E21" s="140">
        <v>187485</v>
      </c>
      <c r="F21" s="137"/>
    </row>
    <row r="22" spans="1:6" x14ac:dyDescent="0.3">
      <c r="A22">
        <v>3020000515</v>
      </c>
      <c r="B22" t="str">
        <f>VLOOKUP(A22,Table14[[Customer No.]:[Customer Name]],2,0)</f>
        <v>Faisalabad Medical University (Allied to be changed)</v>
      </c>
      <c r="C22" s="140">
        <v>775274.56</v>
      </c>
      <c r="D22" s="140" t="s">
        <v>733</v>
      </c>
      <c r="E22" s="140">
        <v>7257786.2699999996</v>
      </c>
      <c r="F22" s="137"/>
    </row>
    <row r="23" spans="1:6" x14ac:dyDescent="0.3">
      <c r="A23">
        <v>3020000393</v>
      </c>
      <c r="B23" t="str">
        <f>VLOOKUP(A23,Table14[[Customer No.]:[Customer Name]],2,0)</f>
        <v>Faisalabad Medical University</v>
      </c>
      <c r="C23" s="140">
        <v>71650.820000000007</v>
      </c>
      <c r="D23" s="140">
        <v>293210.25</v>
      </c>
      <c r="E23" s="140">
        <v>148395.46</v>
      </c>
      <c r="F23" s="137"/>
    </row>
    <row r="24" spans="1:6" x14ac:dyDescent="0.3">
      <c r="A24">
        <v>3020000539</v>
      </c>
      <c r="B24" t="s">
        <v>1371</v>
      </c>
      <c r="C24" s="140" t="s">
        <v>733</v>
      </c>
      <c r="D24" s="140" t="s">
        <v>733</v>
      </c>
      <c r="E24" s="140">
        <v>4378092.8899999997</v>
      </c>
      <c r="F24" s="137"/>
    </row>
    <row r="25" spans="1:6" x14ac:dyDescent="0.3">
      <c r="A25">
        <v>3020000547</v>
      </c>
      <c r="B25" t="str">
        <f>VLOOKUP(A25,Table14[[Customer No.]:[Customer Name]],2,0)</f>
        <v>PNS Shifa Hospital (V-Med Inter Trade)</v>
      </c>
      <c r="C25" s="140" t="s">
        <v>733</v>
      </c>
      <c r="D25" s="140" t="s">
        <v>733</v>
      </c>
      <c r="E25" s="140" t="s">
        <v>733</v>
      </c>
      <c r="F25" s="137" t="s">
        <v>1372</v>
      </c>
    </row>
    <row r="26" spans="1:6" x14ac:dyDescent="0.3">
      <c r="A26">
        <v>3020000580</v>
      </c>
      <c r="B26" t="str">
        <f>VLOOKUP(A26,Table14[[Customer No.]:[Customer Name]],2,0)</f>
        <v>Ali Medical Center Islamabad</v>
      </c>
      <c r="C26" s="140">
        <v>660000</v>
      </c>
      <c r="D26" s="140" t="s">
        <v>733</v>
      </c>
      <c r="E26" s="140" t="s">
        <v>733</v>
      </c>
      <c r="F26" s="137"/>
    </row>
    <row r="27" spans="1:6" x14ac:dyDescent="0.3">
      <c r="A27" s="141">
        <v>3020000605</v>
      </c>
      <c r="B27" s="141" t="s">
        <v>1373</v>
      </c>
      <c r="C27" s="142">
        <v>3121002.3</v>
      </c>
      <c r="D27" s="142">
        <v>2987385</v>
      </c>
      <c r="E27" s="142">
        <v>3371200.3</v>
      </c>
      <c r="F27" s="137"/>
    </row>
    <row r="28" spans="1:6" x14ac:dyDescent="0.3">
      <c r="A28">
        <v>3020000633</v>
      </c>
      <c r="B28" t="str">
        <f>VLOOKUP(A28,Table14[[Customer No.]:[Customer Name]],2,0)</f>
        <v>The Children Hospital &amp; The Institute Multan</v>
      </c>
      <c r="C28" s="140" t="s">
        <v>733</v>
      </c>
      <c r="D28" s="140">
        <v>173231</v>
      </c>
      <c r="E28" s="140">
        <v>154319</v>
      </c>
      <c r="F28" s="137"/>
    </row>
    <row r="29" spans="1:6" x14ac:dyDescent="0.3">
      <c r="A29">
        <v>3020000645</v>
      </c>
      <c r="B29" t="str">
        <f>VLOOKUP(A29,Table14[[Customer No.]:[Customer Name]],2,0)</f>
        <v>Makhdoom Diagnostic Center MDC</v>
      </c>
      <c r="C29" s="140" t="s">
        <v>733</v>
      </c>
      <c r="D29" s="140">
        <v>867000</v>
      </c>
      <c r="E29" s="140">
        <v>1552000</v>
      </c>
      <c r="F29" s="137"/>
    </row>
    <row r="30" spans="1:6" x14ac:dyDescent="0.3">
      <c r="A30">
        <v>3020000647</v>
      </c>
      <c r="B30" t="str">
        <f>VLOOKUP(A30,Table14[[Customer No.]:[Customer Name]],2,0)</f>
        <v>Alamgir Welfare Trust Int.</v>
      </c>
      <c r="C30" s="140">
        <v>2773050</v>
      </c>
      <c r="D30" s="140">
        <v>5500500</v>
      </c>
      <c r="E30" s="140">
        <v>299250</v>
      </c>
      <c r="F30" s="137"/>
    </row>
    <row r="31" spans="1:6" x14ac:dyDescent="0.3">
      <c r="A31">
        <v>3020000664</v>
      </c>
      <c r="B31" t="str">
        <f>VLOOKUP(A31,Table14[[Customer No.]:[Customer Name]],2,0)</f>
        <v>NHS</v>
      </c>
      <c r="C31" s="140">
        <v>89080</v>
      </c>
      <c r="D31" s="140">
        <v>262916.82</v>
      </c>
      <c r="E31" s="140">
        <v>284489.45999999996</v>
      </c>
      <c r="F31" s="137"/>
    </row>
    <row r="32" spans="1:6" x14ac:dyDescent="0.3">
      <c r="A32">
        <v>3020000678</v>
      </c>
      <c r="B32" t="str">
        <f>VLOOKUP(A32,Table14[[Customer No.]:[Customer Name]],2,0)</f>
        <v>Saifee Hospital, Karachi</v>
      </c>
      <c r="C32" s="140" t="s">
        <v>733</v>
      </c>
      <c r="D32" s="140" t="s">
        <v>733</v>
      </c>
      <c r="E32" s="140" t="s">
        <v>733</v>
      </c>
      <c r="F32" s="137" t="s">
        <v>1374</v>
      </c>
    </row>
    <row r="33" spans="1:6" x14ac:dyDescent="0.3">
      <c r="A33">
        <v>3020000692</v>
      </c>
      <c r="B33" t="str">
        <f>VLOOKUP(A33,Table14[[Customer No.]:[Customer Name]],2,0)</f>
        <v>Creek General Hospital (Patients Welfare Foundation)</v>
      </c>
      <c r="C33" s="140">
        <v>152500</v>
      </c>
      <c r="D33" s="140">
        <v>40943</v>
      </c>
      <c r="E33" s="140">
        <v>141500</v>
      </c>
      <c r="F33" s="137"/>
    </row>
    <row r="34" spans="1:6" x14ac:dyDescent="0.3">
      <c r="A34" s="143">
        <v>3020000701</v>
      </c>
      <c r="B34" s="144" t="s">
        <v>48</v>
      </c>
      <c r="C34" s="145">
        <f>SUM(C3:C33)</f>
        <v>11497142.23</v>
      </c>
      <c r="D34" s="145">
        <f>SUM(D3:D33)</f>
        <v>13061498.16</v>
      </c>
      <c r="E34" s="145">
        <f>SUM(E3:E33)</f>
        <v>22128823.000000004</v>
      </c>
    </row>
    <row r="35" spans="1:6" x14ac:dyDescent="0.3">
      <c r="A35">
        <v>3020000719</v>
      </c>
    </row>
    <row r="36" spans="1:6" x14ac:dyDescent="0.3">
      <c r="A36">
        <v>3020000734</v>
      </c>
    </row>
    <row r="37" spans="1:6" x14ac:dyDescent="0.3">
      <c r="A37">
        <v>3020000736</v>
      </c>
    </row>
    <row r="38" spans="1:6" x14ac:dyDescent="0.3">
      <c r="A38">
        <v>3020000753</v>
      </c>
    </row>
    <row r="39" spans="1:6" x14ac:dyDescent="0.3">
      <c r="A39">
        <v>3020000764</v>
      </c>
    </row>
    <row r="40" spans="1:6" x14ac:dyDescent="0.3">
      <c r="A40">
        <v>3020000771</v>
      </c>
    </row>
    <row r="41" spans="1:6" x14ac:dyDescent="0.3">
      <c r="A41">
        <v>3020000776</v>
      </c>
    </row>
    <row r="42" spans="1:6" x14ac:dyDescent="0.3">
      <c r="A42">
        <v>3020000811</v>
      </c>
    </row>
    <row r="43" spans="1:6" x14ac:dyDescent="0.3">
      <c r="A43">
        <v>3020000816</v>
      </c>
    </row>
    <row r="44" spans="1:6" x14ac:dyDescent="0.3">
      <c r="A44">
        <v>3020000823</v>
      </c>
    </row>
    <row r="45" spans="1:6" x14ac:dyDescent="0.3">
      <c r="A45">
        <v>3020000845</v>
      </c>
    </row>
    <row r="46" spans="1:6" x14ac:dyDescent="0.3">
      <c r="A46">
        <v>3020000881</v>
      </c>
    </row>
    <row r="47" spans="1:6" x14ac:dyDescent="0.3">
      <c r="A47">
        <v>3020000888</v>
      </c>
    </row>
    <row r="48" spans="1:6" x14ac:dyDescent="0.3">
      <c r="A48">
        <v>3020000917</v>
      </c>
    </row>
    <row r="49" spans="1:1" x14ac:dyDescent="0.3">
      <c r="A49">
        <v>3020000936</v>
      </c>
    </row>
    <row r="50" spans="1:1" x14ac:dyDescent="0.3">
      <c r="A50">
        <v>3020000943</v>
      </c>
    </row>
    <row r="51" spans="1:1" x14ac:dyDescent="0.3">
      <c r="A51">
        <v>3020000960</v>
      </c>
    </row>
    <row r="52" spans="1:1" x14ac:dyDescent="0.3">
      <c r="A52">
        <v>3020000979</v>
      </c>
    </row>
    <row r="53" spans="1:1" x14ac:dyDescent="0.3">
      <c r="A53">
        <v>3020000987</v>
      </c>
    </row>
    <row r="54" spans="1:1" x14ac:dyDescent="0.3">
      <c r="A54">
        <v>3020001019</v>
      </c>
    </row>
    <row r="55" spans="1:1" x14ac:dyDescent="0.3">
      <c r="A55">
        <v>3020001042</v>
      </c>
    </row>
    <row r="56" spans="1:1" x14ac:dyDescent="0.3">
      <c r="A56">
        <v>3020001047</v>
      </c>
    </row>
    <row r="57" spans="1:1" x14ac:dyDescent="0.3">
      <c r="A57">
        <v>3020001067</v>
      </c>
    </row>
    <row r="58" spans="1:1" x14ac:dyDescent="0.3">
      <c r="A58">
        <v>3020001074</v>
      </c>
    </row>
    <row r="59" spans="1:1" x14ac:dyDescent="0.3">
      <c r="A59">
        <v>3020001083</v>
      </c>
    </row>
    <row r="60" spans="1:1" x14ac:dyDescent="0.3">
      <c r="A60">
        <v>3020001092</v>
      </c>
    </row>
    <row r="61" spans="1:1" x14ac:dyDescent="0.3">
      <c r="A61">
        <v>3020000135</v>
      </c>
    </row>
    <row r="62" spans="1:1" x14ac:dyDescent="0.3">
      <c r="A62">
        <v>3020001115</v>
      </c>
    </row>
    <row r="63" spans="1:1" x14ac:dyDescent="0.3">
      <c r="A63">
        <v>3020001124</v>
      </c>
    </row>
    <row r="64" spans="1:1" x14ac:dyDescent="0.3">
      <c r="A64">
        <v>3020001131</v>
      </c>
    </row>
    <row r="65" spans="1:1" x14ac:dyDescent="0.3">
      <c r="A65">
        <v>3020001141</v>
      </c>
    </row>
    <row r="66" spans="1:1" x14ac:dyDescent="0.3">
      <c r="A66">
        <v>3020001174</v>
      </c>
    </row>
    <row r="67" spans="1:1" x14ac:dyDescent="0.3">
      <c r="A67">
        <v>3020001175</v>
      </c>
    </row>
    <row r="68" spans="1:1" x14ac:dyDescent="0.3">
      <c r="A68">
        <v>3020001192</v>
      </c>
    </row>
    <row r="69" spans="1:1" x14ac:dyDescent="0.3">
      <c r="A69">
        <v>3020001221</v>
      </c>
    </row>
    <row r="70" spans="1:1" x14ac:dyDescent="0.3">
      <c r="A70">
        <v>3020001224</v>
      </c>
    </row>
    <row r="71" spans="1:1" x14ac:dyDescent="0.3">
      <c r="A71">
        <v>3020001230</v>
      </c>
    </row>
    <row r="72" spans="1:1" x14ac:dyDescent="0.3">
      <c r="A72">
        <v>3020001237</v>
      </c>
    </row>
    <row r="73" spans="1:1" x14ac:dyDescent="0.3">
      <c r="A73">
        <v>3020001238</v>
      </c>
    </row>
    <row r="74" spans="1:1" x14ac:dyDescent="0.3">
      <c r="A74">
        <v>3020001255</v>
      </c>
    </row>
    <row r="75" spans="1:1" x14ac:dyDescent="0.3">
      <c r="A75">
        <v>3020001280</v>
      </c>
    </row>
    <row r="76" spans="1:1" x14ac:dyDescent="0.3">
      <c r="A76">
        <v>3020001357</v>
      </c>
    </row>
    <row r="77" spans="1:1" x14ac:dyDescent="0.3">
      <c r="A77">
        <v>3020001382</v>
      </c>
    </row>
    <row r="78" spans="1:1" x14ac:dyDescent="0.3">
      <c r="A78">
        <v>3020001384</v>
      </c>
    </row>
    <row r="79" spans="1:1" x14ac:dyDescent="0.3">
      <c r="A79">
        <v>3020001399</v>
      </c>
    </row>
    <row r="80" spans="1:1" x14ac:dyDescent="0.3">
      <c r="A80">
        <v>3020001430</v>
      </c>
    </row>
    <row r="81" spans="1:1" x14ac:dyDescent="0.3">
      <c r="A81">
        <v>3020001475</v>
      </c>
    </row>
    <row r="82" spans="1:1" x14ac:dyDescent="0.3">
      <c r="A82">
        <v>3020001479</v>
      </c>
    </row>
    <row r="83" spans="1:1" x14ac:dyDescent="0.3">
      <c r="A83">
        <v>3020001511</v>
      </c>
    </row>
    <row r="84" spans="1:1" x14ac:dyDescent="0.3">
      <c r="A84">
        <v>3020001552</v>
      </c>
    </row>
    <row r="85" spans="1:1" x14ac:dyDescent="0.3">
      <c r="A85">
        <v>3020001659</v>
      </c>
    </row>
    <row r="86" spans="1:1" x14ac:dyDescent="0.3">
      <c r="A86">
        <v>3020001748</v>
      </c>
    </row>
    <row r="87" spans="1:1" x14ac:dyDescent="0.3">
      <c r="A87">
        <v>3020001809</v>
      </c>
    </row>
    <row r="88" spans="1:1" x14ac:dyDescent="0.3">
      <c r="A88">
        <v>3020001811</v>
      </c>
    </row>
    <row r="89" spans="1:1" x14ac:dyDescent="0.3">
      <c r="A89">
        <v>3020001102</v>
      </c>
    </row>
    <row r="90" spans="1:1" x14ac:dyDescent="0.3">
      <c r="A90">
        <v>0</v>
      </c>
    </row>
    <row r="91" spans="1:1" x14ac:dyDescent="0.3">
      <c r="A91">
        <v>3020001086</v>
      </c>
    </row>
    <row r="92" spans="1:1" x14ac:dyDescent="0.3">
      <c r="A92">
        <v>3020000896</v>
      </c>
    </row>
    <row r="93" spans="1:1" x14ac:dyDescent="0.3">
      <c r="A93">
        <v>3020000379</v>
      </c>
    </row>
    <row r="94" spans="1:1" x14ac:dyDescent="0.3">
      <c r="A94">
        <v>3020000685</v>
      </c>
    </row>
    <row r="95" spans="1:1" x14ac:dyDescent="0.3">
      <c r="A95">
        <v>3020000176</v>
      </c>
    </row>
    <row r="96" spans="1:1" x14ac:dyDescent="0.3">
      <c r="A96">
        <v>3020000998</v>
      </c>
    </row>
  </sheetData>
  <mergeCells count="1">
    <mergeCell ref="B1:E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M16"/>
  <sheetViews>
    <sheetView showGridLines="0" topLeftCell="A2" workbookViewId="0">
      <selection activeCell="D8" sqref="D8"/>
    </sheetView>
  </sheetViews>
  <sheetFormatPr defaultRowHeight="14.4" x14ac:dyDescent="0.3"/>
  <cols>
    <col min="2" max="2" width="13.44140625" bestFit="1" customWidth="1"/>
    <col min="3" max="3" width="11.5546875" customWidth="1"/>
    <col min="4" max="4" width="13" customWidth="1"/>
    <col min="5" max="5" width="18" customWidth="1"/>
    <col min="6" max="6" width="13.6640625" bestFit="1" customWidth="1"/>
    <col min="7" max="7" width="13.5546875" bestFit="1" customWidth="1"/>
    <col min="8" max="8" width="12.5546875" customWidth="1"/>
    <col min="10" max="10" width="12.44140625" bestFit="1" customWidth="1"/>
    <col min="12" max="12" width="13.5546875" hidden="1" customWidth="1"/>
    <col min="13" max="13" width="14.5546875" hidden="1" customWidth="1"/>
  </cols>
  <sheetData>
    <row r="3" spans="2:13" ht="21" x14ac:dyDescent="0.4">
      <c r="B3" s="118" t="s">
        <v>2</v>
      </c>
    </row>
    <row r="4" spans="2:13" ht="15.6" x14ac:dyDescent="0.3">
      <c r="B4" s="119">
        <v>45260</v>
      </c>
      <c r="E4" s="106"/>
    </row>
    <row r="5" spans="2:13" ht="43.2" x14ac:dyDescent="0.3">
      <c r="B5" s="120" t="s">
        <v>1375</v>
      </c>
      <c r="C5" s="114" t="s">
        <v>1376</v>
      </c>
      <c r="D5" s="114" t="s">
        <v>223</v>
      </c>
      <c r="E5" s="114" t="s">
        <v>10</v>
      </c>
      <c r="F5" s="114" t="s">
        <v>1377</v>
      </c>
      <c r="G5" s="114" t="s">
        <v>13</v>
      </c>
      <c r="H5" s="114" t="s">
        <v>1378</v>
      </c>
      <c r="I5" s="114" t="s">
        <v>1379</v>
      </c>
      <c r="J5" s="114" t="s">
        <v>1380</v>
      </c>
      <c r="L5" s="114" t="s">
        <v>225</v>
      </c>
      <c r="M5" s="114" t="s">
        <v>283</v>
      </c>
    </row>
    <row r="6" spans="2:13" x14ac:dyDescent="0.3">
      <c r="D6" s="107"/>
      <c r="F6" s="107"/>
      <c r="G6" s="107"/>
      <c r="H6" s="107"/>
      <c r="I6" s="108"/>
      <c r="L6" s="107"/>
      <c r="M6" s="107"/>
    </row>
    <row r="7" spans="2:13" x14ac:dyDescent="0.3">
      <c r="D7" s="107"/>
      <c r="F7" s="107"/>
      <c r="G7" s="107"/>
      <c r="H7" s="107"/>
      <c r="I7" s="108"/>
      <c r="L7" s="107"/>
      <c r="M7" s="107"/>
    </row>
    <row r="8" spans="2:13" x14ac:dyDescent="0.3">
      <c r="B8" t="s">
        <v>21</v>
      </c>
      <c r="C8">
        <v>13</v>
      </c>
      <c r="D8" s="116">
        <v>147476553</v>
      </c>
      <c r="E8" s="109">
        <f t="shared" ref="E8:E13" si="0">C8/$C$15</f>
        <v>0.3611111111111111</v>
      </c>
      <c r="F8" s="116">
        <v>61631830.789999999</v>
      </c>
      <c r="G8" s="116">
        <v>7164128.6161616165</v>
      </c>
      <c r="H8" s="116">
        <v>15101471.158</v>
      </c>
      <c r="I8" s="108">
        <v>0.2</v>
      </c>
      <c r="J8" s="116">
        <f t="shared" ref="J8:J13" si="1">D8-H8</f>
        <v>132375081.84200001</v>
      </c>
      <c r="L8" s="107">
        <v>18597712.285714287</v>
      </c>
      <c r="M8" s="107">
        <v>132375081.84199999</v>
      </c>
    </row>
    <row r="9" spans="2:13" x14ac:dyDescent="0.3">
      <c r="B9" t="s">
        <v>24</v>
      </c>
      <c r="C9">
        <v>9</v>
      </c>
      <c r="D9" s="116">
        <v>25167555</v>
      </c>
      <c r="E9" s="109">
        <f t="shared" si="0"/>
        <v>0.25</v>
      </c>
      <c r="F9" s="116">
        <v>17870430.799999997</v>
      </c>
      <c r="G9" s="116">
        <v>3795271.3898974359</v>
      </c>
      <c r="H9" s="116">
        <v>6254650.7799999993</v>
      </c>
      <c r="I9" s="108">
        <v>0.35</v>
      </c>
      <c r="J9" s="116">
        <f t="shared" si="1"/>
        <v>18912904.219999999</v>
      </c>
      <c r="L9" s="107">
        <v>5390812.9100000001</v>
      </c>
      <c r="M9" s="107">
        <v>16857974.68</v>
      </c>
    </row>
    <row r="10" spans="2:13" x14ac:dyDescent="0.3">
      <c r="B10" t="s">
        <v>23</v>
      </c>
      <c r="C10">
        <v>6</v>
      </c>
      <c r="D10" s="116">
        <v>25126758</v>
      </c>
      <c r="E10" s="109">
        <f t="shared" si="0"/>
        <v>0.16666666666666666</v>
      </c>
      <c r="F10" s="116">
        <v>28717825.240000002</v>
      </c>
      <c r="G10" s="116">
        <v>1880036.608753995</v>
      </c>
      <c r="H10" s="116">
        <v>13633763.215500001</v>
      </c>
      <c r="I10" s="108">
        <v>0.45</v>
      </c>
      <c r="J10" s="116">
        <f t="shared" si="1"/>
        <v>11492994.784499999</v>
      </c>
      <c r="L10" s="107">
        <v>3651543</v>
      </c>
      <c r="M10" s="107">
        <v>11492994.784499999</v>
      </c>
    </row>
    <row r="11" spans="2:13" x14ac:dyDescent="0.3">
      <c r="B11" t="s">
        <v>25</v>
      </c>
      <c r="C11">
        <v>4</v>
      </c>
      <c r="D11" s="116">
        <v>7597013</v>
      </c>
      <c r="E11" s="109">
        <f t="shared" si="0"/>
        <v>0.1111111111111111</v>
      </c>
      <c r="F11" s="116">
        <v>2486860.7999999998</v>
      </c>
      <c r="G11" s="116">
        <v>1085995.6444444444</v>
      </c>
      <c r="H11" s="116">
        <v>746058.23999999999</v>
      </c>
      <c r="I11" s="108">
        <v>0.3</v>
      </c>
      <c r="J11" s="116">
        <f t="shared" si="1"/>
        <v>6850954.7599999998</v>
      </c>
      <c r="L11" s="107">
        <v>1458480</v>
      </c>
      <c r="M11" s="107">
        <v>6850954.7599999998</v>
      </c>
    </row>
    <row r="12" spans="2:13" x14ac:dyDescent="0.3">
      <c r="B12" t="s">
        <v>22</v>
      </c>
      <c r="C12">
        <v>3</v>
      </c>
      <c r="D12" s="116">
        <v>8993766</v>
      </c>
      <c r="E12" s="109">
        <f t="shared" si="0"/>
        <v>8.3333333333333329E-2</v>
      </c>
      <c r="F12" s="116">
        <v>26198240</v>
      </c>
      <c r="G12" s="116">
        <v>13016074.333333334</v>
      </c>
      <c r="H12" s="116">
        <v>13099120</v>
      </c>
      <c r="I12" s="108">
        <v>0.5</v>
      </c>
      <c r="J12" s="116">
        <f t="shared" si="1"/>
        <v>-4105354</v>
      </c>
      <c r="L12" s="107">
        <v>1936876</v>
      </c>
      <c r="M12" s="107">
        <v>-4105354</v>
      </c>
    </row>
    <row r="13" spans="2:13" x14ac:dyDescent="0.3">
      <c r="B13" t="s">
        <v>52</v>
      </c>
      <c r="C13">
        <v>1</v>
      </c>
      <c r="D13" s="116">
        <v>3005386</v>
      </c>
      <c r="E13" s="109">
        <f t="shared" si="0"/>
        <v>2.7777777777777776E-2</v>
      </c>
      <c r="F13" s="116">
        <v>409135.62</v>
      </c>
      <c r="G13" s="116">
        <v>68189.27</v>
      </c>
      <c r="H13" s="116">
        <v>122740.68599999999</v>
      </c>
      <c r="I13" s="108">
        <v>0.3</v>
      </c>
      <c r="J13" s="116">
        <f t="shared" si="1"/>
        <v>2882645.3140000002</v>
      </c>
      <c r="L13" s="107">
        <v>228413</v>
      </c>
      <c r="M13" s="107">
        <v>2882645.3140000002</v>
      </c>
    </row>
    <row r="14" spans="2:13" x14ac:dyDescent="0.3">
      <c r="D14" s="116"/>
      <c r="E14" s="109"/>
      <c r="F14" s="116"/>
      <c r="G14" s="116"/>
      <c r="H14" s="116"/>
      <c r="I14" s="108"/>
      <c r="J14" s="116"/>
      <c r="L14" s="107"/>
      <c r="M14" s="107"/>
    </row>
    <row r="15" spans="2:13" x14ac:dyDescent="0.3">
      <c r="B15" s="110" t="s">
        <v>48</v>
      </c>
      <c r="C15" s="112">
        <f>SUM(C8:C14)</f>
        <v>36</v>
      </c>
      <c r="D15" s="117">
        <f>SUM(D8:D14)</f>
        <v>217367031</v>
      </c>
      <c r="E15" s="111">
        <f>C15/$C$15</f>
        <v>1</v>
      </c>
      <c r="F15" s="117">
        <f>SUM(F8:F14)</f>
        <v>137314323.25</v>
      </c>
      <c r="G15" s="117">
        <f>SUM(G8:G14)</f>
        <v>27009695.862590827</v>
      </c>
      <c r="H15" s="117">
        <f>SUM(H8:H14)</f>
        <v>48957804.079500005</v>
      </c>
      <c r="I15" s="113">
        <f>H15/F15</f>
        <v>0.35653821772376543</v>
      </c>
      <c r="J15" s="117">
        <f>D15-H15</f>
        <v>168409226.92049998</v>
      </c>
      <c r="L15" s="112">
        <f>SUM(L8:L14)</f>
        <v>31263837.195714287</v>
      </c>
      <c r="M15" s="112">
        <f>SUM(M8:M14)</f>
        <v>166354297.38049999</v>
      </c>
    </row>
    <row r="16" spans="2:13" x14ac:dyDescent="0.3">
      <c r="M16" s="115"/>
    </row>
  </sheetData>
  <sortState xmlns:xlrd2="http://schemas.microsoft.com/office/spreadsheetml/2017/richdata2" ref="B8:I13">
    <sortCondition descending="1" ref="C8:C13"/>
  </sortState>
  <pageMargins left="0.7" right="0.7" top="0.75" bottom="0.75" header="0.3" footer="0.3"/>
  <pageSetup paperSize="9" orientation="portrait" r:id="rId1"/>
  <ignoredErrors>
    <ignoredError sqref="E15"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M191"/>
  <sheetViews>
    <sheetView zoomScale="90" zoomScaleNormal="90" workbookViewId="0">
      <pane xSplit="1" ySplit="7" topLeftCell="B13" activePane="bottomRight" state="frozen"/>
      <selection pane="topRight" activeCell="D13" sqref="D13 D29 F13:K13 F29:K29"/>
      <selection pane="bottomLeft" activeCell="D13" sqref="D13 D29 F13:K13 F29:K29"/>
      <selection pane="bottomRight" activeCell="A13" sqref="A13"/>
    </sheetView>
  </sheetViews>
  <sheetFormatPr defaultRowHeight="14.4" x14ac:dyDescent="0.3"/>
  <cols>
    <col min="1" max="1" width="5.5546875" customWidth="1"/>
    <col min="2" max="2" width="30.33203125" customWidth="1"/>
    <col min="3" max="3" width="18.5546875" customWidth="1"/>
    <col min="4" max="4" width="8.44140625" customWidth="1"/>
    <col min="5" max="5" width="54" customWidth="1"/>
    <col min="6" max="6" width="13.44140625" customWidth="1"/>
    <col min="7" max="7" width="13.5546875" bestFit="1" customWidth="1"/>
    <col min="8" max="8" width="15" customWidth="1"/>
    <col min="9" max="9" width="12.44140625" customWidth="1"/>
    <col min="10" max="10" width="19" customWidth="1"/>
    <col min="11" max="11" width="16.44140625" customWidth="1"/>
    <col min="12" max="12" width="13" customWidth="1"/>
    <col min="13" max="13" width="13.5546875" bestFit="1" customWidth="1"/>
  </cols>
  <sheetData>
    <row r="7" spans="1:13" s="102" customFormat="1" ht="72" x14ac:dyDescent="0.3">
      <c r="A7" s="105" t="s">
        <v>216</v>
      </c>
      <c r="B7" s="105" t="s">
        <v>203</v>
      </c>
      <c r="C7" s="105" t="s">
        <v>281</v>
      </c>
      <c r="D7" s="105" t="s">
        <v>233</v>
      </c>
      <c r="E7" s="104" t="s">
        <v>1381</v>
      </c>
      <c r="F7" s="104" t="s">
        <v>1382</v>
      </c>
      <c r="G7" s="104" t="s">
        <v>1383</v>
      </c>
      <c r="H7" s="104" t="s">
        <v>1384</v>
      </c>
      <c r="I7" s="104" t="s">
        <v>1385</v>
      </c>
      <c r="J7"/>
      <c r="K7"/>
      <c r="L7"/>
      <c r="M7"/>
    </row>
    <row r="8" spans="1:13" ht="187.2" x14ac:dyDescent="0.3">
      <c r="A8" t="s">
        <v>63</v>
      </c>
      <c r="B8" t="s">
        <v>28</v>
      </c>
      <c r="C8">
        <v>31</v>
      </c>
      <c r="D8" s="102" t="s">
        <v>523</v>
      </c>
      <c r="E8" s="44">
        <v>5847387</v>
      </c>
      <c r="F8" s="44">
        <v>3598662.71</v>
      </c>
      <c r="G8" s="44">
        <v>1439465.084</v>
      </c>
      <c r="H8" s="44">
        <v>545522</v>
      </c>
      <c r="I8" s="44">
        <v>116085.89387096775</v>
      </c>
    </row>
    <row r="9" spans="1:13" x14ac:dyDescent="0.3">
      <c r="A9" t="s">
        <v>63</v>
      </c>
      <c r="B9" t="s">
        <v>28</v>
      </c>
      <c r="C9">
        <v>34</v>
      </c>
      <c r="D9" s="102" t="s">
        <v>1386</v>
      </c>
      <c r="E9" s="44">
        <v>5962387</v>
      </c>
      <c r="F9" s="44">
        <v>2296787.5700000003</v>
      </c>
      <c r="G9" s="44">
        <v>918715.02800000017</v>
      </c>
      <c r="H9" s="44">
        <v>469966</v>
      </c>
      <c r="I9" s="44">
        <v>67552.575588235297</v>
      </c>
    </row>
    <row r="10" spans="1:13" ht="331.2" x14ac:dyDescent="0.3">
      <c r="A10" t="s">
        <v>136</v>
      </c>
      <c r="B10" t="s">
        <v>31</v>
      </c>
      <c r="C10">
        <v>35</v>
      </c>
      <c r="D10" s="102" t="s">
        <v>608</v>
      </c>
      <c r="E10" s="44">
        <v>2675000</v>
      </c>
      <c r="F10" s="44">
        <v>1501047.6</v>
      </c>
      <c r="G10" s="44">
        <v>600419.04</v>
      </c>
      <c r="H10" s="44">
        <v>493226.5</v>
      </c>
      <c r="I10" s="44">
        <v>42887.07428571429</v>
      </c>
    </row>
    <row r="11" spans="1:13" ht="28.8" x14ac:dyDescent="0.3">
      <c r="A11" t="s">
        <v>139</v>
      </c>
      <c r="B11" t="s">
        <v>447</v>
      </c>
      <c r="C11">
        <v>14</v>
      </c>
      <c r="D11" s="102" t="s">
        <v>460</v>
      </c>
      <c r="E11" s="44">
        <v>3005386</v>
      </c>
      <c r="F11" s="44">
        <v>0</v>
      </c>
      <c r="G11" s="44">
        <v>0</v>
      </c>
      <c r="H11" s="44">
        <v>228413</v>
      </c>
      <c r="I11" s="44">
        <v>0</v>
      </c>
    </row>
    <row r="12" spans="1:13" ht="273.60000000000002" x14ac:dyDescent="0.3">
      <c r="A12" t="s">
        <v>74</v>
      </c>
      <c r="B12" t="s">
        <v>30</v>
      </c>
      <c r="C12">
        <v>8</v>
      </c>
      <c r="D12" s="102" t="s">
        <v>716</v>
      </c>
      <c r="E12" s="44"/>
      <c r="F12" s="44">
        <v>2049600</v>
      </c>
      <c r="G12" s="44">
        <v>922320</v>
      </c>
      <c r="H12" s="44"/>
      <c r="I12" s="44">
        <v>256200</v>
      </c>
    </row>
    <row r="13" spans="1:13" x14ac:dyDescent="0.3">
      <c r="A13" t="s">
        <v>74</v>
      </c>
      <c r="B13" t="s">
        <v>30</v>
      </c>
      <c r="C13">
        <v>21</v>
      </c>
      <c r="D13" s="102" t="s">
        <v>1386</v>
      </c>
      <c r="E13" s="44">
        <v>4500000</v>
      </c>
      <c r="F13" s="44">
        <v>4921583</v>
      </c>
      <c r="G13" s="44">
        <v>2214712.35</v>
      </c>
      <c r="H13" s="44">
        <v>385623</v>
      </c>
      <c r="I13" s="44">
        <v>234361.09523809524</v>
      </c>
    </row>
    <row r="14" spans="1:13" x14ac:dyDescent="0.3">
      <c r="A14" t="s">
        <v>74</v>
      </c>
      <c r="B14" t="s">
        <v>37</v>
      </c>
      <c r="C14">
        <v>32</v>
      </c>
      <c r="D14" s="102" t="s">
        <v>1386</v>
      </c>
      <c r="E14" s="44">
        <v>1375572</v>
      </c>
      <c r="F14" s="44">
        <v>1033300</v>
      </c>
      <c r="G14" s="44">
        <v>413320</v>
      </c>
      <c r="H14" s="44">
        <v>134307</v>
      </c>
      <c r="I14" s="44">
        <v>32290.625</v>
      </c>
    </row>
    <row r="15" spans="1:13" ht="201.6" x14ac:dyDescent="0.3">
      <c r="A15" t="s">
        <v>78</v>
      </c>
      <c r="B15" t="s">
        <v>36</v>
      </c>
      <c r="C15">
        <v>45</v>
      </c>
      <c r="D15" s="102" t="s">
        <v>333</v>
      </c>
      <c r="E15" s="44">
        <v>2606483</v>
      </c>
      <c r="F15" s="44">
        <v>4156187.42</v>
      </c>
      <c r="G15" s="44">
        <v>1870284.3389999999</v>
      </c>
      <c r="H15" s="44">
        <v>250000</v>
      </c>
      <c r="I15" s="44">
        <v>92359.720444444436</v>
      </c>
    </row>
    <row r="16" spans="1:13" ht="316.8" x14ac:dyDescent="0.3">
      <c r="A16" t="s">
        <v>147</v>
      </c>
      <c r="B16" t="s">
        <v>29</v>
      </c>
      <c r="C16">
        <v>26</v>
      </c>
      <c r="D16" s="102" t="s">
        <v>804</v>
      </c>
      <c r="E16" s="44">
        <v>16350883</v>
      </c>
      <c r="F16" s="44">
        <v>1422541</v>
      </c>
      <c r="G16" s="44">
        <v>569016.4</v>
      </c>
      <c r="H16" s="44">
        <v>1316953</v>
      </c>
      <c r="I16" s="44">
        <v>54713.115384615383</v>
      </c>
    </row>
    <row r="17" spans="1:9" ht="259.2" x14ac:dyDescent="0.3">
      <c r="A17" t="s">
        <v>96</v>
      </c>
      <c r="B17" t="s">
        <v>28</v>
      </c>
      <c r="C17">
        <v>25</v>
      </c>
      <c r="D17" s="102" t="s">
        <v>1315</v>
      </c>
      <c r="E17" s="44">
        <v>9297200</v>
      </c>
      <c r="F17" s="44">
        <v>5887254.04</v>
      </c>
      <c r="G17" s="44">
        <v>2354901.6159999999</v>
      </c>
      <c r="H17" s="44">
        <v>1002975</v>
      </c>
      <c r="I17" s="44">
        <v>235490.16159999999</v>
      </c>
    </row>
    <row r="18" spans="1:9" ht="259.2" x14ac:dyDescent="0.3">
      <c r="A18" t="s">
        <v>96</v>
      </c>
      <c r="B18" t="s">
        <v>28</v>
      </c>
      <c r="C18">
        <v>31</v>
      </c>
      <c r="D18" s="102" t="s">
        <v>1315</v>
      </c>
      <c r="E18" s="44">
        <v>9412200</v>
      </c>
      <c r="F18" s="44">
        <v>8521068.0399999991</v>
      </c>
      <c r="G18" s="44">
        <v>3408427.216</v>
      </c>
      <c r="H18" s="44">
        <v>504629</v>
      </c>
      <c r="I18" s="44">
        <v>274873.16258064512</v>
      </c>
    </row>
    <row r="19" spans="1:9" ht="302.39999999999998" x14ac:dyDescent="0.3">
      <c r="A19" t="s">
        <v>99</v>
      </c>
      <c r="B19" t="s">
        <v>35</v>
      </c>
      <c r="C19">
        <v>34</v>
      </c>
      <c r="D19" s="102" t="s">
        <v>844</v>
      </c>
      <c r="E19" s="44">
        <v>1962000</v>
      </c>
      <c r="F19" s="44">
        <v>5860926.7400000002</v>
      </c>
      <c r="G19" s="44">
        <v>2344370.696</v>
      </c>
      <c r="H19" s="44">
        <v>458397</v>
      </c>
      <c r="I19" s="44">
        <v>172380.19823529411</v>
      </c>
    </row>
    <row r="20" spans="1:9" ht="259.2" x14ac:dyDescent="0.3">
      <c r="A20" t="s">
        <v>108</v>
      </c>
      <c r="B20" t="s">
        <v>30</v>
      </c>
      <c r="C20">
        <v>20</v>
      </c>
      <c r="D20" s="102" t="s">
        <v>716</v>
      </c>
      <c r="E20" s="44">
        <v>4500000</v>
      </c>
      <c r="F20" s="44">
        <v>1872277.19</v>
      </c>
      <c r="G20" s="44">
        <v>842524.73549999995</v>
      </c>
      <c r="H20" s="44">
        <v>404240</v>
      </c>
      <c r="I20" s="44">
        <v>93613.859499999991</v>
      </c>
    </row>
    <row r="21" spans="1:9" ht="259.2" x14ac:dyDescent="0.3">
      <c r="A21" t="s">
        <v>108</v>
      </c>
      <c r="B21" t="s">
        <v>30</v>
      </c>
      <c r="C21">
        <v>37</v>
      </c>
      <c r="D21" s="102" t="s">
        <v>716</v>
      </c>
      <c r="E21" s="44"/>
      <c r="F21" s="44">
        <v>764714.03</v>
      </c>
      <c r="G21" s="44">
        <v>344121.31350000005</v>
      </c>
      <c r="H21" s="44"/>
      <c r="I21" s="44">
        <v>20667.946756756759</v>
      </c>
    </row>
    <row r="22" spans="1:9" ht="172.8" x14ac:dyDescent="0.3">
      <c r="A22" t="s">
        <v>168</v>
      </c>
      <c r="B22" t="s">
        <v>30</v>
      </c>
      <c r="C22">
        <v>26</v>
      </c>
      <c r="D22" s="102" t="s">
        <v>740</v>
      </c>
      <c r="E22" s="44">
        <v>4500000</v>
      </c>
      <c r="F22" s="44">
        <v>0</v>
      </c>
      <c r="G22" s="44">
        <v>0</v>
      </c>
      <c r="H22" s="44">
        <v>761989</v>
      </c>
      <c r="I22" s="44">
        <v>0</v>
      </c>
    </row>
    <row r="23" spans="1:9" ht="201.6" x14ac:dyDescent="0.3">
      <c r="A23" t="s">
        <v>113</v>
      </c>
      <c r="B23" t="s">
        <v>985</v>
      </c>
      <c r="C23">
        <v>35</v>
      </c>
      <c r="D23" s="102" t="s">
        <v>1083</v>
      </c>
      <c r="E23" s="44">
        <v>3706000</v>
      </c>
      <c r="F23" s="44">
        <v>16272745</v>
      </c>
      <c r="G23" s="44">
        <v>6509098</v>
      </c>
      <c r="H23" s="44">
        <v>541370</v>
      </c>
      <c r="I23" s="44">
        <v>464935.57142857142</v>
      </c>
    </row>
    <row r="24" spans="1:9" ht="259.2" x14ac:dyDescent="0.3">
      <c r="A24" t="s">
        <v>114</v>
      </c>
      <c r="B24" t="s">
        <v>28</v>
      </c>
      <c r="C24">
        <v>25</v>
      </c>
      <c r="D24" s="102" t="s">
        <v>1315</v>
      </c>
      <c r="E24" s="44">
        <v>9297200</v>
      </c>
      <c r="F24" s="44">
        <v>5425660.4199999999</v>
      </c>
      <c r="G24" s="44">
        <v>2170264.1680000001</v>
      </c>
      <c r="H24" s="44">
        <v>1380048</v>
      </c>
      <c r="I24" s="44">
        <v>217026.41680000001</v>
      </c>
    </row>
    <row r="25" spans="1:9" ht="259.2" x14ac:dyDescent="0.3">
      <c r="A25" t="s">
        <v>114</v>
      </c>
      <c r="B25" t="s">
        <v>28</v>
      </c>
      <c r="C25">
        <v>31</v>
      </c>
      <c r="D25" s="102" t="s">
        <v>1315</v>
      </c>
      <c r="E25" s="44">
        <v>9412200</v>
      </c>
      <c r="F25" s="44">
        <v>8472834.4199999999</v>
      </c>
      <c r="G25" s="44">
        <v>3389133.7680000002</v>
      </c>
      <c r="H25" s="44">
        <v>507479</v>
      </c>
      <c r="I25" s="44">
        <v>273317.23935483873</v>
      </c>
    </row>
    <row r="26" spans="1:9" ht="374.4" x14ac:dyDescent="0.3">
      <c r="A26" t="s">
        <v>126</v>
      </c>
      <c r="B26" t="s">
        <v>30</v>
      </c>
      <c r="C26">
        <v>45</v>
      </c>
      <c r="D26" s="102" t="s">
        <v>1132</v>
      </c>
      <c r="E26" s="44">
        <v>4520275</v>
      </c>
      <c r="F26" s="44">
        <v>8038455</v>
      </c>
      <c r="G26" s="44">
        <v>3617304.75</v>
      </c>
      <c r="H26" s="44">
        <v>400000</v>
      </c>
      <c r="I26" s="44">
        <v>178632.33333333334</v>
      </c>
    </row>
    <row r="27" spans="1:9" x14ac:dyDescent="0.3">
      <c r="A27" t="s">
        <v>126</v>
      </c>
      <c r="B27" t="s">
        <v>409</v>
      </c>
      <c r="C27">
        <v>8</v>
      </c>
      <c r="D27" s="102" t="s">
        <v>1386</v>
      </c>
      <c r="E27" s="44">
        <v>2324427</v>
      </c>
      <c r="F27" s="44">
        <v>1849740</v>
      </c>
      <c r="G27" s="44">
        <v>739896</v>
      </c>
      <c r="H27" s="44">
        <v>92242</v>
      </c>
      <c r="I27" s="44">
        <v>231217.5</v>
      </c>
    </row>
    <row r="28" spans="1:9" ht="230.4" x14ac:dyDescent="0.3">
      <c r="A28" t="s">
        <v>131</v>
      </c>
      <c r="B28" t="s">
        <v>30</v>
      </c>
      <c r="C28">
        <v>36</v>
      </c>
      <c r="D28" s="102" t="s">
        <v>665</v>
      </c>
      <c r="E28" s="44">
        <v>4500000</v>
      </c>
      <c r="F28" s="44">
        <v>16627034.43</v>
      </c>
      <c r="G28" s="44">
        <v>7482165.4934999999</v>
      </c>
      <c r="H28" s="44">
        <v>1237668</v>
      </c>
      <c r="I28" s="44">
        <v>461862.0675</v>
      </c>
    </row>
    <row r="29" spans="1:9" x14ac:dyDescent="0.3">
      <c r="A29" t="s">
        <v>131</v>
      </c>
      <c r="B29" t="s">
        <v>38</v>
      </c>
      <c r="C29">
        <v>37</v>
      </c>
      <c r="D29" s="102" t="s">
        <v>1386</v>
      </c>
      <c r="E29" s="44">
        <v>1170000</v>
      </c>
      <c r="F29" s="44">
        <v>10087208.59</v>
      </c>
      <c r="G29" s="44">
        <v>4034883.4360000002</v>
      </c>
      <c r="H29" s="44">
        <v>358020</v>
      </c>
      <c r="I29" s="44">
        <v>272627.25918918918</v>
      </c>
    </row>
    <row r="30" spans="1:9" ht="316.8" x14ac:dyDescent="0.3">
      <c r="A30" t="s">
        <v>183</v>
      </c>
      <c r="B30" t="s">
        <v>507</v>
      </c>
      <c r="C30">
        <v>12</v>
      </c>
      <c r="D30" s="102" t="s">
        <v>804</v>
      </c>
      <c r="E30" s="44">
        <v>2500000</v>
      </c>
      <c r="F30" s="44">
        <v>0</v>
      </c>
      <c r="G30" s="44">
        <v>0</v>
      </c>
      <c r="H30" s="44">
        <v>643570</v>
      </c>
      <c r="I30" s="44">
        <v>0</v>
      </c>
    </row>
    <row r="31" spans="1:9" ht="158.4" x14ac:dyDescent="0.3">
      <c r="A31" t="s">
        <v>185</v>
      </c>
      <c r="B31" t="s">
        <v>35</v>
      </c>
      <c r="C31">
        <v>23</v>
      </c>
      <c r="D31" s="102" t="s">
        <v>960</v>
      </c>
      <c r="E31" s="44">
        <v>2100000</v>
      </c>
      <c r="F31" s="44">
        <v>2435409.69</v>
      </c>
      <c r="G31" s="44">
        <v>974163.87600000005</v>
      </c>
      <c r="H31" s="44">
        <v>490395</v>
      </c>
      <c r="I31" s="44">
        <v>105887.37782608696</v>
      </c>
    </row>
    <row r="32" spans="1:9" ht="259.2" x14ac:dyDescent="0.3">
      <c r="A32" t="s">
        <v>133</v>
      </c>
      <c r="B32" t="s">
        <v>28</v>
      </c>
      <c r="C32">
        <v>25</v>
      </c>
      <c r="D32" s="102" t="s">
        <v>1315</v>
      </c>
      <c r="E32" s="44">
        <v>9297200</v>
      </c>
      <c r="F32" s="44">
        <v>5404788.96</v>
      </c>
      <c r="G32" s="44">
        <v>2161915.5840000003</v>
      </c>
      <c r="H32" s="44">
        <v>1059783</v>
      </c>
      <c r="I32" s="44">
        <v>216191.55840000001</v>
      </c>
    </row>
    <row r="33" spans="1:9" ht="259.2" x14ac:dyDescent="0.3">
      <c r="A33" t="s">
        <v>133</v>
      </c>
      <c r="B33" t="s">
        <v>28</v>
      </c>
      <c r="C33">
        <v>31</v>
      </c>
      <c r="D33" s="102" t="s">
        <v>1315</v>
      </c>
      <c r="E33" s="44">
        <v>8595000</v>
      </c>
      <c r="F33" s="44">
        <v>8117293.96</v>
      </c>
      <c r="G33" s="44">
        <v>3246917.5840000003</v>
      </c>
      <c r="H33" s="44">
        <v>424250</v>
      </c>
      <c r="I33" s="44">
        <v>261848.19225806452</v>
      </c>
    </row>
    <row r="34" spans="1:9" x14ac:dyDescent="0.3">
      <c r="A34" t="s">
        <v>151</v>
      </c>
      <c r="B34" t="s">
        <v>28</v>
      </c>
      <c r="C34">
        <v>15</v>
      </c>
      <c r="D34" s="102" t="s">
        <v>1387</v>
      </c>
      <c r="E34" s="44">
        <v>7385000</v>
      </c>
      <c r="F34" s="44">
        <v>213943</v>
      </c>
      <c r="G34" s="44">
        <v>85577.200000000012</v>
      </c>
      <c r="H34" s="44">
        <v>755925</v>
      </c>
      <c r="I34" s="44">
        <v>14262.866666666667</v>
      </c>
    </row>
    <row r="35" spans="1:9" x14ac:dyDescent="0.3">
      <c r="A35" t="s">
        <v>155</v>
      </c>
      <c r="B35" t="s">
        <v>38</v>
      </c>
      <c r="C35">
        <v>20</v>
      </c>
      <c r="D35" s="102">
        <v>0</v>
      </c>
      <c r="E35" s="44">
        <v>442697</v>
      </c>
      <c r="F35" s="44">
        <v>140000</v>
      </c>
      <c r="G35" s="44">
        <v>56000</v>
      </c>
      <c r="H35" s="44">
        <v>105332.5</v>
      </c>
      <c r="I35" s="44">
        <v>7000</v>
      </c>
    </row>
    <row r="36" spans="1:9" x14ac:dyDescent="0.3">
      <c r="A36" t="s">
        <v>155</v>
      </c>
      <c r="B36" t="s">
        <v>38</v>
      </c>
      <c r="C36">
        <v>20</v>
      </c>
      <c r="D36" s="102" t="s">
        <v>1386</v>
      </c>
      <c r="E36" s="44">
        <v>442697</v>
      </c>
      <c r="F36" s="44">
        <v>140000</v>
      </c>
      <c r="G36" s="44">
        <v>56000</v>
      </c>
      <c r="H36" s="44">
        <v>105332.5</v>
      </c>
      <c r="I36" s="44">
        <v>7000</v>
      </c>
    </row>
    <row r="37" spans="1:9" ht="409.6" x14ac:dyDescent="0.3">
      <c r="A37" t="s">
        <v>80</v>
      </c>
      <c r="B37" t="s">
        <v>1297</v>
      </c>
      <c r="C37">
        <v>25</v>
      </c>
      <c r="D37" s="102" t="s">
        <v>1305</v>
      </c>
      <c r="E37" s="44">
        <v>10856400</v>
      </c>
      <c r="F37" s="44">
        <v>6578937.5800000001</v>
      </c>
      <c r="G37" s="44">
        <v>2631575.0320000001</v>
      </c>
      <c r="H37" s="44">
        <v>1266339</v>
      </c>
      <c r="I37" s="44">
        <v>263157.50319999998</v>
      </c>
    </row>
    <row r="38" spans="1:9" ht="409.6" x14ac:dyDescent="0.3">
      <c r="A38" t="s">
        <v>80</v>
      </c>
      <c r="B38" t="s">
        <v>1297</v>
      </c>
      <c r="C38">
        <v>31</v>
      </c>
      <c r="D38" s="102" t="s">
        <v>1305</v>
      </c>
      <c r="E38" s="44">
        <v>8595000</v>
      </c>
      <c r="F38" s="44">
        <v>8910802.5800000001</v>
      </c>
      <c r="G38" s="44">
        <v>3564321.0320000001</v>
      </c>
      <c r="H38" s="44">
        <v>529967</v>
      </c>
      <c r="I38" s="44">
        <v>287445.24451612902</v>
      </c>
    </row>
    <row r="39" spans="1:9" ht="43.2" x14ac:dyDescent="0.3">
      <c r="A39" t="s">
        <v>153</v>
      </c>
      <c r="B39" t="s">
        <v>28</v>
      </c>
      <c r="C39">
        <v>23</v>
      </c>
      <c r="D39" s="102" t="s">
        <v>1141</v>
      </c>
      <c r="E39" s="44">
        <v>7000000</v>
      </c>
      <c r="F39" s="44">
        <v>758500</v>
      </c>
      <c r="G39" s="44">
        <v>303400</v>
      </c>
      <c r="H39" s="44">
        <v>909975</v>
      </c>
      <c r="I39" s="44">
        <v>32978.260869565216</v>
      </c>
    </row>
    <row r="40" spans="1:9" x14ac:dyDescent="0.3">
      <c r="A40" t="s">
        <v>76</v>
      </c>
      <c r="B40" t="s">
        <v>31</v>
      </c>
      <c r="C40">
        <v>23</v>
      </c>
      <c r="D40" s="102" t="s">
        <v>1386</v>
      </c>
      <c r="E40" s="44">
        <v>2868545</v>
      </c>
      <c r="F40" s="44">
        <v>19598746.34</v>
      </c>
      <c r="G40" s="44">
        <v>7839498.5360000003</v>
      </c>
      <c r="H40" s="44">
        <v>586886</v>
      </c>
      <c r="I40" s="44">
        <v>852119.4060869565</v>
      </c>
    </row>
    <row r="41" spans="1:9" x14ac:dyDescent="0.3">
      <c r="A41" t="s">
        <v>129</v>
      </c>
      <c r="B41" t="s">
        <v>31</v>
      </c>
      <c r="C41">
        <v>23</v>
      </c>
      <c r="D41" s="102" t="s">
        <v>1386</v>
      </c>
      <c r="E41" s="44">
        <v>2983545</v>
      </c>
      <c r="F41" s="44">
        <v>2005150</v>
      </c>
      <c r="G41" s="44">
        <v>802060</v>
      </c>
      <c r="H41" s="44">
        <v>751293</v>
      </c>
      <c r="I41" s="44">
        <v>87180.434782608689</v>
      </c>
    </row>
    <row r="42" spans="1:9" x14ac:dyDescent="0.3">
      <c r="A42" t="s">
        <v>141</v>
      </c>
      <c r="B42" t="s">
        <v>35</v>
      </c>
      <c r="C42">
        <v>17</v>
      </c>
      <c r="D42" s="102" t="s">
        <v>1386</v>
      </c>
      <c r="E42" s="44">
        <v>2868545</v>
      </c>
      <c r="F42" s="44">
        <v>1642511.87</v>
      </c>
      <c r="G42" s="44">
        <v>657004.74800000014</v>
      </c>
      <c r="H42" s="44">
        <v>702513</v>
      </c>
      <c r="I42" s="44">
        <v>96618.345294117651</v>
      </c>
    </row>
    <row r="43" spans="1:9" x14ac:dyDescent="0.3">
      <c r="A43" t="s">
        <v>141</v>
      </c>
      <c r="B43" t="s">
        <v>36</v>
      </c>
      <c r="C43">
        <v>15</v>
      </c>
      <c r="D43" s="102" t="s">
        <v>1386</v>
      </c>
      <c r="E43" s="44">
        <v>4499722</v>
      </c>
      <c r="F43" s="44">
        <v>1541060</v>
      </c>
      <c r="G43" s="44">
        <v>693477</v>
      </c>
      <c r="H43" s="44">
        <v>399013</v>
      </c>
      <c r="I43" s="44">
        <v>102737.33333333333</v>
      </c>
    </row>
    <row r="44" spans="1:9" x14ac:dyDescent="0.3">
      <c r="A44" t="s">
        <v>102</v>
      </c>
      <c r="B44" t="s">
        <v>507</v>
      </c>
      <c r="C44">
        <v>35</v>
      </c>
      <c r="D44" s="102" t="s">
        <v>1386</v>
      </c>
      <c r="E44" s="44">
        <v>3393744</v>
      </c>
      <c r="F44" s="44">
        <v>6007419.6000000006</v>
      </c>
      <c r="G44" s="44">
        <v>2402967.8400000003</v>
      </c>
      <c r="H44" s="44">
        <v>469938</v>
      </c>
      <c r="I44" s="44">
        <v>171640.56000000003</v>
      </c>
    </row>
    <row r="45" spans="1:9" ht="316.8" x14ac:dyDescent="0.3">
      <c r="A45" t="s">
        <v>158</v>
      </c>
      <c r="B45" t="s">
        <v>35</v>
      </c>
      <c r="C45">
        <v>1</v>
      </c>
      <c r="D45" s="102" t="s">
        <v>883</v>
      </c>
      <c r="E45" s="44">
        <v>1700000</v>
      </c>
      <c r="F45" s="44">
        <v>0</v>
      </c>
      <c r="G45" s="44">
        <v>0</v>
      </c>
      <c r="H45" s="44">
        <v>786668.28</v>
      </c>
      <c r="I45" s="44">
        <v>0</v>
      </c>
    </row>
    <row r="46" spans="1:9" x14ac:dyDescent="0.3">
      <c r="A46" t="s">
        <v>167</v>
      </c>
      <c r="B46" t="s">
        <v>31</v>
      </c>
      <c r="C46">
        <v>10</v>
      </c>
      <c r="D46" s="102" t="s">
        <v>1386</v>
      </c>
      <c r="E46" s="44">
        <v>2675000</v>
      </c>
      <c r="F46" s="44">
        <v>0</v>
      </c>
      <c r="G46" s="44">
        <v>0</v>
      </c>
      <c r="H46" s="44">
        <v>690432</v>
      </c>
      <c r="I46" s="44">
        <v>0</v>
      </c>
    </row>
    <row r="47" spans="1:9" ht="302.39999999999998" x14ac:dyDescent="0.3">
      <c r="A47" t="s">
        <v>72</v>
      </c>
      <c r="B47" t="s">
        <v>31</v>
      </c>
      <c r="C47">
        <v>23</v>
      </c>
      <c r="D47" s="102" t="s">
        <v>543</v>
      </c>
      <c r="E47" s="44">
        <v>2668545</v>
      </c>
      <c r="F47" s="44">
        <v>13933860</v>
      </c>
      <c r="G47" s="44">
        <v>5573544</v>
      </c>
      <c r="H47" s="44">
        <v>499567</v>
      </c>
      <c r="I47" s="44">
        <v>605820</v>
      </c>
    </row>
    <row r="48" spans="1:9" x14ac:dyDescent="0.3">
      <c r="A48" t="s">
        <v>161</v>
      </c>
      <c r="B48" t="s">
        <v>33</v>
      </c>
      <c r="C48">
        <v>18</v>
      </c>
      <c r="D48" s="102" t="s">
        <v>1386</v>
      </c>
      <c r="E48" s="44">
        <v>4401507</v>
      </c>
      <c r="F48" s="44">
        <v>12825000</v>
      </c>
      <c r="G48" s="44">
        <v>5130000</v>
      </c>
      <c r="H48" s="44">
        <v>783747</v>
      </c>
      <c r="I48" s="44">
        <v>712500</v>
      </c>
    </row>
    <row r="49" spans="1:9" x14ac:dyDescent="0.3">
      <c r="A49" t="s">
        <v>107</v>
      </c>
      <c r="B49" t="s">
        <v>1042</v>
      </c>
      <c r="C49">
        <v>37</v>
      </c>
      <c r="D49" s="102" t="s">
        <v>1386</v>
      </c>
      <c r="E49" s="44">
        <v>3025396</v>
      </c>
      <c r="F49" s="44">
        <v>10887009.27</v>
      </c>
      <c r="G49" s="44">
        <v>4354803.7079999996</v>
      </c>
      <c r="H49" s="44">
        <v>434352</v>
      </c>
      <c r="I49" s="44">
        <v>294243.49378378375</v>
      </c>
    </row>
    <row r="50" spans="1:9" x14ac:dyDescent="0.3">
      <c r="A50" t="s">
        <v>107</v>
      </c>
      <c r="B50" t="s">
        <v>1027</v>
      </c>
      <c r="C50">
        <v>15</v>
      </c>
      <c r="D50" s="102" t="s">
        <v>1386</v>
      </c>
      <c r="E50" s="44">
        <v>5741480.5</v>
      </c>
      <c r="F50" s="44">
        <v>31763272</v>
      </c>
      <c r="G50" s="44">
        <v>12705308.800000001</v>
      </c>
      <c r="H50" s="44">
        <v>2106303.5</v>
      </c>
      <c r="I50" s="44">
        <v>2117551.4666666668</v>
      </c>
    </row>
    <row r="51" spans="1:9" x14ac:dyDescent="0.3">
      <c r="A51" t="s">
        <v>107</v>
      </c>
      <c r="B51" t="s">
        <v>1027</v>
      </c>
      <c r="C51" t="s">
        <v>1386</v>
      </c>
      <c r="D51" s="102" t="s">
        <v>1386</v>
      </c>
      <c r="E51" s="44">
        <v>5557031</v>
      </c>
      <c r="F51" s="44">
        <v>972400</v>
      </c>
      <c r="G51" s="44">
        <v>388960</v>
      </c>
      <c r="H51" s="44">
        <v>2106303.5</v>
      </c>
      <c r="I51" s="44" t="e">
        <v>#DIV/0!</v>
      </c>
    </row>
    <row r="52" spans="1:9" ht="302.39999999999998" x14ac:dyDescent="0.3">
      <c r="A52" t="s">
        <v>159</v>
      </c>
      <c r="B52" t="s">
        <v>28</v>
      </c>
      <c r="C52">
        <v>19</v>
      </c>
      <c r="D52" s="102" t="s">
        <v>844</v>
      </c>
      <c r="E52" s="44">
        <v>9297200</v>
      </c>
      <c r="F52" s="44">
        <v>1431049.21</v>
      </c>
      <c r="G52" s="44">
        <v>572419.68400000001</v>
      </c>
      <c r="H52" s="44">
        <v>967223</v>
      </c>
      <c r="I52" s="44">
        <v>75318.37947368421</v>
      </c>
    </row>
    <row r="53" spans="1:9" ht="201.6" x14ac:dyDescent="0.3">
      <c r="A53" t="s">
        <v>110</v>
      </c>
      <c r="B53" t="s">
        <v>28</v>
      </c>
      <c r="C53">
        <v>19</v>
      </c>
      <c r="D53" s="102" t="s">
        <v>628</v>
      </c>
      <c r="E53" s="44">
        <v>9297200</v>
      </c>
      <c r="F53" s="44">
        <v>19584358.120000001</v>
      </c>
      <c r="G53" s="44">
        <v>7833743.2480000006</v>
      </c>
      <c r="H53" s="44">
        <v>829374</v>
      </c>
      <c r="I53" s="44">
        <v>1030755.6905263158</v>
      </c>
    </row>
    <row r="54" spans="1:9" x14ac:dyDescent="0.3">
      <c r="A54" t="s">
        <v>112</v>
      </c>
      <c r="B54" t="s">
        <v>33</v>
      </c>
      <c r="C54">
        <v>22</v>
      </c>
      <c r="D54" s="102" t="s">
        <v>1386</v>
      </c>
      <c r="E54" s="44">
        <v>8622430</v>
      </c>
      <c r="F54" s="44">
        <v>39960894.960000001</v>
      </c>
      <c r="G54" s="44">
        <v>15984357.983999999</v>
      </c>
      <c r="H54" s="44">
        <v>1018392</v>
      </c>
      <c r="I54" s="44">
        <v>1816404.3163636362</v>
      </c>
    </row>
    <row r="55" spans="1:9" x14ac:dyDescent="0.3">
      <c r="A55" t="s">
        <v>166</v>
      </c>
      <c r="B55" t="s">
        <v>988</v>
      </c>
      <c r="C55" t="s">
        <v>733</v>
      </c>
      <c r="D55" s="102" t="s">
        <v>1386</v>
      </c>
      <c r="E55" s="44">
        <v>4045003</v>
      </c>
      <c r="F55" s="44">
        <v>0</v>
      </c>
      <c r="G55" s="44">
        <v>0</v>
      </c>
      <c r="H55" s="44">
        <v>465012</v>
      </c>
      <c r="I55" s="44" t="e">
        <v>#VALUE!</v>
      </c>
    </row>
    <row r="56" spans="1:9" x14ac:dyDescent="0.3">
      <c r="A56" t="s">
        <v>60</v>
      </c>
      <c r="B56" t="s">
        <v>31</v>
      </c>
      <c r="C56">
        <v>25</v>
      </c>
      <c r="D56" s="102" t="s">
        <v>1386</v>
      </c>
      <c r="E56" s="44">
        <v>7185942</v>
      </c>
      <c r="F56" s="44">
        <v>2732918</v>
      </c>
      <c r="G56" s="44">
        <v>1093167.2</v>
      </c>
      <c r="H56" s="44">
        <v>960680</v>
      </c>
      <c r="I56" s="44">
        <v>109316.72</v>
      </c>
    </row>
    <row r="57" spans="1:9" x14ac:dyDescent="0.3">
      <c r="A57" t="s">
        <v>70</v>
      </c>
      <c r="B57" t="s">
        <v>30</v>
      </c>
      <c r="C57">
        <v>25</v>
      </c>
      <c r="D57" s="102" t="s">
        <v>1386</v>
      </c>
      <c r="E57" s="44">
        <v>4350000</v>
      </c>
      <c r="F57" s="44">
        <v>9510884.3999999985</v>
      </c>
      <c r="G57" s="44">
        <v>4279897.9799999995</v>
      </c>
      <c r="H57" s="44">
        <v>391086</v>
      </c>
      <c r="I57" s="44">
        <v>380435.37599999993</v>
      </c>
    </row>
    <row r="58" spans="1:9" x14ac:dyDescent="0.3">
      <c r="A58" t="s">
        <v>145</v>
      </c>
      <c r="B58" t="s">
        <v>507</v>
      </c>
      <c r="C58">
        <v>17</v>
      </c>
      <c r="D58" s="102" t="s">
        <v>1386</v>
      </c>
      <c r="E58" s="44">
        <v>3409283</v>
      </c>
      <c r="F58" s="44">
        <v>1575000</v>
      </c>
      <c r="G58" s="44">
        <v>630000</v>
      </c>
      <c r="H58" s="44">
        <v>393750</v>
      </c>
      <c r="I58" s="44">
        <v>92647.058823529413</v>
      </c>
    </row>
    <row r="59" spans="1:9" x14ac:dyDescent="0.3">
      <c r="A59" t="s">
        <v>130</v>
      </c>
      <c r="B59" t="s">
        <v>985</v>
      </c>
      <c r="C59">
        <v>16</v>
      </c>
      <c r="D59" s="102" t="s">
        <v>1386</v>
      </c>
      <c r="E59" s="44">
        <v>4615000</v>
      </c>
      <c r="F59" s="44">
        <v>14876603</v>
      </c>
      <c r="G59" s="44">
        <v>5950641.2000000002</v>
      </c>
      <c r="H59" s="44">
        <v>2046333</v>
      </c>
      <c r="I59" s="44">
        <v>929787.6875</v>
      </c>
    </row>
    <row r="60" spans="1:9" x14ac:dyDescent="0.3">
      <c r="A60" t="s">
        <v>130</v>
      </c>
      <c r="B60" t="s">
        <v>371</v>
      </c>
      <c r="C60" t="s">
        <v>1386</v>
      </c>
      <c r="D60" s="102" t="s">
        <v>1386</v>
      </c>
      <c r="E60" s="44">
        <v>5025642</v>
      </c>
      <c r="F60" s="44">
        <v>0</v>
      </c>
      <c r="G60" s="44">
        <v>0</v>
      </c>
      <c r="H60" s="44">
        <v>1028560</v>
      </c>
      <c r="I60" s="44" t="e">
        <v>#DIV/0!</v>
      </c>
    </row>
    <row r="61" spans="1:9" x14ac:dyDescent="0.3">
      <c r="A61" t="s">
        <v>157</v>
      </c>
      <c r="B61" t="s">
        <v>988</v>
      </c>
      <c r="C61">
        <v>17</v>
      </c>
      <c r="D61" s="102" t="s">
        <v>1386</v>
      </c>
      <c r="E61" s="44">
        <v>5274883</v>
      </c>
      <c r="F61" s="44">
        <v>3585000</v>
      </c>
      <c r="G61" s="44">
        <v>1434000</v>
      </c>
      <c r="H61" s="44">
        <v>1615386</v>
      </c>
      <c r="I61" s="44">
        <v>210882.35294117648</v>
      </c>
    </row>
    <row r="62" spans="1:9" x14ac:dyDescent="0.3">
      <c r="A62" t="s">
        <v>104</v>
      </c>
      <c r="B62" t="s">
        <v>33</v>
      </c>
      <c r="C62">
        <v>8</v>
      </c>
      <c r="D62" s="102" t="s">
        <v>1386</v>
      </c>
      <c r="E62" s="44">
        <v>2382020</v>
      </c>
      <c r="F62" s="44">
        <v>2284000</v>
      </c>
      <c r="G62" s="44">
        <v>0</v>
      </c>
      <c r="H62" s="44">
        <v>184057</v>
      </c>
      <c r="I62" s="44">
        <v>285500</v>
      </c>
    </row>
    <row r="63" spans="1:9" x14ac:dyDescent="0.3">
      <c r="A63" t="s">
        <v>104</v>
      </c>
      <c r="B63" t="s">
        <v>475</v>
      </c>
      <c r="C63">
        <v>23</v>
      </c>
      <c r="D63" s="102" t="s">
        <v>1386</v>
      </c>
      <c r="E63" s="44">
        <v>7420000</v>
      </c>
      <c r="F63" s="44">
        <v>8799267.5500000007</v>
      </c>
      <c r="G63" s="44">
        <v>3519707.0200000005</v>
      </c>
      <c r="H63" s="44">
        <v>824400</v>
      </c>
      <c r="I63" s="44">
        <v>382576.85000000003</v>
      </c>
    </row>
    <row r="64" spans="1:9" x14ac:dyDescent="0.3">
      <c r="A64" t="s">
        <v>104</v>
      </c>
      <c r="B64" t="s">
        <v>409</v>
      </c>
      <c r="C64" t="s">
        <v>1386</v>
      </c>
      <c r="D64" s="102" t="s">
        <v>1386</v>
      </c>
      <c r="E64" s="44">
        <v>2324427</v>
      </c>
      <c r="F64" s="44">
        <v>0</v>
      </c>
      <c r="G64" s="44">
        <v>0</v>
      </c>
      <c r="H64" s="44">
        <v>149427</v>
      </c>
      <c r="I64" s="44" t="e">
        <v>#DIV/0!</v>
      </c>
    </row>
    <row r="65" spans="1:9" x14ac:dyDescent="0.3">
      <c r="A65" t="s">
        <v>105</v>
      </c>
      <c r="B65" t="s">
        <v>402</v>
      </c>
      <c r="C65">
        <v>13</v>
      </c>
      <c r="D65" s="102" t="s">
        <v>1386</v>
      </c>
      <c r="E65" s="44">
        <v>5459835</v>
      </c>
      <c r="F65" s="44">
        <v>9408600</v>
      </c>
      <c r="G65" s="44">
        <v>3763440</v>
      </c>
      <c r="H65" s="44">
        <v>742864</v>
      </c>
      <c r="I65" s="44">
        <v>723738.4615384615</v>
      </c>
    </row>
    <row r="66" spans="1:9" x14ac:dyDescent="0.3">
      <c r="A66" t="s">
        <v>152</v>
      </c>
      <c r="B66" t="s">
        <v>985</v>
      </c>
      <c r="C66" t="s">
        <v>733</v>
      </c>
      <c r="D66" s="102" t="s">
        <v>1387</v>
      </c>
      <c r="E66" s="44">
        <v>4497465</v>
      </c>
      <c r="F66" s="44">
        <v>0</v>
      </c>
      <c r="G66" s="44">
        <v>0</v>
      </c>
      <c r="H66" s="44">
        <v>592145</v>
      </c>
      <c r="I66" s="44" t="e">
        <v>#VALUE!</v>
      </c>
    </row>
    <row r="67" spans="1:9" x14ac:dyDescent="0.3">
      <c r="A67" t="s">
        <v>59</v>
      </c>
      <c r="B67" t="s">
        <v>402</v>
      </c>
      <c r="C67">
        <v>12</v>
      </c>
      <c r="D67" s="102" t="s">
        <v>1386</v>
      </c>
      <c r="E67" s="44">
        <v>3592655</v>
      </c>
      <c r="F67" s="44">
        <v>4179600</v>
      </c>
      <c r="G67" s="44">
        <v>1671840</v>
      </c>
      <c r="H67" s="44">
        <v>314974</v>
      </c>
      <c r="I67" s="44">
        <v>348300</v>
      </c>
    </row>
    <row r="68" spans="1:9" x14ac:dyDescent="0.3">
      <c r="A68" t="s">
        <v>59</v>
      </c>
      <c r="B68" t="s">
        <v>865</v>
      </c>
      <c r="C68">
        <v>12</v>
      </c>
      <c r="D68" s="102" t="s">
        <v>1386</v>
      </c>
      <c r="E68" s="44">
        <v>2120000</v>
      </c>
      <c r="F68" s="44">
        <v>3244000</v>
      </c>
      <c r="G68" s="44">
        <v>811000</v>
      </c>
      <c r="H68" s="44">
        <v>270000</v>
      </c>
      <c r="I68" s="44">
        <v>270333.33333333331</v>
      </c>
    </row>
    <row r="69" spans="1:9" x14ac:dyDescent="0.3">
      <c r="A69" t="s">
        <v>62</v>
      </c>
      <c r="B69" t="s">
        <v>402</v>
      </c>
      <c r="C69">
        <v>9</v>
      </c>
      <c r="D69" s="102" t="s">
        <v>1386</v>
      </c>
      <c r="E69" s="44">
        <v>3592655</v>
      </c>
      <c r="F69" s="44">
        <v>3161900</v>
      </c>
      <c r="G69" s="44">
        <v>1264760</v>
      </c>
      <c r="H69" s="44">
        <v>356735</v>
      </c>
      <c r="I69" s="44">
        <v>351322.22222222225</v>
      </c>
    </row>
    <row r="70" spans="1:9" x14ac:dyDescent="0.3">
      <c r="A70" t="s">
        <v>169</v>
      </c>
      <c r="B70" t="s">
        <v>28</v>
      </c>
      <c r="C70">
        <v>8</v>
      </c>
      <c r="D70" s="102" t="s">
        <v>1386</v>
      </c>
      <c r="E70" s="44">
        <v>10513266</v>
      </c>
      <c r="F70" s="44">
        <v>2681257</v>
      </c>
      <c r="G70" s="44">
        <v>1072502.8</v>
      </c>
      <c r="H70" s="44">
        <v>868556</v>
      </c>
      <c r="I70" s="44">
        <v>335157.125</v>
      </c>
    </row>
    <row r="71" spans="1:9" x14ac:dyDescent="0.3">
      <c r="A71" t="s">
        <v>84</v>
      </c>
      <c r="B71" t="s">
        <v>409</v>
      </c>
      <c r="C71">
        <v>13</v>
      </c>
      <c r="D71" s="102" t="s">
        <v>1386</v>
      </c>
      <c r="E71" s="44">
        <v>2324427</v>
      </c>
      <c r="F71" s="44">
        <v>295500</v>
      </c>
      <c r="G71" s="44">
        <v>118200</v>
      </c>
      <c r="H71" s="44">
        <v>166828</v>
      </c>
      <c r="I71" s="44">
        <v>22730.76923076923</v>
      </c>
    </row>
    <row r="72" spans="1:9" x14ac:dyDescent="0.3">
      <c r="A72" t="s">
        <v>84</v>
      </c>
      <c r="B72" t="s">
        <v>848</v>
      </c>
      <c r="C72">
        <v>8</v>
      </c>
      <c r="D72" s="102" t="s">
        <v>1386</v>
      </c>
      <c r="E72" s="44">
        <v>2164000</v>
      </c>
      <c r="F72" s="44">
        <v>2091600</v>
      </c>
      <c r="G72" s="44">
        <v>522900</v>
      </c>
      <c r="H72" s="44">
        <v>292900</v>
      </c>
      <c r="I72" s="44">
        <v>261450</v>
      </c>
    </row>
    <row r="73" spans="1:9" x14ac:dyDescent="0.3">
      <c r="A73" t="s">
        <v>91</v>
      </c>
      <c r="B73" t="s">
        <v>33</v>
      </c>
      <c r="C73">
        <v>12</v>
      </c>
      <c r="D73" s="102" t="s">
        <v>1386</v>
      </c>
      <c r="E73" s="44">
        <v>1071664</v>
      </c>
      <c r="F73" s="44">
        <v>675000</v>
      </c>
      <c r="G73" s="44">
        <v>270000</v>
      </c>
      <c r="H73" s="44">
        <v>95790</v>
      </c>
      <c r="I73" s="44">
        <v>56250</v>
      </c>
    </row>
    <row r="74" spans="1:9" x14ac:dyDescent="0.3">
      <c r="A74" t="s">
        <v>91</v>
      </c>
      <c r="B74" t="s">
        <v>1223</v>
      </c>
      <c r="C74">
        <v>11</v>
      </c>
      <c r="D74" s="102" t="s">
        <v>1386</v>
      </c>
      <c r="E74" s="44">
        <v>162901</v>
      </c>
      <c r="F74" s="44">
        <v>834133.33333333326</v>
      </c>
      <c r="G74" s="44">
        <v>333653.33333333331</v>
      </c>
      <c r="H74" s="44">
        <v>38357</v>
      </c>
      <c r="I74" s="44">
        <v>75830.303030303025</v>
      </c>
    </row>
    <row r="75" spans="1:9" x14ac:dyDescent="0.3">
      <c r="A75" t="s">
        <v>91</v>
      </c>
      <c r="B75" t="s">
        <v>1244</v>
      </c>
      <c r="C75">
        <v>11</v>
      </c>
      <c r="D75" s="102" t="s">
        <v>1386</v>
      </c>
      <c r="E75" s="44">
        <v>420800</v>
      </c>
      <c r="F75" s="44">
        <v>6050989.666666667</v>
      </c>
      <c r="G75" s="44">
        <v>2722945.35</v>
      </c>
      <c r="H75" s="44">
        <v>327855</v>
      </c>
      <c r="I75" s="44">
        <v>550089.96969696973</v>
      </c>
    </row>
    <row r="76" spans="1:9" x14ac:dyDescent="0.3">
      <c r="A76" t="s">
        <v>91</v>
      </c>
      <c r="B76" t="s">
        <v>1241</v>
      </c>
      <c r="C76">
        <v>11</v>
      </c>
      <c r="D76" s="102" t="s">
        <v>1386</v>
      </c>
      <c r="E76" s="44">
        <v>188518</v>
      </c>
      <c r="F76" s="44">
        <v>587133.33333333326</v>
      </c>
      <c r="G76" s="44">
        <v>234853.33333333331</v>
      </c>
      <c r="H76" s="44">
        <v>25920</v>
      </c>
      <c r="I76" s="44">
        <v>53375.757575757569</v>
      </c>
    </row>
    <row r="77" spans="1:9" x14ac:dyDescent="0.3">
      <c r="A77" t="s">
        <v>91</v>
      </c>
      <c r="B77" t="s">
        <v>1238</v>
      </c>
      <c r="C77">
        <v>13</v>
      </c>
      <c r="D77" s="102" t="s">
        <v>1386</v>
      </c>
      <c r="E77" s="44">
        <v>275285</v>
      </c>
      <c r="F77" s="44">
        <v>4650133.333333333</v>
      </c>
      <c r="G77" s="44">
        <v>1860053.3333333333</v>
      </c>
      <c r="H77" s="44">
        <v>64040</v>
      </c>
      <c r="I77" s="44">
        <v>357702.56410256407</v>
      </c>
    </row>
    <row r="78" spans="1:9" x14ac:dyDescent="0.3">
      <c r="A78" t="s">
        <v>150</v>
      </c>
      <c r="B78" t="s">
        <v>35</v>
      </c>
      <c r="C78" t="s">
        <v>1386</v>
      </c>
      <c r="D78" s="102" t="s">
        <v>1386</v>
      </c>
      <c r="E78" s="44">
        <v>3058162</v>
      </c>
      <c r="F78" s="44">
        <v>0</v>
      </c>
      <c r="G78" s="44">
        <v>0</v>
      </c>
      <c r="H78" s="44">
        <v>520349</v>
      </c>
      <c r="I78" s="44" t="e">
        <v>#DIV/0!</v>
      </c>
    </row>
    <row r="79" spans="1:9" x14ac:dyDescent="0.3">
      <c r="A79" t="s">
        <v>75</v>
      </c>
      <c r="B79" t="s">
        <v>29</v>
      </c>
      <c r="C79">
        <v>20</v>
      </c>
      <c r="D79" s="102" t="s">
        <v>1386</v>
      </c>
      <c r="E79" s="44">
        <v>16465883</v>
      </c>
      <c r="F79" s="44">
        <v>7362783.54</v>
      </c>
      <c r="G79" s="44">
        <v>2945113.4160000002</v>
      </c>
      <c r="H79" s="44">
        <v>864628</v>
      </c>
      <c r="I79" s="44">
        <v>368139.17700000003</v>
      </c>
    </row>
    <row r="80" spans="1:9" ht="345.6" x14ac:dyDescent="0.3">
      <c r="A80" t="s">
        <v>75</v>
      </c>
      <c r="B80" t="s">
        <v>29</v>
      </c>
      <c r="C80">
        <v>17</v>
      </c>
      <c r="D80" s="102" t="s">
        <v>931</v>
      </c>
      <c r="E80" s="44">
        <v>16350883</v>
      </c>
      <c r="F80" s="44">
        <v>7362783.54</v>
      </c>
      <c r="G80" s="44">
        <v>2945113.4160000002</v>
      </c>
      <c r="H80" s="44">
        <v>1477881</v>
      </c>
      <c r="I80" s="44">
        <v>433104.91411764704</v>
      </c>
    </row>
    <row r="81" spans="1:9" x14ac:dyDescent="0.3">
      <c r="A81" t="s">
        <v>100</v>
      </c>
      <c r="B81" t="s">
        <v>28</v>
      </c>
      <c r="C81">
        <v>12</v>
      </c>
      <c r="D81" s="102" t="s">
        <v>1386</v>
      </c>
      <c r="E81" s="44">
        <v>5415000</v>
      </c>
      <c r="F81" s="44">
        <v>7008304</v>
      </c>
      <c r="G81" s="44">
        <v>2803321.6</v>
      </c>
      <c r="H81" s="44">
        <v>518873</v>
      </c>
      <c r="I81" s="44">
        <v>584025.33333333337</v>
      </c>
    </row>
    <row r="82" spans="1:9" x14ac:dyDescent="0.3">
      <c r="A82" t="s">
        <v>128</v>
      </c>
      <c r="B82" t="s">
        <v>30</v>
      </c>
      <c r="C82">
        <v>6</v>
      </c>
      <c r="D82" s="102" t="s">
        <v>1386</v>
      </c>
      <c r="E82" s="44">
        <v>8800000</v>
      </c>
      <c r="F82" s="44">
        <v>22502431</v>
      </c>
      <c r="G82" s="44">
        <v>0</v>
      </c>
      <c r="H82" s="44">
        <v>379664</v>
      </c>
      <c r="I82" s="44">
        <v>3750405.1666666665</v>
      </c>
    </row>
    <row r="83" spans="1:9" x14ac:dyDescent="0.3">
      <c r="A83" t="s">
        <v>128</v>
      </c>
      <c r="B83" t="s">
        <v>30</v>
      </c>
      <c r="C83">
        <v>8</v>
      </c>
      <c r="D83" s="102" t="s">
        <v>1386</v>
      </c>
      <c r="E83" s="44">
        <v>8800000</v>
      </c>
      <c r="F83" s="44">
        <v>4816984</v>
      </c>
      <c r="G83" s="44">
        <v>2167642.8000000003</v>
      </c>
      <c r="H83" s="44">
        <v>389145</v>
      </c>
      <c r="I83" s="44">
        <v>602123</v>
      </c>
    </row>
    <row r="84" spans="1:9" x14ac:dyDescent="0.3">
      <c r="A84" t="s">
        <v>140</v>
      </c>
      <c r="B84" t="s">
        <v>35</v>
      </c>
      <c r="C84">
        <v>11</v>
      </c>
      <c r="D84" s="102" t="s">
        <v>1386</v>
      </c>
      <c r="E84" s="44">
        <v>2587355</v>
      </c>
      <c r="F84" s="44">
        <v>2837152.5</v>
      </c>
      <c r="G84" s="44">
        <v>1134861</v>
      </c>
      <c r="H84" s="44">
        <v>223571</v>
      </c>
      <c r="I84" s="44">
        <v>257922.95454545456</v>
      </c>
    </row>
    <row r="85" spans="1:9" x14ac:dyDescent="0.3">
      <c r="A85" t="s">
        <v>89</v>
      </c>
      <c r="B85" t="s">
        <v>31</v>
      </c>
      <c r="C85">
        <v>8</v>
      </c>
      <c r="D85" s="102" t="s">
        <v>1386</v>
      </c>
      <c r="E85" s="44">
        <v>3650000</v>
      </c>
      <c r="F85" s="44">
        <v>1576640</v>
      </c>
      <c r="G85" s="44">
        <v>630656</v>
      </c>
      <c r="H85" s="44">
        <v>1194783</v>
      </c>
      <c r="I85" s="44">
        <v>197080</v>
      </c>
    </row>
    <row r="86" spans="1:9" x14ac:dyDescent="0.3">
      <c r="A86" t="s">
        <v>89</v>
      </c>
      <c r="B86" t="s">
        <v>30</v>
      </c>
      <c r="C86">
        <v>4</v>
      </c>
      <c r="D86" s="102" t="s">
        <v>1386</v>
      </c>
      <c r="E86" s="44">
        <v>6941887</v>
      </c>
      <c r="F86" s="44">
        <v>943495.4</v>
      </c>
      <c r="G86" s="44">
        <v>424572.93</v>
      </c>
      <c r="H86" s="44">
        <v>882971</v>
      </c>
      <c r="I86" s="44">
        <v>235873.85</v>
      </c>
    </row>
    <row r="87" spans="1:9" x14ac:dyDescent="0.3">
      <c r="A87" t="s">
        <v>179</v>
      </c>
      <c r="B87" t="s">
        <v>35</v>
      </c>
      <c r="C87">
        <v>11</v>
      </c>
      <c r="D87" s="102" t="s">
        <v>1386</v>
      </c>
      <c r="E87" s="44">
        <v>2587355</v>
      </c>
      <c r="F87" s="44">
        <v>2186056.5</v>
      </c>
      <c r="G87" s="44">
        <v>874422.60000000009</v>
      </c>
      <c r="H87" s="44">
        <v>291732</v>
      </c>
      <c r="I87" s="44">
        <v>198732.40909090909</v>
      </c>
    </row>
    <row r="88" spans="1:9" x14ac:dyDescent="0.3">
      <c r="A88" t="s">
        <v>149</v>
      </c>
      <c r="B88" t="s">
        <v>35</v>
      </c>
      <c r="C88">
        <v>11</v>
      </c>
      <c r="D88" s="102" t="s">
        <v>1386</v>
      </c>
      <c r="E88" s="44">
        <v>2587355</v>
      </c>
      <c r="F88" s="44">
        <v>2273677.5</v>
      </c>
      <c r="G88" s="44">
        <v>909471</v>
      </c>
      <c r="H88" s="44">
        <v>302952</v>
      </c>
      <c r="I88" s="44">
        <v>206697.95454545456</v>
      </c>
    </row>
    <row r="89" spans="1:9" x14ac:dyDescent="0.3">
      <c r="A89" t="s">
        <v>85</v>
      </c>
      <c r="B89" t="s">
        <v>35</v>
      </c>
      <c r="C89">
        <v>14</v>
      </c>
      <c r="D89" s="102" t="s">
        <v>1386</v>
      </c>
      <c r="E89" s="44">
        <v>2587355</v>
      </c>
      <c r="F89" s="44">
        <v>15191773.5</v>
      </c>
      <c r="G89" s="44">
        <v>6076709.4000000004</v>
      </c>
      <c r="H89" s="44">
        <v>223571</v>
      </c>
      <c r="I89" s="44">
        <v>1085126.6785714286</v>
      </c>
    </row>
    <row r="90" spans="1:9" x14ac:dyDescent="0.3">
      <c r="A90" t="s">
        <v>58</v>
      </c>
      <c r="B90" t="s">
        <v>28</v>
      </c>
      <c r="C90">
        <v>16</v>
      </c>
      <c r="D90" s="102" t="s">
        <v>1386</v>
      </c>
      <c r="E90" s="44"/>
      <c r="F90" s="44">
        <v>16245177</v>
      </c>
      <c r="G90" s="44">
        <v>6498070.8000000007</v>
      </c>
      <c r="H90" s="44"/>
      <c r="I90" s="44">
        <v>1015323.5625</v>
      </c>
    </row>
    <row r="91" spans="1:9" x14ac:dyDescent="0.3">
      <c r="A91" t="s">
        <v>58</v>
      </c>
      <c r="B91" t="s">
        <v>28</v>
      </c>
      <c r="C91">
        <v>18</v>
      </c>
      <c r="D91" s="102" t="s">
        <v>1386</v>
      </c>
      <c r="E91" s="44">
        <v>18831680</v>
      </c>
      <c r="F91" s="44">
        <v>93756678.099999994</v>
      </c>
      <c r="G91" s="44">
        <v>37502671.240000002</v>
      </c>
      <c r="H91" s="44">
        <v>2459926</v>
      </c>
      <c r="I91" s="44">
        <v>5208704.3388888882</v>
      </c>
    </row>
    <row r="92" spans="1:9" x14ac:dyDescent="0.3">
      <c r="A92" t="s">
        <v>95</v>
      </c>
      <c r="B92" t="s">
        <v>30</v>
      </c>
      <c r="C92">
        <v>9</v>
      </c>
      <c r="D92" s="102" t="s">
        <v>1386</v>
      </c>
      <c r="E92" s="44">
        <v>7091000</v>
      </c>
      <c r="F92" s="44">
        <v>11561014</v>
      </c>
      <c r="G92" s="44">
        <v>5202456.3</v>
      </c>
      <c r="H92" s="44">
        <v>510888</v>
      </c>
      <c r="I92" s="44">
        <v>1284557.111111111</v>
      </c>
    </row>
    <row r="93" spans="1:9" x14ac:dyDescent="0.3">
      <c r="A93" t="s">
        <v>95</v>
      </c>
      <c r="B93" t="s">
        <v>33</v>
      </c>
      <c r="C93">
        <v>9</v>
      </c>
      <c r="D93" s="102" t="s">
        <v>1386</v>
      </c>
      <c r="E93" s="44">
        <v>1197250</v>
      </c>
      <c r="F93" s="44">
        <v>2973746</v>
      </c>
      <c r="G93" s="44">
        <v>1189498.4000000001</v>
      </c>
      <c r="H93" s="44">
        <v>247788</v>
      </c>
      <c r="I93" s="44">
        <v>330416.22222222225</v>
      </c>
    </row>
    <row r="94" spans="1:9" x14ac:dyDescent="0.3">
      <c r="A94" t="s">
        <v>95</v>
      </c>
      <c r="B94" t="s">
        <v>33</v>
      </c>
      <c r="C94" t="s">
        <v>1386</v>
      </c>
      <c r="D94" s="102" t="s">
        <v>1386</v>
      </c>
      <c r="E94" s="44">
        <v>1197250</v>
      </c>
      <c r="F94" s="44">
        <v>0</v>
      </c>
      <c r="G94" s="44">
        <v>0</v>
      </c>
      <c r="H94" s="44">
        <v>217071</v>
      </c>
      <c r="I94" s="44" t="e">
        <v>#DIV/0!</v>
      </c>
    </row>
    <row r="95" spans="1:9" x14ac:dyDescent="0.3">
      <c r="A95" t="s">
        <v>116</v>
      </c>
      <c r="B95" t="s">
        <v>691</v>
      </c>
      <c r="C95">
        <v>8</v>
      </c>
      <c r="D95" s="102" t="s">
        <v>1386</v>
      </c>
      <c r="E95" s="44">
        <v>8002112</v>
      </c>
      <c r="F95" s="44">
        <v>2647002</v>
      </c>
      <c r="G95" s="44">
        <v>1058800.8</v>
      </c>
      <c r="H95" s="44">
        <v>497587</v>
      </c>
      <c r="I95" s="44">
        <v>330875.25</v>
      </c>
    </row>
    <row r="96" spans="1:9" x14ac:dyDescent="0.3">
      <c r="A96" t="s">
        <v>77</v>
      </c>
      <c r="B96" t="s">
        <v>409</v>
      </c>
      <c r="C96">
        <v>8</v>
      </c>
      <c r="D96" s="102" t="s">
        <v>1386</v>
      </c>
      <c r="E96" s="44">
        <v>2076170</v>
      </c>
      <c r="F96" s="44">
        <v>1235121.55</v>
      </c>
      <c r="G96" s="44">
        <v>494048.62000000005</v>
      </c>
      <c r="H96" s="44">
        <v>113459</v>
      </c>
      <c r="I96" s="44">
        <v>154390.19375000001</v>
      </c>
    </row>
    <row r="97" spans="1:9" x14ac:dyDescent="0.3">
      <c r="A97" t="s">
        <v>115</v>
      </c>
      <c r="B97" t="s">
        <v>691</v>
      </c>
      <c r="C97">
        <v>6</v>
      </c>
      <c r="D97" s="102" t="s">
        <v>1386</v>
      </c>
      <c r="E97" s="44">
        <v>18824399</v>
      </c>
      <c r="F97" s="44">
        <v>5158999.5561303068</v>
      </c>
      <c r="G97" s="44">
        <v>2063599.8224521228</v>
      </c>
      <c r="H97" s="44">
        <v>1550725</v>
      </c>
      <c r="I97" s="44">
        <v>859833.25935505109</v>
      </c>
    </row>
    <row r="98" spans="1:9" x14ac:dyDescent="0.3">
      <c r="A98" t="s">
        <v>56</v>
      </c>
      <c r="B98" t="s">
        <v>35</v>
      </c>
      <c r="C98" t="s">
        <v>1386</v>
      </c>
      <c r="D98" s="102" t="s">
        <v>1386</v>
      </c>
      <c r="E98" s="44">
        <v>2915000</v>
      </c>
      <c r="F98" s="44">
        <v>0</v>
      </c>
      <c r="G98" s="44">
        <v>0</v>
      </c>
      <c r="H98" s="44">
        <v>295221</v>
      </c>
      <c r="I98" s="44" t="e">
        <v>#DIV/0!</v>
      </c>
    </row>
    <row r="99" spans="1:9" x14ac:dyDescent="0.3">
      <c r="A99" t="s">
        <v>56</v>
      </c>
      <c r="B99" t="s">
        <v>1087</v>
      </c>
      <c r="C99">
        <v>6</v>
      </c>
      <c r="D99" s="102" t="s">
        <v>1386</v>
      </c>
      <c r="E99" s="44">
        <v>483475</v>
      </c>
      <c r="F99" s="44">
        <v>573391</v>
      </c>
      <c r="G99" s="44">
        <v>229356.40000000002</v>
      </c>
      <c r="H99" s="44">
        <v>143250</v>
      </c>
      <c r="I99" s="44">
        <v>95565.166666666672</v>
      </c>
    </row>
    <row r="100" spans="1:9" x14ac:dyDescent="0.3">
      <c r="A100" t="s">
        <v>156</v>
      </c>
      <c r="B100" t="s">
        <v>507</v>
      </c>
      <c r="C100" t="s">
        <v>1386</v>
      </c>
      <c r="D100" s="102" t="s">
        <v>1386</v>
      </c>
      <c r="E100" s="44">
        <v>4978744</v>
      </c>
      <c r="F100" s="44">
        <v>0</v>
      </c>
      <c r="G100" s="44">
        <v>0</v>
      </c>
      <c r="H100" s="44">
        <v>475751</v>
      </c>
      <c r="I100" s="44" t="e">
        <v>#DIV/0!</v>
      </c>
    </row>
    <row r="101" spans="1:9" x14ac:dyDescent="0.3">
      <c r="A101" t="s">
        <v>156</v>
      </c>
      <c r="B101" t="s">
        <v>829</v>
      </c>
      <c r="C101">
        <v>23</v>
      </c>
      <c r="D101" s="102" t="s">
        <v>1386</v>
      </c>
      <c r="E101" s="44">
        <v>200000</v>
      </c>
      <c r="F101" s="44">
        <v>839375</v>
      </c>
      <c r="G101" s="44">
        <v>335750</v>
      </c>
      <c r="H101" s="44">
        <v>96304</v>
      </c>
      <c r="I101" s="44">
        <v>36494.565217391304</v>
      </c>
    </row>
    <row r="102" spans="1:9" x14ac:dyDescent="0.3">
      <c r="A102" t="s">
        <v>156</v>
      </c>
      <c r="B102" t="s">
        <v>829</v>
      </c>
      <c r="C102">
        <v>24</v>
      </c>
      <c r="D102" s="102" t="s">
        <v>1386</v>
      </c>
      <c r="E102" s="44">
        <v>200000</v>
      </c>
      <c r="F102" s="44">
        <v>839375</v>
      </c>
      <c r="G102" s="44">
        <v>335750</v>
      </c>
      <c r="H102" s="44">
        <v>96304</v>
      </c>
      <c r="I102" s="44">
        <v>34973.958333333336</v>
      </c>
    </row>
    <row r="103" spans="1:9" x14ac:dyDescent="0.3">
      <c r="A103" t="s">
        <v>57</v>
      </c>
      <c r="B103" t="s">
        <v>848</v>
      </c>
      <c r="C103">
        <v>9</v>
      </c>
      <c r="D103" s="102" t="s">
        <v>1386</v>
      </c>
      <c r="E103" s="44">
        <v>1790491</v>
      </c>
      <c r="F103" s="44">
        <v>1530000</v>
      </c>
      <c r="G103" s="44">
        <v>382500</v>
      </c>
      <c r="H103" s="44">
        <v>243750</v>
      </c>
      <c r="I103" s="44">
        <v>170000</v>
      </c>
    </row>
    <row r="104" spans="1:9" x14ac:dyDescent="0.3">
      <c r="A104" t="s">
        <v>69</v>
      </c>
      <c r="B104" t="s">
        <v>402</v>
      </c>
      <c r="C104">
        <v>11</v>
      </c>
      <c r="D104" s="102" t="s">
        <v>1386</v>
      </c>
      <c r="E104" s="44">
        <v>3432757</v>
      </c>
      <c r="F104" s="44">
        <v>1304728.8400000001</v>
      </c>
      <c r="G104" s="44">
        <v>521891.53600000008</v>
      </c>
      <c r="H104" s="44">
        <v>214221</v>
      </c>
      <c r="I104" s="44">
        <v>118611.71272727274</v>
      </c>
    </row>
    <row r="105" spans="1:9" x14ac:dyDescent="0.3">
      <c r="A105" t="s">
        <v>120</v>
      </c>
      <c r="B105" t="s">
        <v>31</v>
      </c>
      <c r="C105">
        <v>9</v>
      </c>
      <c r="D105" s="102" t="s">
        <v>1386</v>
      </c>
      <c r="E105" s="44">
        <v>4171088</v>
      </c>
      <c r="F105" s="44">
        <v>11412479.166666666</v>
      </c>
      <c r="G105" s="44">
        <v>4564991.666666667</v>
      </c>
      <c r="H105" s="44">
        <v>1012173</v>
      </c>
      <c r="I105" s="44">
        <v>1268053.2407407407</v>
      </c>
    </row>
    <row r="106" spans="1:9" x14ac:dyDescent="0.3">
      <c r="A106" t="s">
        <v>120</v>
      </c>
      <c r="B106" t="s">
        <v>36</v>
      </c>
      <c r="C106">
        <v>19</v>
      </c>
      <c r="D106" s="102" t="s">
        <v>1386</v>
      </c>
      <c r="E106" s="44">
        <v>4115000</v>
      </c>
      <c r="F106" s="44">
        <v>14047028.5</v>
      </c>
      <c r="G106" s="44">
        <v>6321162.8250000002</v>
      </c>
      <c r="H106" s="44">
        <v>283560</v>
      </c>
      <c r="I106" s="44">
        <v>739317.28947368416</v>
      </c>
    </row>
    <row r="107" spans="1:9" x14ac:dyDescent="0.3">
      <c r="A107" t="s">
        <v>120</v>
      </c>
      <c r="B107" t="s">
        <v>33</v>
      </c>
      <c r="C107">
        <v>18</v>
      </c>
      <c r="D107" s="102" t="s">
        <v>1386</v>
      </c>
      <c r="E107" s="44">
        <v>1071000</v>
      </c>
      <c r="F107" s="44">
        <v>1752750</v>
      </c>
      <c r="G107" s="44">
        <v>701100</v>
      </c>
      <c r="H107" s="44">
        <v>98797</v>
      </c>
      <c r="I107" s="44">
        <v>97375</v>
      </c>
    </row>
    <row r="108" spans="1:9" x14ac:dyDescent="0.3">
      <c r="A108" t="s">
        <v>121</v>
      </c>
      <c r="B108" t="s">
        <v>36</v>
      </c>
      <c r="C108">
        <v>14</v>
      </c>
      <c r="D108" s="102" t="s">
        <v>1386</v>
      </c>
      <c r="E108" s="44">
        <v>4115000</v>
      </c>
      <c r="F108" s="44">
        <v>10801441.25</v>
      </c>
      <c r="G108" s="44">
        <v>4860648.5625</v>
      </c>
      <c r="H108" s="44">
        <v>216625</v>
      </c>
      <c r="I108" s="44">
        <v>771531.51785714284</v>
      </c>
    </row>
    <row r="109" spans="1:9" x14ac:dyDescent="0.3">
      <c r="A109" t="s">
        <v>121</v>
      </c>
      <c r="B109" t="s">
        <v>33</v>
      </c>
      <c r="C109">
        <v>18</v>
      </c>
      <c r="D109" s="102" t="s">
        <v>1386</v>
      </c>
      <c r="E109" s="44">
        <v>1065000</v>
      </c>
      <c r="F109" s="44">
        <v>1752750</v>
      </c>
      <c r="G109" s="44">
        <v>701100</v>
      </c>
      <c r="H109" s="44">
        <v>88427</v>
      </c>
      <c r="I109" s="44">
        <v>97375</v>
      </c>
    </row>
    <row r="110" spans="1:9" x14ac:dyDescent="0.3">
      <c r="A110" t="s">
        <v>121</v>
      </c>
      <c r="B110" t="s">
        <v>371</v>
      </c>
      <c r="C110">
        <v>9</v>
      </c>
      <c r="D110" s="102" t="s">
        <v>1386</v>
      </c>
      <c r="E110" s="44">
        <v>4171088</v>
      </c>
      <c r="F110" s="44">
        <v>11412479.166666666</v>
      </c>
      <c r="G110" s="44">
        <v>4564991.666666667</v>
      </c>
      <c r="H110" s="44">
        <v>1012173</v>
      </c>
      <c r="I110" s="44">
        <v>1268053.2407407407</v>
      </c>
    </row>
    <row r="111" spans="1:9" x14ac:dyDescent="0.3">
      <c r="A111" t="s">
        <v>124</v>
      </c>
      <c r="B111" t="s">
        <v>36</v>
      </c>
      <c r="C111">
        <v>14</v>
      </c>
      <c r="D111" s="102" t="s">
        <v>1386</v>
      </c>
      <c r="E111" s="44">
        <v>4115000</v>
      </c>
      <c r="F111" s="44">
        <v>10801441.25</v>
      </c>
      <c r="G111" s="44">
        <v>4860648.5625</v>
      </c>
      <c r="H111" s="44">
        <v>220363</v>
      </c>
      <c r="I111" s="44">
        <v>771531.51785714284</v>
      </c>
    </row>
    <row r="112" spans="1:9" x14ac:dyDescent="0.3">
      <c r="A112" t="s">
        <v>124</v>
      </c>
      <c r="B112" t="s">
        <v>33</v>
      </c>
      <c r="C112">
        <v>18</v>
      </c>
      <c r="D112" s="102" t="s">
        <v>1386</v>
      </c>
      <c r="E112" s="44">
        <v>1065000</v>
      </c>
      <c r="F112" s="44">
        <v>1752750</v>
      </c>
      <c r="G112" s="44">
        <v>701100</v>
      </c>
      <c r="H112" s="44">
        <v>87448</v>
      </c>
      <c r="I112" s="44">
        <v>97375</v>
      </c>
    </row>
    <row r="113" spans="1:9" x14ac:dyDescent="0.3">
      <c r="A113" t="s">
        <v>124</v>
      </c>
      <c r="B113" t="s">
        <v>371</v>
      </c>
      <c r="C113">
        <v>9</v>
      </c>
      <c r="D113" s="102" t="s">
        <v>1386</v>
      </c>
      <c r="E113" s="44">
        <v>4171088</v>
      </c>
      <c r="F113" s="44">
        <v>11412479.166666666</v>
      </c>
      <c r="G113" s="44">
        <v>4564991.666666667</v>
      </c>
      <c r="H113" s="44">
        <v>1012173</v>
      </c>
      <c r="I113" s="44">
        <v>1268053.2407407407</v>
      </c>
    </row>
    <row r="114" spans="1:9" x14ac:dyDescent="0.3">
      <c r="A114" t="s">
        <v>124</v>
      </c>
      <c r="B114" t="s">
        <v>377</v>
      </c>
      <c r="C114">
        <v>3</v>
      </c>
      <c r="D114" s="102" t="s">
        <v>1386</v>
      </c>
      <c r="E114" s="44">
        <v>18188372</v>
      </c>
      <c r="F114" s="44">
        <v>7894812.5</v>
      </c>
      <c r="G114" s="44">
        <v>0</v>
      </c>
      <c r="H114" s="44">
        <v>1484753</v>
      </c>
      <c r="I114" s="44">
        <v>2631604.1666666665</v>
      </c>
    </row>
    <row r="115" spans="1:9" x14ac:dyDescent="0.3">
      <c r="A115" t="s">
        <v>122</v>
      </c>
      <c r="B115" t="s">
        <v>36</v>
      </c>
      <c r="C115">
        <v>14</v>
      </c>
      <c r="D115" s="102" t="s">
        <v>1386</v>
      </c>
      <c r="E115" s="44">
        <v>4115000</v>
      </c>
      <c r="F115" s="44">
        <v>10801441.25</v>
      </c>
      <c r="G115" s="44">
        <v>4860648.5625</v>
      </c>
      <c r="H115" s="44">
        <v>195417</v>
      </c>
      <c r="I115" s="44">
        <v>771531.51785714284</v>
      </c>
    </row>
    <row r="116" spans="1:9" x14ac:dyDescent="0.3">
      <c r="A116" t="s">
        <v>123</v>
      </c>
      <c r="B116" t="s">
        <v>33</v>
      </c>
      <c r="C116">
        <v>18</v>
      </c>
      <c r="D116" s="102" t="s">
        <v>1386</v>
      </c>
      <c r="E116" s="44">
        <v>1055000</v>
      </c>
      <c r="F116" s="44">
        <v>1752750</v>
      </c>
      <c r="G116" s="44">
        <v>701100</v>
      </c>
      <c r="H116" s="44">
        <v>88427</v>
      </c>
      <c r="I116" s="44">
        <v>97375</v>
      </c>
    </row>
    <row r="117" spans="1:9" x14ac:dyDescent="0.3">
      <c r="A117" t="s">
        <v>90</v>
      </c>
      <c r="B117" t="s">
        <v>35</v>
      </c>
      <c r="C117">
        <v>8</v>
      </c>
      <c r="D117" s="102" t="s">
        <v>1386</v>
      </c>
      <c r="E117" s="44">
        <v>2565000</v>
      </c>
      <c r="F117" s="44">
        <v>872400</v>
      </c>
      <c r="G117" s="44">
        <v>348960</v>
      </c>
      <c r="H117" s="44">
        <v>154595</v>
      </c>
      <c r="I117" s="44">
        <v>109050</v>
      </c>
    </row>
    <row r="118" spans="1:9" x14ac:dyDescent="0.3">
      <c r="A118" t="s">
        <v>73</v>
      </c>
      <c r="B118" t="s">
        <v>33</v>
      </c>
      <c r="C118">
        <v>11</v>
      </c>
      <c r="D118" s="102" t="s">
        <v>1386</v>
      </c>
      <c r="E118" s="44">
        <v>1000000</v>
      </c>
      <c r="F118" s="44">
        <v>1555085.1099999999</v>
      </c>
      <c r="G118" s="44">
        <v>622034.04399999999</v>
      </c>
      <c r="H118" s="44">
        <v>60135</v>
      </c>
      <c r="I118" s="44">
        <v>141371.37363636363</v>
      </c>
    </row>
    <row r="119" spans="1:9" x14ac:dyDescent="0.3">
      <c r="A119" t="s">
        <v>132</v>
      </c>
      <c r="B119" t="s">
        <v>489</v>
      </c>
      <c r="C119">
        <v>11</v>
      </c>
      <c r="D119" s="102" t="s">
        <v>1386</v>
      </c>
      <c r="E119" s="44">
        <v>2100000</v>
      </c>
      <c r="F119" s="44">
        <v>1262500</v>
      </c>
      <c r="G119" s="44">
        <v>505000</v>
      </c>
      <c r="H119" s="44">
        <v>125042</v>
      </c>
      <c r="I119" s="44">
        <v>114772.72727272728</v>
      </c>
    </row>
    <row r="120" spans="1:9" x14ac:dyDescent="0.3">
      <c r="A120" t="s">
        <v>101</v>
      </c>
      <c r="B120" t="s">
        <v>985</v>
      </c>
      <c r="C120" t="s">
        <v>1386</v>
      </c>
      <c r="D120" s="102" t="s">
        <v>1386</v>
      </c>
      <c r="E120" s="44">
        <v>4910685</v>
      </c>
      <c r="F120" s="44">
        <v>0</v>
      </c>
      <c r="G120" s="44">
        <v>0</v>
      </c>
      <c r="H120" s="44">
        <v>330776</v>
      </c>
      <c r="I120" s="44" t="e">
        <v>#DIV/0!</v>
      </c>
    </row>
    <row r="121" spans="1:9" x14ac:dyDescent="0.3">
      <c r="A121" t="s">
        <v>101</v>
      </c>
      <c r="B121" t="s">
        <v>30</v>
      </c>
      <c r="C121">
        <v>8</v>
      </c>
      <c r="D121" s="102" t="s">
        <v>1386</v>
      </c>
      <c r="E121" s="44">
        <v>7115000</v>
      </c>
      <c r="F121" s="44">
        <v>3051548.45</v>
      </c>
      <c r="G121" s="44">
        <v>0</v>
      </c>
      <c r="H121" s="44">
        <v>554232</v>
      </c>
      <c r="I121" s="44">
        <v>381443.55625000002</v>
      </c>
    </row>
    <row r="122" spans="1:9" x14ac:dyDescent="0.3">
      <c r="A122" t="s">
        <v>101</v>
      </c>
      <c r="B122" t="s">
        <v>30</v>
      </c>
      <c r="C122">
        <v>12</v>
      </c>
      <c r="D122" s="102" t="s">
        <v>1386</v>
      </c>
      <c r="E122" s="44">
        <v>7115000</v>
      </c>
      <c r="F122" s="44">
        <v>6489789.4500000002</v>
      </c>
      <c r="G122" s="44">
        <v>2920405.2524999999</v>
      </c>
      <c r="H122" s="44">
        <v>624712</v>
      </c>
      <c r="I122" s="44">
        <v>540815.78749999998</v>
      </c>
    </row>
    <row r="123" spans="1:9" x14ac:dyDescent="0.3">
      <c r="A123" t="s">
        <v>65</v>
      </c>
      <c r="B123" t="s">
        <v>402</v>
      </c>
      <c r="C123">
        <v>12</v>
      </c>
      <c r="D123" s="102" t="s">
        <v>1386</v>
      </c>
      <c r="E123" s="44">
        <v>3432757</v>
      </c>
      <c r="F123" s="44">
        <v>3089410</v>
      </c>
      <c r="G123" s="44">
        <v>1235764</v>
      </c>
      <c r="H123" s="44">
        <v>251530</v>
      </c>
      <c r="I123" s="44">
        <v>257450.83333333334</v>
      </c>
    </row>
    <row r="124" spans="1:9" x14ac:dyDescent="0.3">
      <c r="A124" t="s">
        <v>87</v>
      </c>
      <c r="B124" t="s">
        <v>31</v>
      </c>
      <c r="C124">
        <v>13</v>
      </c>
      <c r="D124" s="102" t="s">
        <v>1386</v>
      </c>
      <c r="E124" s="44">
        <v>4715000</v>
      </c>
      <c r="F124" s="44">
        <v>6824828</v>
      </c>
      <c r="G124" s="44">
        <v>2729931.2</v>
      </c>
      <c r="H124" s="44">
        <v>551283</v>
      </c>
      <c r="I124" s="44">
        <v>524986.76923076925</v>
      </c>
    </row>
    <row r="125" spans="1:9" x14ac:dyDescent="0.3">
      <c r="A125" t="s">
        <v>172</v>
      </c>
      <c r="B125" t="s">
        <v>436</v>
      </c>
      <c r="C125" t="s">
        <v>1386</v>
      </c>
      <c r="D125" s="102" t="s">
        <v>1386</v>
      </c>
      <c r="E125" s="44">
        <v>1500000</v>
      </c>
      <c r="F125" s="44">
        <v>0</v>
      </c>
      <c r="G125" s="44">
        <v>0</v>
      </c>
      <c r="H125" s="44">
        <v>100771</v>
      </c>
      <c r="I125" s="44" t="e">
        <v>#DIV/0!</v>
      </c>
    </row>
    <row r="126" spans="1:9" x14ac:dyDescent="0.3">
      <c r="A126" t="s">
        <v>109</v>
      </c>
      <c r="B126" t="s">
        <v>35</v>
      </c>
      <c r="C126">
        <v>10</v>
      </c>
      <c r="D126" s="102" t="s">
        <v>1386</v>
      </c>
      <c r="E126" s="44">
        <v>2915000</v>
      </c>
      <c r="F126" s="44">
        <v>2563000</v>
      </c>
      <c r="G126" s="44">
        <v>1025200</v>
      </c>
      <c r="H126" s="44">
        <v>307062</v>
      </c>
      <c r="I126" s="44">
        <v>256300</v>
      </c>
    </row>
    <row r="127" spans="1:9" x14ac:dyDescent="0.3">
      <c r="A127" t="s">
        <v>117</v>
      </c>
      <c r="B127" t="s">
        <v>848</v>
      </c>
      <c r="C127">
        <v>11</v>
      </c>
      <c r="D127" s="102" t="s">
        <v>1386</v>
      </c>
      <c r="E127" s="44">
        <v>2270000</v>
      </c>
      <c r="F127" s="44">
        <v>2752000</v>
      </c>
      <c r="G127" s="44">
        <v>688000</v>
      </c>
      <c r="H127" s="44">
        <v>380500</v>
      </c>
      <c r="I127" s="44">
        <v>250181.81818181818</v>
      </c>
    </row>
    <row r="128" spans="1:9" x14ac:dyDescent="0.3">
      <c r="A128" t="s">
        <v>118</v>
      </c>
      <c r="B128" t="s">
        <v>31</v>
      </c>
      <c r="C128">
        <v>13</v>
      </c>
      <c r="D128" s="102" t="s">
        <v>1386</v>
      </c>
      <c r="E128" s="44">
        <v>3100000</v>
      </c>
      <c r="F128" s="44">
        <v>2491525.5</v>
      </c>
      <c r="G128" s="44">
        <v>996610.20000000007</v>
      </c>
      <c r="H128" s="44">
        <v>29400</v>
      </c>
      <c r="I128" s="44">
        <v>191655.80769230769</v>
      </c>
    </row>
    <row r="129" spans="1:9" x14ac:dyDescent="0.3">
      <c r="A129" t="s">
        <v>64</v>
      </c>
      <c r="B129" t="s">
        <v>679</v>
      </c>
      <c r="C129">
        <v>8</v>
      </c>
      <c r="D129" s="102" t="s">
        <v>1386</v>
      </c>
      <c r="E129" s="44">
        <v>3727984</v>
      </c>
      <c r="F129" s="44">
        <v>844500</v>
      </c>
      <c r="G129" s="44">
        <v>337800</v>
      </c>
      <c r="H129" s="44">
        <v>275624</v>
      </c>
      <c r="I129" s="44">
        <v>105562.5</v>
      </c>
    </row>
    <row r="130" spans="1:9" x14ac:dyDescent="0.3">
      <c r="A130" t="s">
        <v>67</v>
      </c>
      <c r="B130" t="s">
        <v>996</v>
      </c>
      <c r="C130">
        <v>20</v>
      </c>
      <c r="D130" s="102" t="s">
        <v>1386</v>
      </c>
      <c r="E130" s="44">
        <v>4100000</v>
      </c>
      <c r="F130" s="44">
        <v>10796715</v>
      </c>
      <c r="G130" s="44">
        <v>4858521.75</v>
      </c>
      <c r="H130" s="44">
        <v>163502</v>
      </c>
      <c r="I130" s="44">
        <v>539835.75</v>
      </c>
    </row>
    <row r="131" spans="1:9" x14ac:dyDescent="0.3">
      <c r="A131" t="s">
        <v>71</v>
      </c>
      <c r="B131" t="s">
        <v>35</v>
      </c>
      <c r="C131">
        <v>15</v>
      </c>
      <c r="D131" s="102" t="s">
        <v>1386</v>
      </c>
      <c r="E131" s="44">
        <v>2915000</v>
      </c>
      <c r="F131" s="44">
        <v>1592380</v>
      </c>
      <c r="G131" s="44">
        <v>636952</v>
      </c>
      <c r="H131" s="44">
        <v>305347</v>
      </c>
      <c r="I131" s="44">
        <v>106158.66666666667</v>
      </c>
    </row>
    <row r="132" spans="1:9" x14ac:dyDescent="0.3">
      <c r="A132" t="s">
        <v>81</v>
      </c>
      <c r="B132" t="s">
        <v>507</v>
      </c>
      <c r="C132">
        <v>5</v>
      </c>
      <c r="D132" s="102" t="s">
        <v>1386</v>
      </c>
      <c r="E132" s="44">
        <v>5662000</v>
      </c>
      <c r="F132" s="44">
        <v>1640327.8</v>
      </c>
      <c r="G132" s="44">
        <v>656131.12000000011</v>
      </c>
      <c r="H132" s="44">
        <v>319800</v>
      </c>
      <c r="I132" s="44">
        <v>328065.56</v>
      </c>
    </row>
    <row r="133" spans="1:9" x14ac:dyDescent="0.3">
      <c r="A133" t="s">
        <v>82</v>
      </c>
      <c r="B133" t="s">
        <v>485</v>
      </c>
      <c r="C133">
        <v>7</v>
      </c>
      <c r="D133" s="102" t="s">
        <v>1386</v>
      </c>
      <c r="E133" s="44">
        <v>14396400</v>
      </c>
      <c r="F133" s="44">
        <v>183240</v>
      </c>
      <c r="G133" s="44">
        <v>73296</v>
      </c>
      <c r="H133" s="44">
        <v>1127700</v>
      </c>
      <c r="I133" s="44">
        <v>26177.142857142859</v>
      </c>
    </row>
    <row r="134" spans="1:9" x14ac:dyDescent="0.3">
      <c r="A134" t="s">
        <v>86</v>
      </c>
      <c r="B134" t="s">
        <v>35</v>
      </c>
      <c r="C134">
        <v>8</v>
      </c>
      <c r="D134" s="102" t="s">
        <v>1386</v>
      </c>
      <c r="E134" s="44">
        <v>2615000</v>
      </c>
      <c r="F134" s="44">
        <v>1605015</v>
      </c>
      <c r="G134" s="44">
        <v>642006</v>
      </c>
      <c r="H134" s="44">
        <v>124814</v>
      </c>
      <c r="I134" s="44">
        <v>200626.875</v>
      </c>
    </row>
    <row r="135" spans="1:9" x14ac:dyDescent="0.3">
      <c r="A135" t="s">
        <v>92</v>
      </c>
      <c r="B135" t="s">
        <v>38</v>
      </c>
      <c r="C135">
        <v>7</v>
      </c>
      <c r="D135" s="102" t="s">
        <v>1386</v>
      </c>
      <c r="E135" s="44">
        <v>17326991</v>
      </c>
      <c r="F135" s="44">
        <v>4084000</v>
      </c>
      <c r="G135" s="44">
        <v>1633600</v>
      </c>
      <c r="H135" s="44">
        <v>1242200</v>
      </c>
      <c r="I135" s="44">
        <v>583428.57142857148</v>
      </c>
    </row>
    <row r="136" spans="1:9" x14ac:dyDescent="0.3">
      <c r="A136" t="s">
        <v>93</v>
      </c>
      <c r="B136" t="s">
        <v>35</v>
      </c>
      <c r="C136">
        <v>23</v>
      </c>
      <c r="D136" s="102" t="s">
        <v>1386</v>
      </c>
      <c r="E136" s="44">
        <v>2549913</v>
      </c>
      <c r="F136" s="44">
        <v>9859732</v>
      </c>
      <c r="G136" s="44">
        <v>3943892.8000000003</v>
      </c>
      <c r="H136" s="44">
        <v>237632</v>
      </c>
      <c r="I136" s="44">
        <v>428684</v>
      </c>
    </row>
    <row r="137" spans="1:9" x14ac:dyDescent="0.3">
      <c r="A137" t="s">
        <v>94</v>
      </c>
      <c r="B137" t="s">
        <v>1042</v>
      </c>
      <c r="C137">
        <v>5</v>
      </c>
      <c r="D137" s="102" t="s">
        <v>1386</v>
      </c>
      <c r="E137" s="44">
        <v>1515000</v>
      </c>
      <c r="F137" s="44">
        <v>779540</v>
      </c>
      <c r="G137" s="44">
        <v>311816</v>
      </c>
      <c r="H137" s="44">
        <v>109047</v>
      </c>
      <c r="I137" s="44">
        <v>155908</v>
      </c>
    </row>
    <row r="138" spans="1:9" x14ac:dyDescent="0.3">
      <c r="A138" t="s">
        <v>160</v>
      </c>
      <c r="B138" t="s">
        <v>691</v>
      </c>
      <c r="C138">
        <v>4</v>
      </c>
      <c r="D138" s="102" t="s">
        <v>1386</v>
      </c>
      <c r="E138" s="44">
        <v>13726374</v>
      </c>
      <c r="F138" s="44">
        <v>2026962</v>
      </c>
      <c r="G138" s="44">
        <v>810784.8</v>
      </c>
      <c r="H138" s="44">
        <v>979837</v>
      </c>
      <c r="I138" s="44">
        <v>506740.5</v>
      </c>
    </row>
    <row r="139" spans="1:9" x14ac:dyDescent="0.3">
      <c r="A139" t="s">
        <v>98</v>
      </c>
      <c r="B139" t="s">
        <v>475</v>
      </c>
      <c r="C139">
        <v>5</v>
      </c>
      <c r="D139" s="102" t="s">
        <v>1386</v>
      </c>
      <c r="E139" s="44">
        <v>14396400</v>
      </c>
      <c r="F139" s="44">
        <v>1686228</v>
      </c>
      <c r="G139" s="44">
        <v>674491.20000000007</v>
      </c>
      <c r="H139" s="44">
        <v>984486</v>
      </c>
      <c r="I139" s="44">
        <v>337245.6</v>
      </c>
    </row>
    <row r="140" spans="1:9" x14ac:dyDescent="0.3">
      <c r="A140" t="s">
        <v>106</v>
      </c>
      <c r="B140" t="s">
        <v>30</v>
      </c>
      <c r="C140">
        <v>5</v>
      </c>
      <c r="D140" s="102" t="s">
        <v>1386</v>
      </c>
      <c r="E140" s="44">
        <v>8800000</v>
      </c>
      <c r="F140" s="44">
        <v>4376854</v>
      </c>
      <c r="G140" s="44">
        <v>1969584.3</v>
      </c>
      <c r="H140" s="44">
        <v>513512</v>
      </c>
      <c r="I140" s="44">
        <v>875370.8</v>
      </c>
    </row>
    <row r="141" spans="1:9" x14ac:dyDescent="0.3">
      <c r="A141" t="s">
        <v>106</v>
      </c>
      <c r="B141" t="s">
        <v>691</v>
      </c>
      <c r="C141">
        <v>5</v>
      </c>
      <c r="D141" s="102" t="s">
        <v>1386</v>
      </c>
      <c r="E141" s="44">
        <v>6938187</v>
      </c>
      <c r="F141" s="44">
        <v>1700000</v>
      </c>
      <c r="G141" s="44">
        <v>0</v>
      </c>
      <c r="H141" s="44">
        <v>618263</v>
      </c>
      <c r="I141" s="44">
        <v>340000</v>
      </c>
    </row>
    <row r="142" spans="1:9" x14ac:dyDescent="0.3">
      <c r="A142" t="s">
        <v>173</v>
      </c>
      <c r="B142" t="s">
        <v>1195</v>
      </c>
      <c r="C142" t="s">
        <v>1386</v>
      </c>
      <c r="D142" s="102" t="s">
        <v>1386</v>
      </c>
      <c r="E142" s="44">
        <v>1272000</v>
      </c>
      <c r="F142" s="44">
        <v>0</v>
      </c>
      <c r="G142" s="44">
        <v>0</v>
      </c>
      <c r="H142" s="44">
        <v>350000</v>
      </c>
      <c r="I142" s="44" t="e">
        <v>#DIV/0!</v>
      </c>
    </row>
    <row r="143" spans="1:9" x14ac:dyDescent="0.3">
      <c r="A143" t="s">
        <v>177</v>
      </c>
      <c r="B143" t="s">
        <v>30</v>
      </c>
      <c r="C143">
        <v>16</v>
      </c>
      <c r="D143" s="102" t="s">
        <v>1386</v>
      </c>
      <c r="E143" s="44">
        <v>4335000</v>
      </c>
      <c r="F143" s="44">
        <v>1387354.57</v>
      </c>
      <c r="G143" s="44">
        <v>624309.55650000006</v>
      </c>
      <c r="H143" s="44">
        <v>272436</v>
      </c>
      <c r="I143" s="44">
        <v>86709.660625000004</v>
      </c>
    </row>
    <row r="144" spans="1:9" x14ac:dyDescent="0.3">
      <c r="A144" t="s">
        <v>83</v>
      </c>
      <c r="B144" t="s">
        <v>485</v>
      </c>
      <c r="C144">
        <v>9</v>
      </c>
      <c r="D144" s="102" t="s">
        <v>1386</v>
      </c>
      <c r="E144" s="44">
        <v>14446400</v>
      </c>
      <c r="F144" s="44">
        <v>1116500</v>
      </c>
      <c r="G144" s="44">
        <v>0</v>
      </c>
      <c r="H144" s="44">
        <v>855600</v>
      </c>
      <c r="I144" s="44">
        <v>124055.55555555556</v>
      </c>
    </row>
    <row r="145" spans="1:9" x14ac:dyDescent="0.3">
      <c r="A145" t="s">
        <v>146</v>
      </c>
      <c r="B145" t="s">
        <v>485</v>
      </c>
      <c r="C145">
        <v>9</v>
      </c>
      <c r="D145" s="102" t="s">
        <v>1386</v>
      </c>
      <c r="E145" s="44">
        <v>14446400</v>
      </c>
      <c r="F145" s="44">
        <v>999000</v>
      </c>
      <c r="G145" s="44">
        <v>0</v>
      </c>
      <c r="H145" s="44">
        <v>855600</v>
      </c>
      <c r="I145" s="44">
        <v>111000</v>
      </c>
    </row>
    <row r="146" spans="1:9" x14ac:dyDescent="0.3">
      <c r="A146" t="s">
        <v>148</v>
      </c>
      <c r="B146" t="s">
        <v>988</v>
      </c>
      <c r="C146" t="s">
        <v>1386</v>
      </c>
      <c r="D146" s="102" t="s">
        <v>1386</v>
      </c>
      <c r="E146" s="44">
        <v>7823998</v>
      </c>
      <c r="F146" s="44">
        <v>0</v>
      </c>
      <c r="G146" s="44">
        <v>0</v>
      </c>
      <c r="H146" s="44">
        <v>500398</v>
      </c>
      <c r="I146" s="44" t="e">
        <v>#DIV/0!</v>
      </c>
    </row>
    <row r="147" spans="1:9" x14ac:dyDescent="0.3">
      <c r="A147" t="s">
        <v>119</v>
      </c>
      <c r="B147" t="s">
        <v>38</v>
      </c>
      <c r="C147">
        <v>12</v>
      </c>
      <c r="D147" s="102" t="s">
        <v>1386</v>
      </c>
      <c r="E147" s="44">
        <v>653000</v>
      </c>
      <c r="F147" s="44">
        <v>571500</v>
      </c>
      <c r="G147" s="44">
        <v>0</v>
      </c>
      <c r="H147" s="44">
        <v>79375</v>
      </c>
      <c r="I147" s="44">
        <v>47625</v>
      </c>
    </row>
    <row r="148" spans="1:9" x14ac:dyDescent="0.3">
      <c r="A148" t="s">
        <v>165</v>
      </c>
      <c r="B148" t="s">
        <v>402</v>
      </c>
      <c r="C148" t="s">
        <v>1386</v>
      </c>
      <c r="D148" s="102" t="s">
        <v>1386</v>
      </c>
      <c r="E148" s="44">
        <v>3592655</v>
      </c>
      <c r="F148" s="44">
        <v>597600</v>
      </c>
      <c r="G148" s="44">
        <v>0</v>
      </c>
      <c r="H148" s="44">
        <v>228801</v>
      </c>
      <c r="I148" s="44" t="e">
        <v>#DIV/0!</v>
      </c>
    </row>
    <row r="149" spans="1:9" x14ac:dyDescent="0.3">
      <c r="A149" t="s">
        <v>181</v>
      </c>
      <c r="B149" t="s">
        <v>35</v>
      </c>
      <c r="C149" t="s">
        <v>1386</v>
      </c>
      <c r="D149" s="102" t="s">
        <v>1386</v>
      </c>
      <c r="E149" s="44">
        <v>2894655</v>
      </c>
      <c r="F149" s="44">
        <v>0</v>
      </c>
      <c r="G149" s="44">
        <v>0</v>
      </c>
      <c r="H149" s="44">
        <v>529290</v>
      </c>
      <c r="I149" s="44" t="e">
        <v>#DIV/0!</v>
      </c>
    </row>
    <row r="150" spans="1:9" x14ac:dyDescent="0.3">
      <c r="A150" t="s">
        <v>137</v>
      </c>
      <c r="B150" t="s">
        <v>848</v>
      </c>
      <c r="C150">
        <v>1</v>
      </c>
      <c r="D150" s="102" t="s">
        <v>1386</v>
      </c>
      <c r="E150" s="44">
        <v>1904821</v>
      </c>
      <c r="F150" s="44">
        <v>368850</v>
      </c>
      <c r="G150" s="44">
        <v>0</v>
      </c>
      <c r="H150" s="44">
        <v>299183</v>
      </c>
      <c r="I150" s="44">
        <v>368850</v>
      </c>
    </row>
    <row r="151" spans="1:9" x14ac:dyDescent="0.3">
      <c r="A151" t="s">
        <v>180</v>
      </c>
      <c r="B151" t="s">
        <v>485</v>
      </c>
      <c r="C151" t="s">
        <v>1386</v>
      </c>
      <c r="D151" s="102" t="s">
        <v>1386</v>
      </c>
      <c r="E151" s="44">
        <v>8085000</v>
      </c>
      <c r="F151" s="44">
        <v>0</v>
      </c>
      <c r="G151" s="44">
        <v>0</v>
      </c>
      <c r="H151" s="44">
        <v>598711</v>
      </c>
      <c r="I151" s="44" t="e">
        <v>#DIV/0!</v>
      </c>
    </row>
    <row r="152" spans="1:9" x14ac:dyDescent="0.3">
      <c r="A152" t="s">
        <v>163</v>
      </c>
      <c r="B152" t="s">
        <v>485</v>
      </c>
      <c r="C152" t="s">
        <v>1386</v>
      </c>
      <c r="D152" s="102" t="s">
        <v>1386</v>
      </c>
      <c r="E152" s="44">
        <v>9115000</v>
      </c>
      <c r="F152" s="44">
        <v>0</v>
      </c>
      <c r="G152" s="44">
        <v>0</v>
      </c>
      <c r="H152" s="44">
        <v>716388</v>
      </c>
      <c r="I152" s="44" t="e">
        <v>#DIV/0!</v>
      </c>
    </row>
    <row r="153" spans="1:9" x14ac:dyDescent="0.3">
      <c r="A153" t="s">
        <v>127</v>
      </c>
      <c r="B153" t="s">
        <v>38</v>
      </c>
      <c r="C153">
        <v>5</v>
      </c>
      <c r="D153" s="102" t="s">
        <v>1386</v>
      </c>
      <c r="E153" s="44">
        <v>633821</v>
      </c>
      <c r="F153" s="44">
        <v>87100</v>
      </c>
      <c r="G153" s="44">
        <v>0</v>
      </c>
      <c r="H153" s="44">
        <v>63930</v>
      </c>
      <c r="I153" s="44">
        <v>17420</v>
      </c>
    </row>
    <row r="154" spans="1:9" x14ac:dyDescent="0.3">
      <c r="A154" t="s">
        <v>88</v>
      </c>
      <c r="B154" t="s">
        <v>38</v>
      </c>
      <c r="C154">
        <v>4</v>
      </c>
      <c r="D154" s="102" t="s">
        <v>1386</v>
      </c>
      <c r="E154" s="44">
        <v>593821</v>
      </c>
      <c r="F154" s="44">
        <v>112700</v>
      </c>
      <c r="G154" s="44">
        <v>0</v>
      </c>
      <c r="H154" s="44">
        <v>80770</v>
      </c>
      <c r="I154" s="44">
        <v>28175</v>
      </c>
    </row>
    <row r="155" spans="1:9" x14ac:dyDescent="0.3">
      <c r="A155" t="s">
        <v>88</v>
      </c>
      <c r="B155" t="s">
        <v>829</v>
      </c>
      <c r="C155">
        <v>5</v>
      </c>
      <c r="D155" s="102" t="s">
        <v>1386</v>
      </c>
      <c r="E155" s="44">
        <v>401644</v>
      </c>
      <c r="F155" s="44">
        <v>49500</v>
      </c>
      <c r="G155" s="44">
        <v>0</v>
      </c>
      <c r="H155" s="44">
        <v>42750</v>
      </c>
      <c r="I155" s="44">
        <v>9900</v>
      </c>
    </row>
    <row r="156" spans="1:9" x14ac:dyDescent="0.3">
      <c r="A156" t="s">
        <v>88</v>
      </c>
      <c r="B156" t="s">
        <v>830</v>
      </c>
      <c r="C156">
        <v>4</v>
      </c>
      <c r="D156" s="102" t="s">
        <v>1386</v>
      </c>
      <c r="E156" s="44">
        <v>823735</v>
      </c>
      <c r="F156" s="44">
        <v>216300</v>
      </c>
      <c r="G156" s="44">
        <v>0</v>
      </c>
      <c r="H156" s="44">
        <v>114156</v>
      </c>
      <c r="I156" s="44">
        <v>54075</v>
      </c>
    </row>
    <row r="157" spans="1:9" x14ac:dyDescent="0.3">
      <c r="A157" t="s">
        <v>103</v>
      </c>
      <c r="B157" t="s">
        <v>35</v>
      </c>
      <c r="C157">
        <v>3</v>
      </c>
      <c r="D157" s="102" t="s">
        <v>1386</v>
      </c>
      <c r="E157" s="44">
        <v>3032232</v>
      </c>
      <c r="F157" s="44">
        <v>1025080</v>
      </c>
      <c r="G157" s="44">
        <v>0</v>
      </c>
      <c r="H157" s="44">
        <v>147374</v>
      </c>
      <c r="I157" s="44">
        <v>341693.33333333331</v>
      </c>
    </row>
    <row r="158" spans="1:9" x14ac:dyDescent="0.3">
      <c r="A158" t="s">
        <v>184</v>
      </c>
      <c r="B158" t="s">
        <v>485</v>
      </c>
      <c r="C158" t="s">
        <v>1386</v>
      </c>
      <c r="D158" s="102" t="s">
        <v>1386</v>
      </c>
      <c r="E158" s="44">
        <v>7635000</v>
      </c>
      <c r="F158" s="44">
        <v>0</v>
      </c>
      <c r="G158" s="44">
        <v>0</v>
      </c>
      <c r="H158" s="44">
        <v>656506</v>
      </c>
      <c r="I158" s="44" t="e">
        <v>#DIV/0!</v>
      </c>
    </row>
    <row r="159" spans="1:9" x14ac:dyDescent="0.3">
      <c r="A159" t="s">
        <v>79</v>
      </c>
      <c r="B159" t="s">
        <v>38</v>
      </c>
      <c r="C159" t="s">
        <v>1386</v>
      </c>
      <c r="D159" s="102" t="s">
        <v>1386</v>
      </c>
      <c r="E159" s="44">
        <v>532660</v>
      </c>
      <c r="F159" s="44">
        <v>6717854.3499999996</v>
      </c>
      <c r="G159" s="44">
        <v>0</v>
      </c>
      <c r="H159" s="44">
        <v>68306</v>
      </c>
      <c r="I159" s="44" t="e">
        <v>#DIV/0!</v>
      </c>
    </row>
    <row r="160" spans="1:9" x14ac:dyDescent="0.3">
      <c r="A160" t="s">
        <v>111</v>
      </c>
      <c r="B160" t="s">
        <v>485</v>
      </c>
      <c r="C160">
        <v>10</v>
      </c>
      <c r="D160" s="102" t="s">
        <v>1386</v>
      </c>
      <c r="E160" s="44">
        <v>18808000</v>
      </c>
      <c r="F160" s="44">
        <v>9998644.8000000007</v>
      </c>
      <c r="G160" s="44">
        <v>0</v>
      </c>
      <c r="H160" s="44">
        <v>3123750</v>
      </c>
      <c r="I160" s="44">
        <v>999864.4800000001</v>
      </c>
    </row>
    <row r="161" spans="1:9" x14ac:dyDescent="0.3">
      <c r="A161" t="s">
        <v>174</v>
      </c>
      <c r="B161" t="s">
        <v>1627</v>
      </c>
      <c r="C161" t="s">
        <v>1386</v>
      </c>
      <c r="D161" s="102" t="s">
        <v>1386</v>
      </c>
      <c r="E161" s="44">
        <v>3382372</v>
      </c>
      <c r="F161" s="44">
        <v>4576272</v>
      </c>
      <c r="G161" s="44">
        <v>0</v>
      </c>
      <c r="H161" s="44">
        <v>421334</v>
      </c>
      <c r="I161" s="44" t="e">
        <v>#DIV/0!</v>
      </c>
    </row>
    <row r="162" spans="1:9" x14ac:dyDescent="0.3">
      <c r="A162" t="s">
        <v>171</v>
      </c>
      <c r="B162" t="s">
        <v>1060</v>
      </c>
      <c r="C162">
        <v>3</v>
      </c>
      <c r="D162" s="102" t="s">
        <v>1386</v>
      </c>
      <c r="E162" s="44">
        <v>15492667</v>
      </c>
      <c r="F162" s="44">
        <v>19335600</v>
      </c>
      <c r="G162" s="44">
        <v>0</v>
      </c>
      <c r="H162" s="44">
        <v>4804146</v>
      </c>
      <c r="I162" s="44">
        <v>6445200</v>
      </c>
    </row>
    <row r="163" spans="1:9" x14ac:dyDescent="0.3">
      <c r="A163" t="s">
        <v>162</v>
      </c>
      <c r="B163" t="s">
        <v>30</v>
      </c>
      <c r="C163" t="s">
        <v>1386</v>
      </c>
      <c r="D163" s="102" t="s">
        <v>1386</v>
      </c>
      <c r="E163" s="44">
        <v>7617629</v>
      </c>
      <c r="F163" s="44">
        <v>0</v>
      </c>
      <c r="G163" s="44">
        <v>0</v>
      </c>
      <c r="H163" s="44">
        <v>441785</v>
      </c>
      <c r="I163" s="44" t="e">
        <v>#DIV/0!</v>
      </c>
    </row>
    <row r="164" spans="1:9" x14ac:dyDescent="0.3">
      <c r="A164" t="s">
        <v>135</v>
      </c>
      <c r="B164" t="s">
        <v>1060</v>
      </c>
      <c r="C164" t="s">
        <v>1386</v>
      </c>
      <c r="D164" s="102" t="s">
        <v>1386</v>
      </c>
      <c r="E164" s="44">
        <v>7395308</v>
      </c>
      <c r="F164" s="44">
        <v>0</v>
      </c>
      <c r="G164" s="44">
        <v>0</v>
      </c>
      <c r="H164" s="44">
        <v>688873</v>
      </c>
      <c r="I164" s="44" t="e">
        <v>#DIV/0!</v>
      </c>
    </row>
    <row r="165" spans="1:9" x14ac:dyDescent="0.3">
      <c r="A165" t="s">
        <v>144</v>
      </c>
      <c r="B165" t="s">
        <v>35</v>
      </c>
      <c r="C165">
        <v>1</v>
      </c>
      <c r="D165" s="102" t="s">
        <v>1386</v>
      </c>
      <c r="E165" s="44">
        <v>4910685</v>
      </c>
      <c r="F165" s="44">
        <v>1742278</v>
      </c>
      <c r="G165" s="44">
        <v>0</v>
      </c>
      <c r="H165" s="44">
        <v>674745</v>
      </c>
      <c r="I165" s="44">
        <v>1742278</v>
      </c>
    </row>
    <row r="166" spans="1:9" x14ac:dyDescent="0.3">
      <c r="A166" t="s">
        <v>142</v>
      </c>
      <c r="B166" t="s">
        <v>31</v>
      </c>
      <c r="C166">
        <v>1</v>
      </c>
      <c r="D166" s="102" t="s">
        <v>1386</v>
      </c>
      <c r="E166" s="44">
        <v>4910685</v>
      </c>
      <c r="F166" s="44">
        <v>1742278</v>
      </c>
      <c r="G166" s="44">
        <v>0</v>
      </c>
      <c r="H166" s="44">
        <v>472477</v>
      </c>
      <c r="I166" s="44">
        <v>1742278</v>
      </c>
    </row>
    <row r="167" spans="1:9" x14ac:dyDescent="0.3">
      <c r="A167" t="s">
        <v>186</v>
      </c>
      <c r="B167" t="s">
        <v>1244</v>
      </c>
      <c r="C167">
        <v>1</v>
      </c>
      <c r="D167" s="102" t="s">
        <v>1386</v>
      </c>
      <c r="E167" s="44">
        <v>477000</v>
      </c>
      <c r="F167" s="44">
        <v>350305.66666666669</v>
      </c>
      <c r="G167" s="44">
        <v>0</v>
      </c>
      <c r="H167" s="44">
        <v>327855</v>
      </c>
      <c r="I167" s="44">
        <v>350305.66666666669</v>
      </c>
    </row>
    <row r="168" spans="1:9" x14ac:dyDescent="0.3">
      <c r="A168" t="s">
        <v>143</v>
      </c>
      <c r="B168" t="s">
        <v>36</v>
      </c>
      <c r="C168">
        <v>3</v>
      </c>
      <c r="D168" s="102" t="s">
        <v>1386</v>
      </c>
      <c r="E168" s="44">
        <v>4620000</v>
      </c>
      <c r="F168" s="44">
        <v>11816933.870000003</v>
      </c>
      <c r="G168" s="44">
        <v>0</v>
      </c>
      <c r="H168" s="44">
        <v>1411927</v>
      </c>
      <c r="I168" s="44">
        <v>3938977.9566666675</v>
      </c>
    </row>
    <row r="169" spans="1:9" x14ac:dyDescent="0.3">
      <c r="A169" t="s">
        <v>143</v>
      </c>
      <c r="B169" t="s">
        <v>33</v>
      </c>
      <c r="C169">
        <v>4</v>
      </c>
      <c r="D169" s="102" t="s">
        <v>1386</v>
      </c>
      <c r="E169" s="44">
        <v>1186483.5</v>
      </c>
      <c r="F169" s="44">
        <v>4708039</v>
      </c>
      <c r="G169" s="44">
        <v>0</v>
      </c>
      <c r="H169" s="44">
        <v>112945</v>
      </c>
      <c r="I169" s="44">
        <v>1177009.75</v>
      </c>
    </row>
    <row r="170" spans="1:9" x14ac:dyDescent="0.3">
      <c r="A170" t="s">
        <v>143</v>
      </c>
      <c r="B170" t="s">
        <v>33</v>
      </c>
      <c r="C170" t="s">
        <v>1386</v>
      </c>
      <c r="D170" s="102" t="s">
        <v>1386</v>
      </c>
      <c r="E170" s="44">
        <v>1186483.5</v>
      </c>
      <c r="F170" s="44">
        <v>2998039</v>
      </c>
      <c r="G170" s="44">
        <v>0</v>
      </c>
      <c r="H170" s="44">
        <v>112945</v>
      </c>
      <c r="I170" s="44" t="e">
        <v>#DIV/0!</v>
      </c>
    </row>
    <row r="171" spans="1:9" x14ac:dyDescent="0.3">
      <c r="A171" t="s">
        <v>138</v>
      </c>
      <c r="B171" t="s">
        <v>30</v>
      </c>
      <c r="C171" t="s">
        <v>1386</v>
      </c>
      <c r="D171" s="102" t="s">
        <v>1386</v>
      </c>
      <c r="E171" s="44">
        <v>7633423</v>
      </c>
      <c r="F171" s="44">
        <v>0</v>
      </c>
      <c r="G171" s="44">
        <v>0</v>
      </c>
      <c r="H171" s="44">
        <v>2084692</v>
      </c>
      <c r="I171" s="44" t="e">
        <v>#DIV/0!</v>
      </c>
    </row>
    <row r="172" spans="1:9" x14ac:dyDescent="0.3">
      <c r="A172" t="s">
        <v>138</v>
      </c>
      <c r="B172" t="s">
        <v>485</v>
      </c>
      <c r="C172" t="s">
        <v>1386</v>
      </c>
      <c r="D172" s="102" t="s">
        <v>1386</v>
      </c>
      <c r="E172" s="44">
        <v>25027938</v>
      </c>
      <c r="F172" s="44">
        <v>6462518.4299999997</v>
      </c>
      <c r="G172" s="44">
        <v>0</v>
      </c>
      <c r="H172" s="44">
        <v>2885447</v>
      </c>
      <c r="I172" s="44" t="e">
        <v>#DIV/0!</v>
      </c>
    </row>
    <row r="173" spans="1:9" x14ac:dyDescent="0.3">
      <c r="A173" t="s">
        <v>178</v>
      </c>
      <c r="B173" t="s">
        <v>33</v>
      </c>
      <c r="C173" t="s">
        <v>1386</v>
      </c>
      <c r="D173" s="102" t="s">
        <v>1386</v>
      </c>
      <c r="E173" s="44">
        <v>1194415</v>
      </c>
      <c r="F173" s="44">
        <v>0</v>
      </c>
      <c r="G173" s="44">
        <v>0</v>
      </c>
      <c r="H173" s="44">
        <v>125415</v>
      </c>
      <c r="I173" s="44" t="e">
        <v>#DIV/0!</v>
      </c>
    </row>
    <row r="174" spans="1:9" x14ac:dyDescent="0.3">
      <c r="A174" t="s">
        <v>125</v>
      </c>
      <c r="B174" t="s">
        <v>33</v>
      </c>
      <c r="C174">
        <v>2</v>
      </c>
      <c r="D174" s="102" t="s">
        <v>1386</v>
      </c>
      <c r="E174" s="44">
        <v>1194415</v>
      </c>
      <c r="F174" s="44">
        <v>1710000</v>
      </c>
      <c r="G174" s="44">
        <v>0</v>
      </c>
      <c r="H174" s="44">
        <v>125415</v>
      </c>
      <c r="I174" s="44">
        <v>855000</v>
      </c>
    </row>
    <row r="175" spans="1:9" x14ac:dyDescent="0.3">
      <c r="A175" t="s">
        <v>175</v>
      </c>
      <c r="B175" t="s">
        <v>679</v>
      </c>
      <c r="C175" t="s">
        <v>1386</v>
      </c>
      <c r="D175" s="102" t="s">
        <v>1386</v>
      </c>
      <c r="E175" s="44">
        <v>4528470</v>
      </c>
      <c r="F175" s="44">
        <v>543500</v>
      </c>
      <c r="G175" s="44">
        <v>0</v>
      </c>
      <c r="H175" s="44">
        <v>306830</v>
      </c>
      <c r="I175" s="44" t="e">
        <v>#DIV/0!</v>
      </c>
    </row>
    <row r="176" spans="1:9" x14ac:dyDescent="0.3">
      <c r="A176" t="s">
        <v>154</v>
      </c>
      <c r="B176" t="s">
        <v>1248</v>
      </c>
      <c r="C176" t="s">
        <v>1386</v>
      </c>
      <c r="D176" s="102" t="s">
        <v>1386</v>
      </c>
      <c r="E176" s="44">
        <v>597824</v>
      </c>
      <c r="F176" s="44">
        <v>0</v>
      </c>
      <c r="G176" s="44">
        <v>0</v>
      </c>
      <c r="H176" s="44">
        <v>28928</v>
      </c>
      <c r="I176" s="44" t="e">
        <v>#DIV/0!</v>
      </c>
    </row>
    <row r="177" spans="1:9" x14ac:dyDescent="0.3">
      <c r="A177" t="s">
        <v>170</v>
      </c>
      <c r="B177" t="s">
        <v>1244</v>
      </c>
      <c r="C177">
        <v>2</v>
      </c>
      <c r="D177" s="102" t="s">
        <v>1386</v>
      </c>
      <c r="E177" s="44">
        <v>507833</v>
      </c>
      <c r="F177" s="44">
        <v>651664.66666666674</v>
      </c>
      <c r="G177" s="44">
        <v>0</v>
      </c>
      <c r="H177" s="44">
        <v>327855</v>
      </c>
      <c r="I177" s="44">
        <v>325832.33333333337</v>
      </c>
    </row>
    <row r="178" spans="1:9" x14ac:dyDescent="0.3">
      <c r="A178" t="s">
        <v>164</v>
      </c>
      <c r="B178" t="s">
        <v>35</v>
      </c>
      <c r="C178" t="s">
        <v>1386</v>
      </c>
      <c r="D178" s="102" t="s">
        <v>1386</v>
      </c>
      <c r="E178" s="44">
        <v>3460830</v>
      </c>
      <c r="F178" s="44">
        <v>1661053</v>
      </c>
      <c r="G178" s="44">
        <v>0</v>
      </c>
      <c r="H178" s="44">
        <v>259561</v>
      </c>
      <c r="I178" s="44" t="e">
        <v>#DIV/0!</v>
      </c>
    </row>
    <row r="179" spans="1:9" x14ac:dyDescent="0.3">
      <c r="A179" t="s">
        <v>187</v>
      </c>
      <c r="B179" t="s">
        <v>33</v>
      </c>
      <c r="C179">
        <v>2</v>
      </c>
      <c r="D179" s="102" t="s">
        <v>1386</v>
      </c>
      <c r="E179" s="44">
        <v>3559449.9999999898</v>
      </c>
      <c r="F179" s="44">
        <v>2725423</v>
      </c>
      <c r="G179" s="44">
        <v>0</v>
      </c>
      <c r="H179" s="44">
        <v>325425</v>
      </c>
      <c r="I179" s="44">
        <v>1362711.5</v>
      </c>
    </row>
    <row r="180" spans="1:9" x14ac:dyDescent="0.3">
      <c r="A180" t="s">
        <v>188</v>
      </c>
      <c r="B180" t="s">
        <v>35</v>
      </c>
      <c r="C180">
        <v>9</v>
      </c>
      <c r="D180" s="102" t="s">
        <v>1386</v>
      </c>
      <c r="E180" s="44">
        <v>3047232</v>
      </c>
      <c r="F180" s="44">
        <v>1068530</v>
      </c>
      <c r="G180" s="44">
        <v>0</v>
      </c>
      <c r="H180" s="44">
        <v>455552</v>
      </c>
      <c r="I180" s="44">
        <v>118725.55555555556</v>
      </c>
    </row>
    <row r="181" spans="1:9" x14ac:dyDescent="0.3">
      <c r="A181" t="s">
        <v>189</v>
      </c>
      <c r="B181" t="s">
        <v>409</v>
      </c>
      <c r="C181">
        <v>6</v>
      </c>
      <c r="D181" s="102" t="s">
        <v>1386</v>
      </c>
      <c r="E181" s="44">
        <v>21992876</v>
      </c>
      <c r="F181" s="44">
        <v>185100</v>
      </c>
      <c r="G181" s="44">
        <v>0</v>
      </c>
      <c r="H181" s="44">
        <v>1808443</v>
      </c>
      <c r="I181" s="44">
        <v>30850</v>
      </c>
    </row>
    <row r="182" spans="1:9" x14ac:dyDescent="0.3">
      <c r="A182" t="s">
        <v>190</v>
      </c>
      <c r="B182" t="s">
        <v>35</v>
      </c>
      <c r="C182">
        <v>1</v>
      </c>
      <c r="D182" s="102" t="s">
        <v>1386</v>
      </c>
      <c r="E182" s="44">
        <v>3276255</v>
      </c>
      <c r="F182" s="44">
        <v>3452278</v>
      </c>
      <c r="G182" s="44">
        <v>0</v>
      </c>
      <c r="H182" s="44">
        <v>386629</v>
      </c>
      <c r="I182" s="44">
        <v>3452278</v>
      </c>
    </row>
    <row r="183" spans="1:9" x14ac:dyDescent="0.3">
      <c r="A183" t="s">
        <v>192</v>
      </c>
      <c r="B183" t="s">
        <v>35</v>
      </c>
      <c r="C183">
        <v>3</v>
      </c>
      <c r="D183" s="102" t="s">
        <v>1386</v>
      </c>
      <c r="E183" s="44">
        <v>2998200</v>
      </c>
      <c r="F183" s="44">
        <v>1461600</v>
      </c>
      <c r="G183" s="44">
        <v>0</v>
      </c>
      <c r="H183" s="44">
        <v>320078</v>
      </c>
      <c r="I183" s="44">
        <v>487200</v>
      </c>
    </row>
    <row r="184" spans="1:9" x14ac:dyDescent="0.3">
      <c r="A184" t="s">
        <v>193</v>
      </c>
      <c r="B184" t="s">
        <v>1349</v>
      </c>
      <c r="C184" t="s">
        <v>1386</v>
      </c>
      <c r="D184" s="102" t="s">
        <v>1386</v>
      </c>
      <c r="E184" s="44">
        <v>5490000</v>
      </c>
      <c r="F184" s="44">
        <v>673700</v>
      </c>
      <c r="G184" s="44">
        <v>0</v>
      </c>
      <c r="H184" s="44">
        <v>413290</v>
      </c>
      <c r="I184" s="44" t="e">
        <v>#DIV/0!</v>
      </c>
    </row>
    <row r="185" spans="1:9" ht="244.8" x14ac:dyDescent="0.3">
      <c r="A185" t="s">
        <v>1520</v>
      </c>
      <c r="B185" t="s">
        <v>33</v>
      </c>
      <c r="C185">
        <v>34</v>
      </c>
      <c r="D185" s="102" t="s">
        <v>583</v>
      </c>
      <c r="E185" s="44">
        <v>1262290</v>
      </c>
      <c r="F185" s="44">
        <v>7244936.9000000013</v>
      </c>
      <c r="G185" s="44">
        <v>2897974.7600000007</v>
      </c>
      <c r="H185" s="44">
        <v>450000</v>
      </c>
      <c r="I185" s="44">
        <v>213086.37941176473</v>
      </c>
    </row>
    <row r="186" spans="1:9" x14ac:dyDescent="0.3">
      <c r="A186" t="s">
        <v>1546</v>
      </c>
      <c r="B186" t="s">
        <v>485</v>
      </c>
      <c r="C186">
        <v>27</v>
      </c>
      <c r="D186" s="102" t="s">
        <v>1386</v>
      </c>
      <c r="E186" s="44">
        <v>6818058</v>
      </c>
      <c r="F186" s="44">
        <v>11257131</v>
      </c>
      <c r="G186" s="44">
        <v>4502852.4000000004</v>
      </c>
      <c r="H186" s="44">
        <v>392516</v>
      </c>
      <c r="I186" s="44">
        <v>416930.77777777775</v>
      </c>
    </row>
    <row r="187" spans="1:9" x14ac:dyDescent="0.3">
      <c r="A187" t="s">
        <v>1510</v>
      </c>
      <c r="B187" t="s">
        <v>507</v>
      </c>
      <c r="C187" t="s">
        <v>1386</v>
      </c>
      <c r="D187" s="102" t="s">
        <v>1386</v>
      </c>
      <c r="E187" s="44">
        <v>6101141</v>
      </c>
      <c r="F187" s="44">
        <v>1241400</v>
      </c>
      <c r="G187" s="44">
        <v>0</v>
      </c>
      <c r="H187" s="44">
        <v>432965</v>
      </c>
      <c r="I187" s="44" t="e">
        <v>#DIV/0!</v>
      </c>
    </row>
    <row r="188" spans="1:9" x14ac:dyDescent="0.3">
      <c r="A188" t="s">
        <v>1622</v>
      </c>
      <c r="B188" t="s">
        <v>489</v>
      </c>
      <c r="C188">
        <v>4</v>
      </c>
      <c r="D188" s="102" t="s">
        <v>1386</v>
      </c>
      <c r="E188" s="44">
        <v>2059750</v>
      </c>
      <c r="F188" s="44">
        <v>2003250</v>
      </c>
      <c r="G188" s="44">
        <v>801300</v>
      </c>
      <c r="H188" s="44">
        <v>100802</v>
      </c>
      <c r="I188" s="44">
        <v>500812.5</v>
      </c>
    </row>
    <row r="189" spans="1:9" x14ac:dyDescent="0.3">
      <c r="A189" t="s">
        <v>1541</v>
      </c>
      <c r="B189" t="s">
        <v>31</v>
      </c>
      <c r="C189" t="s">
        <v>1386</v>
      </c>
      <c r="D189" s="102" t="s">
        <v>1386</v>
      </c>
      <c r="E189" s="44"/>
      <c r="F189" s="44"/>
      <c r="G189" s="44"/>
      <c r="H189" s="44"/>
      <c r="I189" s="44"/>
    </row>
    <row r="190" spans="1:9" x14ac:dyDescent="0.3">
      <c r="A190" t="s">
        <v>1700</v>
      </c>
      <c r="B190" t="s">
        <v>1345</v>
      </c>
      <c r="C190">
        <v>1</v>
      </c>
      <c r="D190" s="102" t="s">
        <v>1386</v>
      </c>
      <c r="E190" s="44">
        <v>1960000</v>
      </c>
      <c r="F190" s="44">
        <v>262500</v>
      </c>
      <c r="G190" s="44">
        <v>0</v>
      </c>
      <c r="H190" s="44">
        <v>175449</v>
      </c>
      <c r="I190" s="44">
        <v>262500</v>
      </c>
    </row>
    <row r="191" spans="1:9" x14ac:dyDescent="0.3">
      <c r="A191" t="s">
        <v>18</v>
      </c>
      <c r="E191" s="44">
        <v>914950600.5</v>
      </c>
      <c r="F191" s="44">
        <v>880306740.29613006</v>
      </c>
      <c r="G191" s="44">
        <v>306332899.81545222</v>
      </c>
      <c r="H191" s="44">
        <v>104273747.78</v>
      </c>
      <c r="I191" s="44" t="e">
        <v>#DIV/0!</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election activeCell="A4" sqref="A4"/>
    </sheetView>
  </sheetViews>
  <sheetFormatPr defaultRowHeight="14.4" x14ac:dyDescent="0.3"/>
  <cols>
    <col min="1" max="1" width="39" bestFit="1" customWidth="1"/>
    <col min="2" max="2" width="7.33203125" bestFit="1" customWidth="1"/>
  </cols>
  <sheetData>
    <row r="1" spans="1:2" x14ac:dyDescent="0.3">
      <c r="A1" s="42" t="s">
        <v>203</v>
      </c>
      <c r="B1" t="s">
        <v>1388</v>
      </c>
    </row>
    <row r="3" spans="1:2" x14ac:dyDescent="0.3">
      <c r="A3" t="s">
        <v>1389</v>
      </c>
    </row>
    <row r="4" spans="1:2" x14ac:dyDescent="0.3">
      <c r="A4">
        <v>65901584.050000004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4:AI37"/>
  <sheetViews>
    <sheetView zoomScaleNormal="100" workbookViewId="0">
      <selection activeCell="W25" sqref="W25"/>
    </sheetView>
  </sheetViews>
  <sheetFormatPr defaultColWidth="9.33203125" defaultRowHeight="15" customHeight="1" outlineLevelCol="1" x14ac:dyDescent="0.3"/>
  <cols>
    <col min="1" max="1" width="8" style="1" customWidth="1"/>
    <col min="2" max="2" width="15.6640625" style="1" customWidth="1"/>
    <col min="3" max="3" width="22.5546875" style="1" customWidth="1"/>
    <col min="4" max="4" width="18.33203125" style="1" customWidth="1"/>
    <col min="5" max="5" width="21.5546875" style="1" bestFit="1" customWidth="1"/>
    <col min="6" max="6" width="21.5546875" style="1" customWidth="1"/>
    <col min="7" max="7" width="20" style="1" bestFit="1" customWidth="1"/>
    <col min="8" max="8" width="21.33203125" style="1" customWidth="1"/>
    <col min="9" max="9" width="19.44140625" style="1" bestFit="1" customWidth="1"/>
    <col min="10" max="10" width="16.44140625" style="1" bestFit="1" customWidth="1"/>
    <col min="11" max="11" width="10.33203125" style="1" customWidth="1"/>
    <col min="12" max="12" width="10" style="1" customWidth="1"/>
    <col min="13" max="13" width="11.33203125" style="1" customWidth="1"/>
    <col min="14" max="14" width="15.6640625" style="1" customWidth="1"/>
    <col min="15" max="15" width="29.5546875" style="2" customWidth="1"/>
    <col min="16" max="16" width="33.33203125" style="1" hidden="1" customWidth="1" outlineLevel="1"/>
    <col min="17" max="17" width="83.44140625" style="1" hidden="1" customWidth="1" outlineLevel="1"/>
    <col min="18" max="18" width="74" style="1" hidden="1" customWidth="1" outlineLevel="1"/>
    <col min="19" max="19" width="36.44140625" style="1" hidden="1" customWidth="1" outlineLevel="1"/>
    <col min="20" max="22" width="12.5546875" style="1" hidden="1" customWidth="1" outlineLevel="1"/>
    <col min="23" max="23" width="13.5546875" style="1" bestFit="1" customWidth="1" collapsed="1"/>
    <col min="24" max="24" width="19.5546875" style="1" customWidth="1"/>
    <col min="25" max="25" width="18.5546875" style="1" customWidth="1"/>
    <col min="26" max="26" width="45.6640625" style="1" customWidth="1"/>
    <col min="27" max="27" width="47.44140625" style="1" hidden="1" customWidth="1"/>
    <col min="28" max="29" width="40.5546875" style="1" customWidth="1"/>
    <col min="30" max="30" width="28.5546875" style="1" customWidth="1"/>
    <col min="31" max="31" width="10.44140625" style="1" customWidth="1"/>
    <col min="32" max="33" width="19.44140625" style="1" customWidth="1"/>
    <col min="34" max="34" width="20.5546875" style="1" bestFit="1" customWidth="1"/>
    <col min="35" max="35" width="35.5546875" style="2" customWidth="1"/>
    <col min="36" max="36" width="26.5546875" style="1" customWidth="1"/>
    <col min="37" max="16384" width="9.33203125" style="1"/>
  </cols>
  <sheetData>
    <row r="4" spans="1:35" ht="16.2" thickBot="1" x14ac:dyDescent="0.35">
      <c r="W4" s="34">
        <f>SUBTOTAL(9,W6:W35)</f>
        <v>106794910</v>
      </c>
      <c r="X4" s="34">
        <f>SUBTOTAL(9,X6:X35)</f>
        <v>14913222.91</v>
      </c>
      <c r="AD4" s="34">
        <f>SUBTOTAL(9,AD6:AD35)</f>
        <v>46956700.459999993</v>
      </c>
      <c r="AE4" s="35"/>
      <c r="AF4" s="34">
        <f>SUBTOTAL(9,AF6:AF35)</f>
        <v>5106252.6811623927</v>
      </c>
      <c r="AG4" s="34">
        <f>SUBTOTAL(9,AG6:AG35)</f>
        <v>55792289.724000014</v>
      </c>
      <c r="AH4" s="34"/>
    </row>
    <row r="5" spans="1:35" s="2" customFormat="1" ht="30" customHeight="1" thickTop="1" thickBot="1" x14ac:dyDescent="0.35">
      <c r="A5" s="3" t="s">
        <v>1390</v>
      </c>
      <c r="B5" s="3" t="s">
        <v>200</v>
      </c>
      <c r="C5" s="3" t="s">
        <v>203</v>
      </c>
      <c r="D5" s="3" t="s">
        <v>204</v>
      </c>
      <c r="E5" s="3" t="s">
        <v>205</v>
      </c>
      <c r="F5" s="3" t="s">
        <v>206</v>
      </c>
      <c r="G5" s="3" t="s">
        <v>208</v>
      </c>
      <c r="H5" s="3" t="s">
        <v>209</v>
      </c>
      <c r="I5" s="3" t="s">
        <v>210</v>
      </c>
      <c r="J5" s="3" t="s">
        <v>211</v>
      </c>
      <c r="K5" s="3" t="s">
        <v>0</v>
      </c>
      <c r="L5" s="3" t="s">
        <v>3</v>
      </c>
      <c r="M5" s="3" t="s">
        <v>214</v>
      </c>
      <c r="N5" s="3" t="s">
        <v>215</v>
      </c>
      <c r="O5" s="3" t="s">
        <v>216</v>
      </c>
      <c r="P5" s="3" t="s">
        <v>217</v>
      </c>
      <c r="Q5" s="3" t="s">
        <v>218</v>
      </c>
      <c r="R5" s="3" t="s">
        <v>219</v>
      </c>
      <c r="S5" s="3" t="s">
        <v>220</v>
      </c>
      <c r="T5" s="3" t="s">
        <v>1391</v>
      </c>
      <c r="U5" s="3" t="s">
        <v>1392</v>
      </c>
      <c r="V5" s="3" t="s">
        <v>222</v>
      </c>
      <c r="W5" s="4" t="s">
        <v>223</v>
      </c>
      <c r="X5" s="4" t="s">
        <v>225</v>
      </c>
      <c r="Y5" s="4" t="s">
        <v>224</v>
      </c>
      <c r="Z5" s="21" t="s">
        <v>226</v>
      </c>
      <c r="AA5" s="33" t="s">
        <v>227</v>
      </c>
      <c r="AB5" s="80" t="s">
        <v>228</v>
      </c>
      <c r="AC5" s="83" t="s">
        <v>229</v>
      </c>
      <c r="AD5" s="5" t="s">
        <v>280</v>
      </c>
      <c r="AE5" s="6" t="s">
        <v>281</v>
      </c>
      <c r="AF5" s="6" t="s">
        <v>282</v>
      </c>
      <c r="AG5" s="6" t="s">
        <v>283</v>
      </c>
      <c r="AH5" s="6" t="s">
        <v>1393</v>
      </c>
      <c r="AI5" s="7" t="s">
        <v>285</v>
      </c>
    </row>
    <row r="6" spans="1:35" ht="30" customHeight="1" thickTop="1" x14ac:dyDescent="0.3">
      <c r="A6" s="1">
        <v>1</v>
      </c>
      <c r="B6" s="1" t="s">
        <v>1394</v>
      </c>
      <c r="C6" s="1" t="s">
        <v>30</v>
      </c>
      <c r="D6" s="1">
        <v>15002463</v>
      </c>
      <c r="E6" s="1" t="s">
        <v>317</v>
      </c>
      <c r="F6" s="92">
        <v>3002000001</v>
      </c>
      <c r="G6" s="1" t="s">
        <v>1120</v>
      </c>
      <c r="H6" s="24" t="s">
        <v>1121</v>
      </c>
      <c r="I6" s="24">
        <v>44649</v>
      </c>
      <c r="J6" s="2"/>
      <c r="K6" s="2" t="s">
        <v>547</v>
      </c>
      <c r="L6" s="1" t="s">
        <v>16</v>
      </c>
      <c r="M6" s="1" t="s">
        <v>973</v>
      </c>
      <c r="N6" s="1">
        <v>3020001237</v>
      </c>
      <c r="O6" s="2" t="s">
        <v>126</v>
      </c>
      <c r="P6" s="2" t="s">
        <v>1395</v>
      </c>
      <c r="Q6" s="2" t="s">
        <v>1116</v>
      </c>
      <c r="R6" s="2" t="s">
        <v>1125</v>
      </c>
      <c r="S6" s="8" t="s">
        <v>1126</v>
      </c>
      <c r="T6" s="1" t="s">
        <v>1119</v>
      </c>
      <c r="W6" s="25">
        <v>4520275</v>
      </c>
      <c r="X6" s="25">
        <v>400000</v>
      </c>
      <c r="Y6" s="9">
        <v>30</v>
      </c>
      <c r="Z6" s="22" t="s">
        <v>1127</v>
      </c>
      <c r="AA6" s="47" t="s">
        <v>1128</v>
      </c>
      <c r="AB6" s="84" t="s">
        <v>957</v>
      </c>
      <c r="AC6" s="84" t="s">
        <v>957</v>
      </c>
      <c r="AD6" s="27">
        <v>2355698</v>
      </c>
      <c r="AE6" s="11">
        <v>13</v>
      </c>
      <c r="AF6" s="30">
        <f>AD6/AE6</f>
        <v>181207.53846153847</v>
      </c>
      <c r="AG6" s="30">
        <f t="shared" ref="AG6:AG12" si="0">W6-(AD6*60%)</f>
        <v>3106856.2</v>
      </c>
      <c r="AH6" s="50">
        <f>Table13[[#This Row],[Avg reagent Sales per month Actual]]-Table13[[#This Row],[Per Month Reagent Commitment]]</f>
        <v>-218792.46153846153</v>
      </c>
      <c r="AI6" s="12" t="s">
        <v>1396</v>
      </c>
    </row>
    <row r="7" spans="1:35" ht="30" customHeight="1" x14ac:dyDescent="0.3">
      <c r="A7" s="1">
        <v>2</v>
      </c>
      <c r="B7" s="1" t="s">
        <v>297</v>
      </c>
      <c r="C7" s="1" t="s">
        <v>30</v>
      </c>
      <c r="D7" s="1">
        <v>15002463</v>
      </c>
      <c r="E7" s="1" t="s">
        <v>317</v>
      </c>
      <c r="F7" s="93">
        <v>3002000002</v>
      </c>
      <c r="G7" s="1" t="s">
        <v>1093</v>
      </c>
      <c r="H7" s="24" t="s">
        <v>1121</v>
      </c>
      <c r="I7" s="24">
        <v>44651</v>
      </c>
      <c r="J7" s="2"/>
      <c r="K7" s="2" t="s">
        <v>547</v>
      </c>
      <c r="L7" s="1" t="s">
        <v>15</v>
      </c>
      <c r="M7" s="1" t="s">
        <v>305</v>
      </c>
      <c r="N7" s="1">
        <v>3020001675</v>
      </c>
      <c r="O7" s="2" t="s">
        <v>1397</v>
      </c>
      <c r="P7" s="2" t="s">
        <v>1398</v>
      </c>
      <c r="Q7" s="2" t="s">
        <v>1399</v>
      </c>
      <c r="R7" s="2" t="s">
        <v>1400</v>
      </c>
      <c r="S7" s="8" t="s">
        <v>1401</v>
      </c>
      <c r="T7" s="1" t="s">
        <v>1402</v>
      </c>
      <c r="W7" s="25">
        <v>4520275</v>
      </c>
      <c r="X7" s="25">
        <v>375000</v>
      </c>
      <c r="Y7" s="1">
        <v>30</v>
      </c>
      <c r="Z7" s="23" t="s">
        <v>1403</v>
      </c>
      <c r="AA7" s="13" t="s">
        <v>1404</v>
      </c>
      <c r="AB7" s="81" t="s">
        <v>1405</v>
      </c>
      <c r="AC7" s="85" t="s">
        <v>1406</v>
      </c>
      <c r="AD7" s="28">
        <v>1684872.7599999998</v>
      </c>
      <c r="AE7" s="14">
        <v>13</v>
      </c>
      <c r="AF7" s="31">
        <f>AD7/AE7</f>
        <v>129605.59692307691</v>
      </c>
      <c r="AG7" s="31">
        <f t="shared" si="0"/>
        <v>3509351.344</v>
      </c>
      <c r="AH7" s="51">
        <f>Table13[[#This Row],[Avg reagent Sales per month Actual]]-Table13[[#This Row],[Per Month Reagent Commitment]]</f>
        <v>-245394.4030769231</v>
      </c>
      <c r="AI7" s="15" t="s">
        <v>343</v>
      </c>
    </row>
    <row r="8" spans="1:35" ht="30" customHeight="1" x14ac:dyDescent="0.3">
      <c r="A8" s="1">
        <v>3</v>
      </c>
      <c r="B8" s="1" t="s">
        <v>297</v>
      </c>
      <c r="C8" s="1" t="s">
        <v>36</v>
      </c>
      <c r="D8" s="1">
        <v>15002128</v>
      </c>
      <c r="E8" s="1" t="s">
        <v>317</v>
      </c>
      <c r="F8" s="92">
        <v>3002000003</v>
      </c>
      <c r="G8" s="1" t="s">
        <v>318</v>
      </c>
      <c r="H8" s="24" t="s">
        <v>319</v>
      </c>
      <c r="I8" s="24">
        <v>44673</v>
      </c>
      <c r="J8" s="2"/>
      <c r="K8" s="2" t="s">
        <v>547</v>
      </c>
      <c r="L8" s="1" t="s">
        <v>15</v>
      </c>
      <c r="M8" s="1" t="s">
        <v>305</v>
      </c>
      <c r="N8" s="1">
        <v>3020000022</v>
      </c>
      <c r="O8" s="2" t="s">
        <v>78</v>
      </c>
      <c r="P8" s="2" t="s">
        <v>321</v>
      </c>
      <c r="Q8" s="48" t="s">
        <v>322</v>
      </c>
      <c r="R8" s="2" t="s">
        <v>323</v>
      </c>
      <c r="S8" s="8" t="s">
        <v>324</v>
      </c>
      <c r="T8" s="1" t="s">
        <v>325</v>
      </c>
      <c r="V8" s="1" t="s">
        <v>326</v>
      </c>
      <c r="W8" s="25">
        <v>2606483</v>
      </c>
      <c r="X8" s="25">
        <v>250000</v>
      </c>
      <c r="Y8" s="1">
        <v>17</v>
      </c>
      <c r="Z8" s="23" t="s">
        <v>327</v>
      </c>
      <c r="AA8" s="47" t="s">
        <v>328</v>
      </c>
      <c r="AB8" s="72" t="s">
        <v>329</v>
      </c>
      <c r="AC8" s="81" t="s">
        <v>330</v>
      </c>
      <c r="AD8" s="28">
        <v>3147079.29</v>
      </c>
      <c r="AE8" s="14">
        <v>18</v>
      </c>
      <c r="AF8" s="31">
        <f>AD8/AE8</f>
        <v>174837.73833333334</v>
      </c>
      <c r="AG8" s="31">
        <f t="shared" si="0"/>
        <v>718235.42599999998</v>
      </c>
      <c r="AH8" s="51">
        <f>Table13[[#This Row],[Avg reagent Sales per month Actual]]-Table13[[#This Row],[Per Month Reagent Commitment]]</f>
        <v>-75162.261666666658</v>
      </c>
      <c r="AI8" s="15" t="s">
        <v>343</v>
      </c>
    </row>
    <row r="9" spans="1:35" ht="30" customHeight="1" x14ac:dyDescent="0.3">
      <c r="A9" s="1">
        <v>4</v>
      </c>
      <c r="B9" s="1" t="s">
        <v>1394</v>
      </c>
      <c r="C9" s="1" t="s">
        <v>1407</v>
      </c>
      <c r="D9" s="1">
        <v>15001967</v>
      </c>
      <c r="E9" s="1" t="s">
        <v>397</v>
      </c>
      <c r="F9" s="93">
        <v>3002000004</v>
      </c>
      <c r="G9" s="1" t="s">
        <v>1408</v>
      </c>
      <c r="H9" s="24" t="s">
        <v>573</v>
      </c>
      <c r="I9" s="24">
        <v>44348</v>
      </c>
      <c r="J9" s="2"/>
      <c r="K9" s="2" t="s">
        <v>547</v>
      </c>
      <c r="L9" s="1" t="s">
        <v>16</v>
      </c>
      <c r="M9" s="1" t="s">
        <v>565</v>
      </c>
      <c r="N9" s="1">
        <v>3020000515</v>
      </c>
      <c r="O9" s="2" t="s">
        <v>1409</v>
      </c>
      <c r="P9" s="2"/>
      <c r="Q9" s="2" t="s">
        <v>1410</v>
      </c>
      <c r="R9" s="2" t="s">
        <v>577</v>
      </c>
      <c r="S9" s="8"/>
      <c r="T9" s="1" t="s">
        <v>431</v>
      </c>
      <c r="W9" s="25">
        <f>631145*2</f>
        <v>1262290</v>
      </c>
      <c r="X9" s="25">
        <v>450000</v>
      </c>
      <c r="Y9" s="1">
        <v>12</v>
      </c>
      <c r="Z9" s="23" t="s">
        <v>579</v>
      </c>
      <c r="AA9" s="13" t="s">
        <v>580</v>
      </c>
      <c r="AB9" s="98" t="s">
        <v>316</v>
      </c>
      <c r="AC9" s="81" t="s">
        <v>316</v>
      </c>
      <c r="AD9" s="28">
        <v>9680100</v>
      </c>
      <c r="AE9" s="14">
        <v>11</v>
      </c>
      <c r="AF9" s="31">
        <v>450000</v>
      </c>
      <c r="AG9" s="31">
        <f t="shared" si="0"/>
        <v>-4545770</v>
      </c>
      <c r="AH9" s="51">
        <f>Table13[[#This Row],[Avg reagent Sales per month Actual]]-Table13[[#This Row],[Per Month Reagent Commitment]]</f>
        <v>0</v>
      </c>
      <c r="AI9" s="16" t="s">
        <v>589</v>
      </c>
    </row>
    <row r="10" spans="1:35" ht="30" customHeight="1" x14ac:dyDescent="0.3">
      <c r="A10" s="1">
        <v>11</v>
      </c>
      <c r="B10" s="1" t="s">
        <v>297</v>
      </c>
      <c r="C10" s="1" t="s">
        <v>30</v>
      </c>
      <c r="D10" s="1">
        <v>15002463</v>
      </c>
      <c r="E10" s="1" t="s">
        <v>317</v>
      </c>
      <c r="F10" s="93">
        <v>3002000011</v>
      </c>
      <c r="G10" s="1" t="s">
        <v>724</v>
      </c>
      <c r="H10" s="24" t="s">
        <v>725</v>
      </c>
      <c r="I10" s="24">
        <v>44652</v>
      </c>
      <c r="J10" s="38" t="s">
        <v>1411</v>
      </c>
      <c r="K10" s="2" t="s">
        <v>547</v>
      </c>
      <c r="L10" s="1" t="s">
        <v>15</v>
      </c>
      <c r="M10" s="1" t="s">
        <v>305</v>
      </c>
      <c r="N10" s="78">
        <v>3020000701</v>
      </c>
      <c r="O10" s="2" t="s">
        <v>168</v>
      </c>
      <c r="P10" s="2"/>
      <c r="Q10" s="46"/>
      <c r="R10" s="2" t="s">
        <v>730</v>
      </c>
      <c r="S10" s="8" t="s">
        <v>731</v>
      </c>
      <c r="T10" s="1" t="s">
        <v>732</v>
      </c>
      <c r="U10" s="1" t="s">
        <v>733</v>
      </c>
      <c r="V10" s="1" t="s">
        <v>733</v>
      </c>
      <c r="W10" s="25">
        <v>4500000</v>
      </c>
      <c r="X10" s="25">
        <v>761989</v>
      </c>
      <c r="Y10" s="1">
        <v>12</v>
      </c>
      <c r="Z10" s="23" t="s">
        <v>734</v>
      </c>
      <c r="AA10" s="13" t="s">
        <v>735</v>
      </c>
      <c r="AB10" s="81" t="s">
        <v>736</v>
      </c>
      <c r="AC10" s="81" t="s">
        <v>737</v>
      </c>
      <c r="AD10" s="28">
        <v>1199513.5</v>
      </c>
      <c r="AE10" s="17">
        <v>10</v>
      </c>
      <c r="AF10" s="31">
        <f>AD10/AE10</f>
        <v>119951.35</v>
      </c>
      <c r="AG10" s="31">
        <f t="shared" si="0"/>
        <v>3780291.9</v>
      </c>
      <c r="AH10" s="51">
        <f>Table13[[#This Row],[Avg reagent Sales per month Actual]]-Table13[[#This Row],[Per Month Reagent Commitment]]</f>
        <v>-642037.65</v>
      </c>
      <c r="AI10" s="15" t="s">
        <v>1412</v>
      </c>
    </row>
    <row r="11" spans="1:35" ht="30" customHeight="1" x14ac:dyDescent="0.3">
      <c r="A11" s="1">
        <v>8</v>
      </c>
      <c r="B11" s="1" t="s">
        <v>1413</v>
      </c>
      <c r="C11" s="1" t="s">
        <v>30</v>
      </c>
      <c r="D11" s="1">
        <v>15002463</v>
      </c>
      <c r="E11" s="1" t="s">
        <v>317</v>
      </c>
      <c r="F11" s="92">
        <v>3002000008</v>
      </c>
      <c r="G11" s="1" t="s">
        <v>1414</v>
      </c>
      <c r="H11" s="24" t="s">
        <v>1415</v>
      </c>
      <c r="I11" s="24">
        <v>44677</v>
      </c>
      <c r="J11" s="38"/>
      <c r="K11" s="2" t="s">
        <v>1416</v>
      </c>
      <c r="L11" s="1" t="s">
        <v>17</v>
      </c>
      <c r="M11" s="1" t="s">
        <v>440</v>
      </c>
      <c r="N11" s="78">
        <v>3020000190</v>
      </c>
      <c r="O11" s="2" t="s">
        <v>139</v>
      </c>
      <c r="P11" s="2" t="s">
        <v>1417</v>
      </c>
      <c r="Q11" s="56" t="s">
        <v>1418</v>
      </c>
      <c r="R11" s="2" t="s">
        <v>1419</v>
      </c>
      <c r="S11" s="8" t="s">
        <v>1420</v>
      </c>
      <c r="T11" s="1" t="s">
        <v>458</v>
      </c>
      <c r="U11" s="1" t="s">
        <v>733</v>
      </c>
      <c r="V11" s="1" t="s">
        <v>733</v>
      </c>
      <c r="W11" s="25">
        <v>4500000</v>
      </c>
      <c r="X11" s="26">
        <v>400000</v>
      </c>
      <c r="Y11" s="1">
        <v>30</v>
      </c>
      <c r="Z11" s="22" t="s">
        <v>1421</v>
      </c>
      <c r="AA11" s="10" t="s">
        <v>956</v>
      </c>
      <c r="AB11" s="99" t="s">
        <v>957</v>
      </c>
      <c r="AC11" s="86" t="s">
        <v>1422</v>
      </c>
      <c r="AD11" s="29">
        <v>823643</v>
      </c>
      <c r="AE11" s="17">
        <v>10</v>
      </c>
      <c r="AF11" s="31">
        <f>AD11/AE11</f>
        <v>82364.3</v>
      </c>
      <c r="AG11" s="31">
        <f t="shared" si="0"/>
        <v>4005814.2</v>
      </c>
      <c r="AH11" s="51">
        <f>Table13[[#This Row],[Avg reagent Sales per month Actual]]-Table13[[#This Row],[Per Month Reagent Commitment]]</f>
        <v>-317635.7</v>
      </c>
      <c r="AI11" s="15" t="s">
        <v>1423</v>
      </c>
    </row>
    <row r="12" spans="1:35" ht="30" customHeight="1" x14ac:dyDescent="0.3">
      <c r="A12" s="1">
        <v>9</v>
      </c>
      <c r="B12" s="1" t="s">
        <v>297</v>
      </c>
      <c r="C12" s="1" t="s">
        <v>31</v>
      </c>
      <c r="D12" s="1">
        <v>15002462</v>
      </c>
      <c r="E12" s="1" t="s">
        <v>298</v>
      </c>
      <c r="F12" s="93">
        <v>3002000009</v>
      </c>
      <c r="G12" s="1" t="s">
        <v>531</v>
      </c>
      <c r="H12" s="24" t="s">
        <v>1052</v>
      </c>
      <c r="I12" s="24">
        <v>44740</v>
      </c>
      <c r="J12" s="38" t="s">
        <v>1424</v>
      </c>
      <c r="K12" s="2" t="s">
        <v>547</v>
      </c>
      <c r="L12" s="1" t="s">
        <v>15</v>
      </c>
      <c r="M12" s="1" t="s">
        <v>1000</v>
      </c>
      <c r="N12" s="1">
        <v>3020001083</v>
      </c>
      <c r="O12" s="2" t="s">
        <v>1425</v>
      </c>
      <c r="P12" s="2" t="s">
        <v>1426</v>
      </c>
      <c r="Q12" s="49" t="s">
        <v>536</v>
      </c>
      <c r="R12" s="2" t="s">
        <v>537</v>
      </c>
      <c r="S12" s="8" t="s">
        <v>538</v>
      </c>
      <c r="T12" s="1">
        <f>-T18</f>
        <v>0</v>
      </c>
      <c r="U12" s="1" t="s">
        <v>733</v>
      </c>
      <c r="V12" s="1" t="s">
        <v>539</v>
      </c>
      <c r="W12" s="25">
        <v>2675000</v>
      </c>
      <c r="X12" s="25">
        <v>690432.13</v>
      </c>
      <c r="Y12" s="1">
        <v>14</v>
      </c>
      <c r="Z12" s="23" t="s">
        <v>1427</v>
      </c>
      <c r="AA12" s="13" t="s">
        <v>1428</v>
      </c>
      <c r="AB12" s="72" t="s">
        <v>1429</v>
      </c>
      <c r="AC12" s="87" t="s">
        <v>881</v>
      </c>
      <c r="AD12" s="29">
        <v>594600</v>
      </c>
      <c r="AE12" s="1">
        <v>10</v>
      </c>
      <c r="AF12" s="31">
        <f>AD12/AE12</f>
        <v>59460</v>
      </c>
      <c r="AG12" s="31">
        <f t="shared" si="0"/>
        <v>2318240</v>
      </c>
      <c r="AH12" s="51">
        <f>Table13[[#This Row],[Avg reagent Sales per month Actual]]-Table13[[#This Row],[Per Month Reagent Commitment]]</f>
        <v>-630972.13</v>
      </c>
      <c r="AI12" s="18" t="s">
        <v>1430</v>
      </c>
    </row>
    <row r="13" spans="1:35" ht="30" customHeight="1" x14ac:dyDescent="0.3">
      <c r="A13" s="1" t="s">
        <v>195</v>
      </c>
      <c r="B13" s="1" t="s">
        <v>297</v>
      </c>
      <c r="C13" s="1" t="s">
        <v>31</v>
      </c>
      <c r="D13" s="1">
        <v>15002462</v>
      </c>
      <c r="E13" s="1" t="s">
        <v>298</v>
      </c>
      <c r="F13" s="92">
        <v>3002000010</v>
      </c>
      <c r="G13" s="1" t="s">
        <v>300</v>
      </c>
      <c r="H13" s="24" t="s">
        <v>1431</v>
      </c>
      <c r="I13" s="24">
        <v>44840</v>
      </c>
      <c r="J13" s="37">
        <v>44840</v>
      </c>
      <c r="K13" s="2" t="s">
        <v>547</v>
      </c>
      <c r="L13" s="1" t="s">
        <v>15</v>
      </c>
      <c r="M13" s="1" t="s">
        <v>305</v>
      </c>
      <c r="N13" s="1">
        <v>3020001591</v>
      </c>
      <c r="O13" s="2" t="s">
        <v>1432</v>
      </c>
      <c r="P13" s="2" t="s">
        <v>1433</v>
      </c>
      <c r="Q13" s="2" t="s">
        <v>1434</v>
      </c>
      <c r="R13" s="2" t="s">
        <v>1435</v>
      </c>
      <c r="S13" s="8" t="s">
        <v>1436</v>
      </c>
      <c r="T13" s="1" t="s">
        <v>1437</v>
      </c>
      <c r="U13" s="1" t="s">
        <v>733</v>
      </c>
      <c r="V13" s="1" t="s">
        <v>733</v>
      </c>
      <c r="W13" s="25">
        <v>2675000</v>
      </c>
      <c r="X13" s="25">
        <v>492150</v>
      </c>
      <c r="Y13" s="1">
        <v>18</v>
      </c>
      <c r="Z13" s="23" t="s">
        <v>1438</v>
      </c>
      <c r="AA13" s="13" t="s">
        <v>1439</v>
      </c>
      <c r="AB13" s="81" t="s">
        <v>1440</v>
      </c>
      <c r="AC13" s="85" t="s">
        <v>1441</v>
      </c>
      <c r="AD13" s="28"/>
      <c r="AF13" s="31"/>
      <c r="AG13" s="31"/>
      <c r="AH13" s="51">
        <f>Table13[[#This Row],[Avg reagent Sales per month Actual]]-Table13[[#This Row],[Per Month Reagent Commitment]]</f>
        <v>-492150</v>
      </c>
      <c r="AI13" s="18" t="s">
        <v>1442</v>
      </c>
    </row>
    <row r="14" spans="1:35" ht="30" customHeight="1" x14ac:dyDescent="0.3">
      <c r="A14" s="1">
        <v>11</v>
      </c>
      <c r="B14" s="1" t="s">
        <v>297</v>
      </c>
      <c r="C14" s="1" t="s">
        <v>31</v>
      </c>
      <c r="D14" s="1">
        <v>15002462</v>
      </c>
      <c r="E14" s="1" t="s">
        <v>298</v>
      </c>
      <c r="F14" s="93">
        <v>3002000014</v>
      </c>
      <c r="G14" s="1" t="s">
        <v>592</v>
      </c>
      <c r="H14" s="24" t="s">
        <v>593</v>
      </c>
      <c r="I14" s="24">
        <v>44741</v>
      </c>
      <c r="J14" s="39" t="s">
        <v>1443</v>
      </c>
      <c r="K14" s="1" t="s">
        <v>547</v>
      </c>
      <c r="L14" s="1" t="s">
        <v>15</v>
      </c>
      <c r="M14" s="1" t="s">
        <v>305</v>
      </c>
      <c r="N14" s="1">
        <v>3020000539</v>
      </c>
      <c r="O14" s="2" t="s">
        <v>136</v>
      </c>
      <c r="P14" s="2" t="s">
        <v>597</v>
      </c>
      <c r="Q14" s="49" t="s">
        <v>598</v>
      </c>
      <c r="R14" s="2" t="s">
        <v>599</v>
      </c>
      <c r="S14" s="8" t="s">
        <v>600</v>
      </c>
      <c r="T14" s="1" t="s">
        <v>601</v>
      </c>
      <c r="W14" s="25">
        <v>2675000</v>
      </c>
      <c r="X14" s="25">
        <v>493226.5</v>
      </c>
      <c r="Y14" s="1">
        <v>16</v>
      </c>
      <c r="Z14" s="23" t="s">
        <v>602</v>
      </c>
      <c r="AA14" s="13" t="s">
        <v>603</v>
      </c>
      <c r="AB14" s="72" t="s">
        <v>604</v>
      </c>
      <c r="AC14" s="72" t="s">
        <v>605</v>
      </c>
      <c r="AD14" s="28">
        <v>1878118.25</v>
      </c>
      <c r="AE14" s="1">
        <v>10</v>
      </c>
      <c r="AF14" s="31">
        <f t="shared" ref="AF14:AF23" si="1">AD14/AE14</f>
        <v>187811.82500000001</v>
      </c>
      <c r="AG14" s="31">
        <f t="shared" ref="AG14:AG23" si="2">W14-(AD14*60%)</f>
        <v>1548129.05</v>
      </c>
      <c r="AH14" s="51">
        <f>Table13[[#This Row],[Avg reagent Sales per month Actual]]-Table13[[#This Row],[Per Month Reagent Commitment]]</f>
        <v>-305414.67499999999</v>
      </c>
      <c r="AI14" s="18" t="s">
        <v>1318</v>
      </c>
    </row>
    <row r="15" spans="1:35" ht="30" customHeight="1" x14ac:dyDescent="0.3">
      <c r="A15" s="1">
        <v>12</v>
      </c>
      <c r="B15" s="1" t="s">
        <v>297</v>
      </c>
      <c r="C15" s="1" t="s">
        <v>30</v>
      </c>
      <c r="D15" s="1">
        <v>15002463</v>
      </c>
      <c r="E15" s="1" t="s">
        <v>317</v>
      </c>
      <c r="F15" s="92">
        <v>3002000012</v>
      </c>
      <c r="G15" s="1" t="s">
        <v>704</v>
      </c>
      <c r="H15" s="24" t="s">
        <v>705</v>
      </c>
      <c r="I15" s="24">
        <v>44741</v>
      </c>
      <c r="J15" s="40">
        <v>44749</v>
      </c>
      <c r="K15" s="1" t="s">
        <v>547</v>
      </c>
      <c r="L15" s="1" t="s">
        <v>15</v>
      </c>
      <c r="M15" s="1" t="s">
        <v>305</v>
      </c>
      <c r="N15" s="1">
        <v>3020000692</v>
      </c>
      <c r="O15" s="2" t="s">
        <v>74</v>
      </c>
      <c r="P15" s="2" t="s">
        <v>707</v>
      </c>
      <c r="Q15" s="48" t="s">
        <v>708</v>
      </c>
      <c r="R15" s="2" t="s">
        <v>709</v>
      </c>
      <c r="S15" s="8" t="s">
        <v>710</v>
      </c>
      <c r="T15" s="1" t="s">
        <v>701</v>
      </c>
      <c r="W15" s="25">
        <v>4500000</v>
      </c>
      <c r="X15" s="25">
        <v>527731</v>
      </c>
      <c r="Y15" s="1">
        <v>15</v>
      </c>
      <c r="Z15" s="23" t="s">
        <v>711</v>
      </c>
      <c r="AA15" s="13" t="s">
        <v>712</v>
      </c>
      <c r="AB15" s="81" t="s">
        <v>713</v>
      </c>
      <c r="AC15" s="81" t="s">
        <v>330</v>
      </c>
      <c r="AD15" s="28">
        <v>2473733.83</v>
      </c>
      <c r="AE15" s="17">
        <v>10</v>
      </c>
      <c r="AF15" s="31">
        <f t="shared" si="1"/>
        <v>247373.383</v>
      </c>
      <c r="AG15" s="31">
        <f t="shared" si="2"/>
        <v>3015759.702</v>
      </c>
      <c r="AH15" s="51">
        <f>Table13[[#This Row],[Avg reagent Sales per month Actual]]-Table13[[#This Row],[Per Month Reagent Commitment]]</f>
        <v>-280357.61699999997</v>
      </c>
      <c r="AI15" s="15" t="s">
        <v>343</v>
      </c>
    </row>
    <row r="16" spans="1:35" ht="30" customHeight="1" x14ac:dyDescent="0.3">
      <c r="A16" s="1">
        <v>13</v>
      </c>
      <c r="B16" s="1" t="s">
        <v>1413</v>
      </c>
      <c r="C16" s="1" t="s">
        <v>35</v>
      </c>
      <c r="D16" s="1">
        <v>15002553</v>
      </c>
      <c r="E16" s="1" t="s">
        <v>298</v>
      </c>
      <c r="F16" s="93">
        <v>3002000019</v>
      </c>
      <c r="G16" s="1" t="s">
        <v>945</v>
      </c>
      <c r="H16" s="24" t="s">
        <v>946</v>
      </c>
      <c r="I16" s="24">
        <v>44756</v>
      </c>
      <c r="J16" s="39" t="s">
        <v>1444</v>
      </c>
      <c r="K16" s="1" t="s">
        <v>547</v>
      </c>
      <c r="L16" s="1" t="s">
        <v>17</v>
      </c>
      <c r="M16" s="1" t="s">
        <v>949</v>
      </c>
      <c r="N16" s="1">
        <v>3020000943</v>
      </c>
      <c r="O16" s="2" t="s">
        <v>185</v>
      </c>
      <c r="P16" s="57" t="s">
        <v>950</v>
      </c>
      <c r="Q16" s="56" t="s">
        <v>951</v>
      </c>
      <c r="R16" s="2" t="s">
        <v>952</v>
      </c>
      <c r="S16" s="8" t="s">
        <v>953</v>
      </c>
      <c r="T16" s="1" t="s">
        <v>954</v>
      </c>
      <c r="W16" s="25">
        <v>2100000</v>
      </c>
      <c r="X16" s="25">
        <v>490395</v>
      </c>
      <c r="Y16" s="1">
        <v>12</v>
      </c>
      <c r="Z16" s="22" t="s">
        <v>955</v>
      </c>
      <c r="AA16" s="47" t="s">
        <v>956</v>
      </c>
      <c r="AB16" s="47" t="s">
        <v>881</v>
      </c>
      <c r="AC16" s="86" t="s">
        <v>957</v>
      </c>
      <c r="AD16" s="28">
        <v>516287</v>
      </c>
      <c r="AE16" s="1">
        <v>8</v>
      </c>
      <c r="AF16" s="31">
        <f t="shared" si="1"/>
        <v>64535.875</v>
      </c>
      <c r="AG16" s="31">
        <f t="shared" si="2"/>
        <v>1790227.8</v>
      </c>
      <c r="AH16" s="51">
        <f>Table13[[#This Row],[Avg reagent Sales per month Actual]]-Table13[[#This Row],[Per Month Reagent Commitment]]</f>
        <v>-425859.125</v>
      </c>
      <c r="AI16" s="15" t="s">
        <v>1445</v>
      </c>
    </row>
    <row r="17" spans="1:35" ht="30" customHeight="1" x14ac:dyDescent="0.3">
      <c r="A17" s="1">
        <v>14</v>
      </c>
      <c r="B17" s="1" t="s">
        <v>297</v>
      </c>
      <c r="C17" s="1" t="s">
        <v>35</v>
      </c>
      <c r="D17" s="1">
        <v>15002553</v>
      </c>
      <c r="E17" s="1" t="s">
        <v>298</v>
      </c>
      <c r="F17" s="92">
        <v>3002000013</v>
      </c>
      <c r="G17" s="1" t="s">
        <v>873</v>
      </c>
      <c r="H17" s="24" t="s">
        <v>874</v>
      </c>
      <c r="I17" s="24">
        <v>44769</v>
      </c>
      <c r="J17" s="40">
        <v>44689</v>
      </c>
      <c r="K17" s="1" t="s">
        <v>1416</v>
      </c>
      <c r="L17" s="1" t="s">
        <v>15</v>
      </c>
      <c r="M17" s="1" t="s">
        <v>305</v>
      </c>
      <c r="N17" s="1">
        <v>3020000160</v>
      </c>
      <c r="O17" s="2" t="s">
        <v>1446</v>
      </c>
      <c r="P17" s="2" t="s">
        <v>877</v>
      </c>
      <c r="Q17" s="56" t="s">
        <v>878</v>
      </c>
      <c r="R17" s="2"/>
      <c r="S17" s="8" t="s">
        <v>879</v>
      </c>
      <c r="T17" s="1" t="s">
        <v>880</v>
      </c>
      <c r="W17" s="26">
        <v>1700000</v>
      </c>
      <c r="X17" s="26">
        <v>786668.28</v>
      </c>
      <c r="Y17" s="1">
        <v>6</v>
      </c>
      <c r="Z17" s="23" t="s">
        <v>711</v>
      </c>
      <c r="AA17" s="13" t="s">
        <v>603</v>
      </c>
      <c r="AB17" s="72" t="s">
        <v>713</v>
      </c>
      <c r="AC17" s="88" t="s">
        <v>881</v>
      </c>
      <c r="AD17" s="28">
        <v>513000</v>
      </c>
      <c r="AE17" s="1">
        <v>9</v>
      </c>
      <c r="AF17" s="31">
        <f t="shared" si="1"/>
        <v>57000</v>
      </c>
      <c r="AG17" s="31">
        <f t="shared" si="2"/>
        <v>1392200</v>
      </c>
      <c r="AH17" s="51">
        <f>Table13[[#This Row],[Avg reagent Sales per month Actual]]-Table13[[#This Row],[Per Month Reagent Commitment]]</f>
        <v>-729668.28</v>
      </c>
      <c r="AI17" s="15" t="s">
        <v>1447</v>
      </c>
    </row>
    <row r="18" spans="1:35" ht="30" customHeight="1" thickBot="1" x14ac:dyDescent="0.35">
      <c r="A18" s="1">
        <v>15</v>
      </c>
      <c r="B18" s="1" t="s">
        <v>297</v>
      </c>
      <c r="C18" s="1" t="s">
        <v>30</v>
      </c>
      <c r="D18" s="1">
        <v>15002463</v>
      </c>
      <c r="E18" s="1" t="s">
        <v>317</v>
      </c>
      <c r="F18" s="93">
        <v>3002000017</v>
      </c>
      <c r="G18" s="1" t="s">
        <v>1010</v>
      </c>
      <c r="H18" s="24" t="s">
        <v>1011</v>
      </c>
      <c r="I18" s="24">
        <v>44789</v>
      </c>
      <c r="J18" s="39" t="s">
        <v>1448</v>
      </c>
      <c r="K18" s="1" t="s">
        <v>547</v>
      </c>
      <c r="L18" s="1" t="s">
        <v>15</v>
      </c>
      <c r="M18" s="1" t="s">
        <v>305</v>
      </c>
      <c r="N18" s="1">
        <v>3020001047</v>
      </c>
      <c r="O18" s="2" t="s">
        <v>108</v>
      </c>
      <c r="P18" s="2"/>
      <c r="Q18" s="56" t="s">
        <v>1015</v>
      </c>
      <c r="R18" s="2"/>
      <c r="S18" s="8"/>
      <c r="W18" s="26">
        <v>4500000</v>
      </c>
      <c r="X18" s="26">
        <v>474155</v>
      </c>
      <c r="Y18" s="1">
        <v>23</v>
      </c>
      <c r="Z18" s="23" t="s">
        <v>711</v>
      </c>
      <c r="AA18" s="13" t="s">
        <v>1018</v>
      </c>
      <c r="AB18" s="81" t="s">
        <v>604</v>
      </c>
      <c r="AC18" s="81" t="s">
        <v>737</v>
      </c>
      <c r="AD18" s="29">
        <v>1968621.42</v>
      </c>
      <c r="AE18" s="17">
        <v>9</v>
      </c>
      <c r="AF18" s="31">
        <f t="shared" si="1"/>
        <v>218735.71333333332</v>
      </c>
      <c r="AG18" s="31">
        <f t="shared" si="2"/>
        <v>3318827.148</v>
      </c>
      <c r="AH18" s="51">
        <f>Table13[[#This Row],[Avg reagent Sales per month Actual]]-Table13[[#This Row],[Per Month Reagent Commitment]]</f>
        <v>-255419.28666666668</v>
      </c>
      <c r="AI18" s="18" t="s">
        <v>1449</v>
      </c>
    </row>
    <row r="19" spans="1:35" ht="30" customHeight="1" thickTop="1" x14ac:dyDescent="0.3">
      <c r="A19" s="1">
        <v>16</v>
      </c>
      <c r="B19" s="1" t="s">
        <v>1394</v>
      </c>
      <c r="C19" s="1" t="s">
        <v>30</v>
      </c>
      <c r="D19" s="1">
        <v>15002463</v>
      </c>
      <c r="E19" s="1" t="s">
        <v>317</v>
      </c>
      <c r="F19" s="92">
        <v>3002000018</v>
      </c>
      <c r="G19" s="19" t="s">
        <v>655</v>
      </c>
      <c r="H19" s="24" t="s">
        <v>656</v>
      </c>
      <c r="I19" s="24">
        <v>44799</v>
      </c>
      <c r="J19" s="39" t="s">
        <v>1450</v>
      </c>
      <c r="K19" s="1" t="s">
        <v>1416</v>
      </c>
      <c r="L19" s="1" t="s">
        <v>16</v>
      </c>
      <c r="M19" s="1" t="s">
        <v>651</v>
      </c>
      <c r="N19" s="79">
        <v>3020000633</v>
      </c>
      <c r="O19" s="2" t="s">
        <v>131</v>
      </c>
      <c r="P19" s="2"/>
      <c r="Q19" s="1" t="s">
        <v>1451</v>
      </c>
      <c r="R19" s="41" t="s">
        <v>653</v>
      </c>
      <c r="T19" s="41" t="s">
        <v>431</v>
      </c>
      <c r="W19" s="25">
        <v>4500000</v>
      </c>
      <c r="X19" s="25">
        <v>1237668</v>
      </c>
      <c r="Y19" s="1">
        <v>9</v>
      </c>
      <c r="Z19" s="23" t="s">
        <v>659</v>
      </c>
      <c r="AA19" s="36" t="s">
        <v>660</v>
      </c>
      <c r="AB19" s="100" t="s">
        <v>661</v>
      </c>
      <c r="AC19" s="89" t="s">
        <v>661</v>
      </c>
      <c r="AD19" s="28">
        <v>5910325</v>
      </c>
      <c r="AE19" s="1">
        <v>8</v>
      </c>
      <c r="AF19" s="32">
        <f t="shared" si="1"/>
        <v>738790.625</v>
      </c>
      <c r="AG19" s="25">
        <f t="shared" si="2"/>
        <v>953805</v>
      </c>
      <c r="AH19" s="51">
        <f>Table13[[#This Row],[Avg reagent Sales per month Actual]]-Table13[[#This Row],[Per Month Reagent Commitment]]</f>
        <v>-498877.375</v>
      </c>
      <c r="AI19" s="12" t="s">
        <v>1396</v>
      </c>
    </row>
    <row r="20" spans="1:35" ht="28.8" x14ac:dyDescent="0.3">
      <c r="A20" s="1">
        <v>17</v>
      </c>
      <c r="B20" s="1" t="s">
        <v>297</v>
      </c>
      <c r="C20" s="20" t="s">
        <v>1452</v>
      </c>
      <c r="D20" s="2">
        <v>15002760</v>
      </c>
      <c r="E20" s="1" t="s">
        <v>1453</v>
      </c>
      <c r="F20" s="93">
        <v>3002000020</v>
      </c>
      <c r="G20" s="1">
        <v>30006249</v>
      </c>
      <c r="H20" s="24" t="s">
        <v>1309</v>
      </c>
      <c r="I20" s="24">
        <v>44830</v>
      </c>
      <c r="J20" s="39" t="s">
        <v>1454</v>
      </c>
      <c r="K20" s="1" t="s">
        <v>1416</v>
      </c>
      <c r="L20" s="1" t="s">
        <v>15</v>
      </c>
      <c r="M20" s="1" t="s">
        <v>1000</v>
      </c>
      <c r="N20" s="1">
        <v>3020001748</v>
      </c>
      <c r="O20" s="2" t="s">
        <v>114</v>
      </c>
      <c r="Q20" s="2" t="s">
        <v>1319</v>
      </c>
      <c r="W20" s="25">
        <v>9297200</v>
      </c>
      <c r="X20" s="25">
        <v>1380048</v>
      </c>
      <c r="Y20" s="1">
        <v>30</v>
      </c>
      <c r="Z20"/>
      <c r="AA20" s="1" t="s">
        <v>1314</v>
      </c>
      <c r="AB20" s="82" t="s">
        <v>519</v>
      </c>
      <c r="AC20" s="82" t="s">
        <v>520</v>
      </c>
      <c r="AD20" s="28">
        <f>11254271/3</f>
        <v>3751423.6666666665</v>
      </c>
      <c r="AE20" s="1">
        <v>7</v>
      </c>
      <c r="AF20" s="32">
        <f t="shared" si="1"/>
        <v>535917.66666666663</v>
      </c>
      <c r="AG20" s="25">
        <f t="shared" si="2"/>
        <v>7046345.8000000007</v>
      </c>
      <c r="AH20" s="51">
        <f>Table13[[#This Row],[Avg reagent Sales per month Actual]]-Table13[[#This Row],[Per Month Reagent Commitment]]</f>
        <v>-844130.33333333337</v>
      </c>
      <c r="AI20" s="15" t="s">
        <v>1318</v>
      </c>
    </row>
    <row r="21" spans="1:35" ht="28.8" x14ac:dyDescent="0.3">
      <c r="A21" s="1">
        <v>18</v>
      </c>
      <c r="B21" s="1" t="s">
        <v>297</v>
      </c>
      <c r="C21" s="20" t="s">
        <v>1452</v>
      </c>
      <c r="D21" s="2">
        <v>15002760</v>
      </c>
      <c r="E21" s="1" t="s">
        <v>1455</v>
      </c>
      <c r="F21" s="92">
        <v>3002000021</v>
      </c>
      <c r="G21" s="1">
        <v>30006248</v>
      </c>
      <c r="H21" s="24" t="s">
        <v>1309</v>
      </c>
      <c r="I21" s="24">
        <v>44827</v>
      </c>
      <c r="J21" s="39" t="s">
        <v>1454</v>
      </c>
      <c r="K21" s="1" t="s">
        <v>547</v>
      </c>
      <c r="L21" s="1" t="s">
        <v>15</v>
      </c>
      <c r="M21" s="1" t="s">
        <v>1000</v>
      </c>
      <c r="N21" s="1">
        <v>3020001748</v>
      </c>
      <c r="O21" s="2" t="s">
        <v>96</v>
      </c>
      <c r="Q21" s="1" t="s">
        <v>1313</v>
      </c>
      <c r="W21" s="25">
        <v>9297200</v>
      </c>
      <c r="X21" s="25">
        <v>1002975</v>
      </c>
      <c r="Y21" s="1">
        <v>30</v>
      </c>
      <c r="Z21"/>
      <c r="AA21" s="1" t="s">
        <v>1314</v>
      </c>
      <c r="AB21" s="82" t="s">
        <v>519</v>
      </c>
      <c r="AC21" s="90" t="s">
        <v>520</v>
      </c>
      <c r="AD21" s="28">
        <f>11254271/3</f>
        <v>3751423.6666666665</v>
      </c>
      <c r="AE21" s="1">
        <v>7</v>
      </c>
      <c r="AF21" s="31">
        <f t="shared" si="1"/>
        <v>535917.66666666663</v>
      </c>
      <c r="AG21" s="25">
        <f t="shared" si="2"/>
        <v>7046345.8000000007</v>
      </c>
      <c r="AH21" s="51">
        <f>Table13[[#This Row],[Avg reagent Sales per month Actual]]-Table13[[#This Row],[Per Month Reagent Commitment]]</f>
        <v>-467057.33333333337</v>
      </c>
      <c r="AI21" s="15" t="s">
        <v>1318</v>
      </c>
    </row>
    <row r="22" spans="1:35" ht="29.25" customHeight="1" x14ac:dyDescent="0.3">
      <c r="A22" s="52">
        <v>19</v>
      </c>
      <c r="B22" s="52" t="s">
        <v>297</v>
      </c>
      <c r="C22" s="52" t="s">
        <v>1452</v>
      </c>
      <c r="D22" s="59">
        <v>15002760</v>
      </c>
      <c r="E22" s="52" t="s">
        <v>1453</v>
      </c>
      <c r="F22" s="93">
        <v>3002000023</v>
      </c>
      <c r="G22">
        <v>30004829</v>
      </c>
      <c r="H22" s="53"/>
      <c r="I22" s="53">
        <v>44843</v>
      </c>
      <c r="J22" s="40">
        <v>44814</v>
      </c>
      <c r="K22" s="52" t="s">
        <v>547</v>
      </c>
      <c r="L22" s="52" t="s">
        <v>15</v>
      </c>
      <c r="M22" s="52" t="s">
        <v>1456</v>
      </c>
      <c r="N22" s="52">
        <v>3020000439</v>
      </c>
      <c r="O22" s="65" t="s">
        <v>63</v>
      </c>
      <c r="P22" s="65"/>
      <c r="Q22" s="65" t="s">
        <v>515</v>
      </c>
      <c r="R22" s="65" t="s">
        <v>516</v>
      </c>
      <c r="S22" s="68" t="s">
        <v>517</v>
      </c>
      <c r="T22" s="52" t="s">
        <v>518</v>
      </c>
      <c r="U22" s="52"/>
      <c r="V22" s="52"/>
      <c r="W22" s="54">
        <v>5847387</v>
      </c>
      <c r="X22" s="54">
        <v>545522</v>
      </c>
      <c r="Y22" s="52">
        <v>60</v>
      </c>
      <c r="Z22" s="72"/>
      <c r="AA22" s="73"/>
      <c r="AB22" s="82" t="s">
        <v>519</v>
      </c>
      <c r="AC22" s="82" t="s">
        <v>520</v>
      </c>
      <c r="AD22" s="28">
        <v>1220658.73</v>
      </c>
      <c r="AE22" s="52">
        <v>6</v>
      </c>
      <c r="AF22" s="31">
        <f t="shared" si="1"/>
        <v>203443.12166666667</v>
      </c>
      <c r="AG22" s="25">
        <f t="shared" si="2"/>
        <v>5114991.7620000001</v>
      </c>
      <c r="AH22" s="74">
        <f>Table13[[#This Row],[Avg reagent Sales per month Actual]]-Table13[[#This Row],[Per Month Reagent Commitment]]</f>
        <v>-342078.8783333333</v>
      </c>
      <c r="AI22" s="15" t="s">
        <v>1318</v>
      </c>
    </row>
    <row r="23" spans="1:35" ht="28.8" x14ac:dyDescent="0.3">
      <c r="A23" s="52">
        <v>20</v>
      </c>
      <c r="B23" s="52" t="s">
        <v>297</v>
      </c>
      <c r="C23" s="52" t="s">
        <v>1452</v>
      </c>
      <c r="D23" s="59">
        <v>15002760</v>
      </c>
      <c r="E23" s="52" t="s">
        <v>1453</v>
      </c>
      <c r="F23" s="92">
        <v>3002000022</v>
      </c>
      <c r="G23" s="76">
        <v>30006240</v>
      </c>
      <c r="H23" s="53"/>
      <c r="I23" s="53">
        <v>44853</v>
      </c>
      <c r="J23" s="63" t="s">
        <v>1457</v>
      </c>
      <c r="K23" s="52" t="s">
        <v>1416</v>
      </c>
      <c r="L23" s="52" t="s">
        <v>15</v>
      </c>
      <c r="M23" s="52" t="s">
        <v>1000</v>
      </c>
      <c r="N23" s="52">
        <v>3020001748</v>
      </c>
      <c r="O23" s="65" t="s">
        <v>133</v>
      </c>
      <c r="P23" s="65" t="s">
        <v>1321</v>
      </c>
      <c r="Q23" s="65" t="s">
        <v>1322</v>
      </c>
      <c r="R23" s="65" t="s">
        <v>1458</v>
      </c>
      <c r="S23" s="52"/>
      <c r="T23" s="52"/>
      <c r="U23" s="52"/>
      <c r="V23" s="52"/>
      <c r="W23" s="69">
        <v>9297200</v>
      </c>
      <c r="X23" s="54">
        <v>1059783</v>
      </c>
      <c r="Y23" s="52">
        <v>29</v>
      </c>
      <c r="Z23" s="72"/>
      <c r="AA23" s="73"/>
      <c r="AB23" s="82" t="s">
        <v>519</v>
      </c>
      <c r="AC23" s="90" t="s">
        <v>520</v>
      </c>
      <c r="AD23" s="28">
        <f>11254271/3</f>
        <v>3751423.6666666665</v>
      </c>
      <c r="AE23" s="52">
        <v>6</v>
      </c>
      <c r="AF23" s="31">
        <f t="shared" si="1"/>
        <v>625237.27777777775</v>
      </c>
      <c r="AG23" s="25">
        <f t="shared" si="2"/>
        <v>7046345.8000000007</v>
      </c>
      <c r="AH23" s="74">
        <f>Table13[[#This Row],[Avg reagent Sales per month Actual]]-Table13[[#This Row],[Per Month Reagent Commitment]]</f>
        <v>-434545.72222222225</v>
      </c>
      <c r="AI23" s="15" t="s">
        <v>1318</v>
      </c>
    </row>
    <row r="24" spans="1:35" ht="14.4" x14ac:dyDescent="0.3">
      <c r="A24" s="58">
        <v>21</v>
      </c>
      <c r="B24" s="58" t="s">
        <v>297</v>
      </c>
      <c r="C24" s="58" t="s">
        <v>1452</v>
      </c>
      <c r="D24" s="60">
        <v>15002760</v>
      </c>
      <c r="E24" s="58" t="s">
        <v>1453</v>
      </c>
      <c r="F24" s="92">
        <v>3002000025</v>
      </c>
      <c r="G24">
        <v>30006240</v>
      </c>
      <c r="H24" s="55"/>
      <c r="I24" s="55">
        <v>44854</v>
      </c>
      <c r="J24" s="64" t="s">
        <v>1459</v>
      </c>
      <c r="K24" s="58" t="s">
        <v>1416</v>
      </c>
      <c r="L24" s="58" t="s">
        <v>1460</v>
      </c>
      <c r="M24" s="58" t="s">
        <v>305</v>
      </c>
      <c r="N24" s="76">
        <v>3020001109</v>
      </c>
      <c r="O24" s="66" t="s">
        <v>1461</v>
      </c>
      <c r="P24" s="65"/>
      <c r="Q24" s="66" t="s">
        <v>622</v>
      </c>
      <c r="R24" s="66"/>
      <c r="S24" s="58"/>
      <c r="T24" s="58"/>
      <c r="U24" s="58"/>
      <c r="V24" s="58"/>
      <c r="W24" s="70">
        <v>9297200</v>
      </c>
      <c r="X24" s="71">
        <v>829374</v>
      </c>
      <c r="Y24" s="58">
        <v>35</v>
      </c>
      <c r="Z24" s="72"/>
      <c r="AA24" s="73"/>
      <c r="AB24" s="82" t="s">
        <v>626</v>
      </c>
      <c r="AC24" s="91" t="s">
        <v>626</v>
      </c>
      <c r="AD24" s="28"/>
      <c r="AE24" s="52"/>
      <c r="AF24" s="54"/>
      <c r="AG24" s="54"/>
      <c r="AH24" s="74">
        <f>Table13[[#This Row],[Avg reagent Sales per month Actual]]-Table13[[#This Row],[Per Month Reagent Commitment]]</f>
        <v>-829374</v>
      </c>
      <c r="AI24" s="15" t="s">
        <v>501</v>
      </c>
    </row>
    <row r="25" spans="1:35" ht="14.4" x14ac:dyDescent="0.3">
      <c r="A25" s="52">
        <v>22</v>
      </c>
      <c r="B25" s="52" t="s">
        <v>297</v>
      </c>
      <c r="C25" s="52" t="s">
        <v>1462</v>
      </c>
      <c r="D25" s="61">
        <v>15002758</v>
      </c>
      <c r="E25" s="52" t="s">
        <v>1453</v>
      </c>
      <c r="F25" s="95" t="s">
        <v>1463</v>
      </c>
      <c r="G25" s="52"/>
      <c r="H25" s="53"/>
      <c r="I25" s="53">
        <v>44724</v>
      </c>
      <c r="J25" s="52"/>
      <c r="K25" s="52" t="s">
        <v>1416</v>
      </c>
      <c r="L25" s="52" t="s">
        <v>1460</v>
      </c>
      <c r="M25" s="52" t="s">
        <v>1000</v>
      </c>
      <c r="N25" s="76">
        <v>3020000683</v>
      </c>
      <c r="O25" s="65" t="s">
        <v>1464</v>
      </c>
      <c r="P25" s="65" t="s">
        <v>1301</v>
      </c>
      <c r="Q25" s="65" t="s">
        <v>1302</v>
      </c>
      <c r="R25" s="65" t="s">
        <v>1303</v>
      </c>
      <c r="S25" s="52"/>
      <c r="T25" s="52"/>
      <c r="U25" s="52"/>
      <c r="W25" s="54">
        <v>10856400</v>
      </c>
      <c r="X25" s="54">
        <v>1266339</v>
      </c>
      <c r="Y25" s="52">
        <v>29</v>
      </c>
      <c r="Z25" s="23"/>
      <c r="AA25" s="13"/>
      <c r="AB25" s="82" t="s">
        <v>519</v>
      </c>
      <c r="AC25" s="90" t="s">
        <v>520</v>
      </c>
      <c r="AD25" s="28"/>
      <c r="AF25" s="25"/>
      <c r="AG25" s="25"/>
      <c r="AH25" s="75">
        <f>Table13[[#This Row],[Avg reagent Sales per month Actual]]-Table13[[#This Row],[Per Month Reagent Commitment]]</f>
        <v>-1266339</v>
      </c>
      <c r="AI25" s="15" t="s">
        <v>1465</v>
      </c>
    </row>
    <row r="26" spans="1:35" ht="29.4" thickBot="1" x14ac:dyDescent="0.35">
      <c r="A26" s="52">
        <v>23</v>
      </c>
      <c r="B26" s="52" t="s">
        <v>1394</v>
      </c>
      <c r="C26" s="1" t="s">
        <v>31</v>
      </c>
      <c r="D26" s="77">
        <v>15002462</v>
      </c>
      <c r="E26" s="52" t="s">
        <v>1453</v>
      </c>
      <c r="F26" s="94" t="s">
        <v>1466</v>
      </c>
      <c r="G26" s="96" t="s">
        <v>1073</v>
      </c>
      <c r="H26" s="62"/>
      <c r="I26" s="62"/>
      <c r="J26" s="40" t="s">
        <v>1467</v>
      </c>
      <c r="K26" s="52" t="s">
        <v>547</v>
      </c>
      <c r="L26" s="52" t="s">
        <v>1468</v>
      </c>
      <c r="M26" s="52" t="s">
        <v>973</v>
      </c>
      <c r="N26" s="77">
        <v>3020001141</v>
      </c>
      <c r="O26" s="65" t="s">
        <v>113</v>
      </c>
      <c r="P26" s="49" t="s">
        <v>1075</v>
      </c>
      <c r="Q26" s="65" t="s">
        <v>1076</v>
      </c>
      <c r="R26" s="49" t="s">
        <v>1077</v>
      </c>
      <c r="S26" s="52"/>
      <c r="T26" s="77" t="s">
        <v>1078</v>
      </c>
      <c r="U26" s="77" t="s">
        <v>1078</v>
      </c>
      <c r="W26" s="65">
        <v>3706000</v>
      </c>
      <c r="X26" s="65">
        <v>541370</v>
      </c>
      <c r="Y26" s="65">
        <v>15</v>
      </c>
      <c r="Z26" s="23"/>
      <c r="AA26" s="13"/>
      <c r="AB26" s="100" t="s">
        <v>1079</v>
      </c>
      <c r="AC26" s="84" t="s">
        <v>957</v>
      </c>
      <c r="AD26" s="28">
        <v>720220</v>
      </c>
      <c r="AE26" s="1">
        <v>3</v>
      </c>
      <c r="AF26" s="31">
        <f>AD26/AE26</f>
        <v>240073.33333333334</v>
      </c>
      <c r="AG26" s="31">
        <f>W26-(AD26*60%)</f>
        <v>3273868</v>
      </c>
      <c r="AH26" s="51">
        <f>Table13[[#This Row],[Avg reagent Sales per month Actual]]-Table13[[#This Row],[Per Month Reagent Commitment]]</f>
        <v>-301296.66666666663</v>
      </c>
      <c r="AI26" s="15" t="s">
        <v>1412</v>
      </c>
    </row>
    <row r="27" spans="1:35" ht="16.2" thickBot="1" x14ac:dyDescent="0.35">
      <c r="A27" s="52">
        <v>24</v>
      </c>
      <c r="B27" s="52" t="s">
        <v>1394</v>
      </c>
      <c r="C27" s="52" t="s">
        <v>35</v>
      </c>
      <c r="D27" s="1">
        <v>15002553</v>
      </c>
      <c r="E27" s="52" t="s">
        <v>298</v>
      </c>
      <c r="F27" s="92">
        <v>3002000024</v>
      </c>
      <c r="G27" s="97" t="s">
        <v>832</v>
      </c>
      <c r="H27" s="62"/>
      <c r="I27" s="62"/>
      <c r="J27" s="40" t="s">
        <v>1467</v>
      </c>
      <c r="K27" s="52" t="s">
        <v>547</v>
      </c>
      <c r="L27" s="52" t="s">
        <v>16</v>
      </c>
      <c r="M27" s="52" t="s">
        <v>349</v>
      </c>
      <c r="N27" s="77">
        <v>3020000816</v>
      </c>
      <c r="O27" s="65" t="s">
        <v>99</v>
      </c>
      <c r="P27" s="49" t="s">
        <v>836</v>
      </c>
      <c r="Q27" s="49" t="s">
        <v>837</v>
      </c>
      <c r="R27" s="49" t="s">
        <v>838</v>
      </c>
      <c r="S27" s="45" t="s">
        <v>839</v>
      </c>
      <c r="T27" s="49" t="s">
        <v>840</v>
      </c>
      <c r="U27" s="49" t="s">
        <v>840</v>
      </c>
      <c r="W27" s="65">
        <v>1962000</v>
      </c>
      <c r="X27" s="65">
        <v>458397</v>
      </c>
      <c r="Y27" s="65">
        <v>10</v>
      </c>
      <c r="Z27" s="23"/>
      <c r="AA27" s="13"/>
      <c r="AB27" s="98" t="s">
        <v>316</v>
      </c>
      <c r="AC27" s="84" t="s">
        <v>841</v>
      </c>
      <c r="AD27" s="28">
        <v>1015958.6799999999</v>
      </c>
      <c r="AE27" s="1">
        <v>4</v>
      </c>
      <c r="AF27" s="31">
        <f>AD27/AE27</f>
        <v>253989.66999999998</v>
      </c>
      <c r="AG27" s="31">
        <f>W27-(AD27*60%)</f>
        <v>1352424.7919999999</v>
      </c>
      <c r="AH27" s="75">
        <f>Table13[[#This Row],[Avg reagent Sales per month Actual]]-Table13[[#This Row],[Per Month Reagent Commitment]]</f>
        <v>-204407.33000000002</v>
      </c>
      <c r="AI27" s="15" t="s">
        <v>343</v>
      </c>
    </row>
    <row r="28" spans="1:35" ht="14.4" x14ac:dyDescent="0.3">
      <c r="D28" s="2"/>
      <c r="E28" s="52"/>
      <c r="G28" s="76"/>
      <c r="H28" s="24"/>
      <c r="I28" s="24"/>
      <c r="J28" s="24"/>
      <c r="O28" s="1"/>
      <c r="P28" s="2"/>
      <c r="Q28" s="76"/>
      <c r="R28" s="76"/>
      <c r="T28" s="76"/>
      <c r="U28" s="76"/>
      <c r="W28" s="25"/>
      <c r="X28" s="25"/>
      <c r="Z28" s="23"/>
      <c r="AA28" s="13"/>
      <c r="AB28" s="82"/>
      <c r="AC28" s="82"/>
      <c r="AD28" s="28"/>
      <c r="AF28" s="25"/>
      <c r="AG28" s="25"/>
      <c r="AH28" s="75"/>
      <c r="AI28" s="15"/>
    </row>
    <row r="29" spans="1:35" ht="14.4" x14ac:dyDescent="0.3">
      <c r="H29" s="24"/>
      <c r="I29" s="24"/>
      <c r="P29" s="2"/>
      <c r="Q29" s="2"/>
      <c r="R29" s="2"/>
      <c r="W29" s="25"/>
      <c r="X29" s="25"/>
      <c r="Z29" s="23"/>
      <c r="AA29" s="13"/>
      <c r="AD29" s="28"/>
      <c r="AF29" s="25"/>
      <c r="AG29" s="25"/>
      <c r="AH29" s="75"/>
      <c r="AI29" s="15"/>
    </row>
    <row r="30" spans="1:35" ht="14.4" x14ac:dyDescent="0.3">
      <c r="H30" s="24"/>
      <c r="I30" s="24"/>
      <c r="O30" s="67" t="s">
        <v>1469</v>
      </c>
      <c r="P30" s="2"/>
      <c r="Q30" s="2"/>
      <c r="R30" s="2"/>
      <c r="W30" s="25"/>
      <c r="X30" s="25"/>
      <c r="Z30" s="23"/>
      <c r="AA30" s="13"/>
      <c r="AD30" s="28"/>
      <c r="AF30" s="25"/>
      <c r="AG30" s="25"/>
      <c r="AH30" s="75">
        <f>Table13[[#This Row],[Avg reagent Sales per month Actual]]-Table13[[#This Row],[Per Month Reagent Commitment]]</f>
        <v>0</v>
      </c>
      <c r="AI30" s="15"/>
    </row>
    <row r="31" spans="1:35" ht="14.4" x14ac:dyDescent="0.3">
      <c r="H31" s="24"/>
      <c r="I31" s="24"/>
      <c r="P31" s="2"/>
      <c r="Q31" s="2"/>
      <c r="R31" s="2"/>
      <c r="W31" s="25"/>
      <c r="X31" s="25"/>
      <c r="Z31" s="23"/>
      <c r="AA31" s="13"/>
      <c r="AD31" s="28"/>
      <c r="AF31" s="25"/>
      <c r="AG31" s="25"/>
      <c r="AH31" s="75">
        <f>Table13[[#This Row],[Avg reagent Sales per month Actual]]-Table13[[#This Row],[Per Month Reagent Commitment]]</f>
        <v>0</v>
      </c>
      <c r="AI31" s="15"/>
    </row>
    <row r="32" spans="1:35" ht="14.4" x14ac:dyDescent="0.3">
      <c r="H32" s="24"/>
      <c r="I32" s="24"/>
      <c r="P32" s="2"/>
      <c r="Q32" s="2"/>
      <c r="R32" s="2"/>
      <c r="W32" s="25"/>
      <c r="X32" s="25"/>
      <c r="Z32" s="23"/>
      <c r="AA32" s="13"/>
      <c r="AD32" s="28"/>
      <c r="AF32" s="25"/>
      <c r="AG32" s="25"/>
      <c r="AH32" s="75">
        <f>Table13[[#This Row],[Avg reagent Sales per month Actual]]-Table13[[#This Row],[Per Month Reagent Commitment]]</f>
        <v>0</v>
      </c>
      <c r="AI32" s="15"/>
    </row>
    <row r="33" spans="1:35" ht="15" customHeight="1" x14ac:dyDescent="0.3">
      <c r="H33" s="24"/>
      <c r="I33" s="24"/>
      <c r="P33" s="2"/>
      <c r="Q33" s="2"/>
      <c r="R33" s="2"/>
      <c r="W33" s="25"/>
      <c r="X33" s="25"/>
      <c r="Z33" s="23"/>
      <c r="AA33" s="13"/>
      <c r="AD33" s="28"/>
      <c r="AF33" s="25"/>
      <c r="AG33" s="25"/>
      <c r="AH33" s="75">
        <f>Table13[[#This Row],[Avg reagent Sales per month Actual]]-Table13[[#This Row],[Per Month Reagent Commitment]]</f>
        <v>0</v>
      </c>
      <c r="AI33" s="15"/>
    </row>
    <row r="34" spans="1:35" ht="14.4" x14ac:dyDescent="0.3">
      <c r="H34" s="24"/>
    </row>
    <row r="36" spans="1:35" ht="14.4" x14ac:dyDescent="0.3">
      <c r="A36" s="1">
        <v>25</v>
      </c>
      <c r="B36" s="1" t="s">
        <v>297</v>
      </c>
      <c r="C36" s="1" t="s">
        <v>1452</v>
      </c>
      <c r="D36" s="2">
        <v>15002760</v>
      </c>
      <c r="E36" s="52" t="s">
        <v>1453</v>
      </c>
      <c r="G36" s="76">
        <v>30006173</v>
      </c>
      <c r="H36" s="24"/>
      <c r="I36" s="24"/>
      <c r="J36" s="24">
        <v>44907</v>
      </c>
      <c r="K36" s="1" t="s">
        <v>1416</v>
      </c>
      <c r="L36" s="1" t="s">
        <v>15</v>
      </c>
      <c r="M36" s="1" t="s">
        <v>305</v>
      </c>
      <c r="O36" s="1" t="s">
        <v>1470</v>
      </c>
      <c r="P36" s="2" t="s">
        <v>893</v>
      </c>
      <c r="Q36" s="76" t="s">
        <v>894</v>
      </c>
      <c r="R36" s="76" t="s">
        <v>895</v>
      </c>
      <c r="T36" s="76" t="s">
        <v>896</v>
      </c>
      <c r="U36" s="76" t="s">
        <v>896</v>
      </c>
      <c r="W36" s="25">
        <v>7774887</v>
      </c>
      <c r="X36" s="25">
        <v>180000</v>
      </c>
      <c r="Y36" s="1">
        <v>60</v>
      </c>
      <c r="Z36" s="23"/>
      <c r="AA36" s="13"/>
      <c r="AB36" s="82" t="s">
        <v>519</v>
      </c>
      <c r="AC36" s="82" t="s">
        <v>520</v>
      </c>
      <c r="AD36" s="28"/>
      <c r="AF36" s="25"/>
      <c r="AG36" s="25"/>
      <c r="AH36" s="75" t="e">
        <f>Table13[[#This Row],[Avg reagent Sales per month Actual]]-Table13[[#This Row],[Per Month Reagent Commitment]]</f>
        <v>#VALUE!</v>
      </c>
      <c r="AI36" s="15"/>
    </row>
    <row r="37" spans="1:35" ht="14.4" x14ac:dyDescent="0.3">
      <c r="A37" s="1">
        <v>26</v>
      </c>
      <c r="B37" s="1" t="s">
        <v>1394</v>
      </c>
      <c r="C37" s="1" t="s">
        <v>1452</v>
      </c>
      <c r="E37" s="1" t="s">
        <v>1453</v>
      </c>
      <c r="H37" s="24"/>
      <c r="I37" s="24"/>
      <c r="L37" s="1" t="s">
        <v>16</v>
      </c>
      <c r="M37" s="1" t="s">
        <v>349</v>
      </c>
      <c r="O37" s="2" t="s">
        <v>1471</v>
      </c>
      <c r="P37" s="2"/>
      <c r="Q37" s="2"/>
      <c r="R37" s="2"/>
      <c r="W37" s="25">
        <v>7000000</v>
      </c>
      <c r="X37" s="25">
        <v>1254200</v>
      </c>
      <c r="Y37" s="1">
        <v>17</v>
      </c>
      <c r="Z37" s="23"/>
      <c r="AA37" s="13"/>
      <c r="AD37" s="28"/>
      <c r="AF37" s="25"/>
      <c r="AG37" s="25"/>
      <c r="AH37" s="75" t="e">
        <f>Table13[[#This Row],[Avg reagent Sales per month Actual]]-Table13[[#This Row],[Per Month Reagent Commitment]]</f>
        <v>#VALUE!</v>
      </c>
      <c r="AI37" s="15"/>
    </row>
  </sheetData>
  <conditionalFormatting sqref="AG9:AG18">
    <cfRule type="cellIs" dxfId="1" priority="2" operator="lessThan">
      <formula>0</formula>
    </cfRule>
  </conditionalFormatting>
  <conditionalFormatting sqref="AG26:AG27">
    <cfRule type="cellIs" dxfId="0" priority="1" operator="lessThan">
      <formula>0</formula>
    </cfRule>
  </conditionalFormatting>
  <hyperlinks>
    <hyperlink ref="S12" r:id="rId1" display="mailto:noor.lab.surgical@gmail.com" xr:uid="{00000000-0004-0000-0900-000000000000}"/>
    <hyperlink ref="S11" r:id="rId2" display="mailto:info@citi-lab.com" xr:uid="{00000000-0004-0000-0900-000001000000}"/>
    <hyperlink ref="S14" r:id="rId3" xr:uid="{00000000-0004-0000-0900-000002000000}"/>
    <hyperlink ref="S15" r:id="rId4" xr:uid="{00000000-0004-0000-0900-000003000000}"/>
    <hyperlink ref="S17" r:id="rId5" xr:uid="{00000000-0004-0000-0900-000004000000}"/>
    <hyperlink ref="S16" r:id="rId6" xr:uid="{00000000-0004-0000-0900-000005000000}"/>
    <hyperlink ref="S6" r:id="rId7" xr:uid="{00000000-0004-0000-0900-000006000000}"/>
    <hyperlink ref="S7" r:id="rId8" xr:uid="{00000000-0004-0000-0900-000007000000}"/>
    <hyperlink ref="S8" r:id="rId9" xr:uid="{00000000-0004-0000-0900-000008000000}"/>
    <hyperlink ref="S10" r:id="rId10" xr:uid="{00000000-0004-0000-0900-000009000000}"/>
    <hyperlink ref="S13" r:id="rId11" xr:uid="{00000000-0004-0000-0900-00000A000000}"/>
    <hyperlink ref="S22" r:id="rId12" xr:uid="{00000000-0004-0000-0900-00000B000000}"/>
    <hyperlink ref="S27" r:id="rId13" xr:uid="{00000000-0004-0000-0900-00000C000000}"/>
  </hyperlinks>
  <pageMargins left="0.17" right="0.17" top="0.74803149606299213" bottom="0.74803149606299213" header="0.31496062992125984" footer="0.31496062992125984"/>
  <pageSetup paperSize="9" scale="25" orientation="landscape" r:id="rId14"/>
  <colBreaks count="1" manualBreakCount="1">
    <brk id="19" min="4" max="11" man="1"/>
  </colBreaks>
  <customProperties>
    <customPr name="_pios_id" r:id="rId15"/>
  </customProperties>
  <drawing r:id="rId16"/>
  <tableParts count="1">
    <tablePart r:id="rId17"/>
  </tableParts>
  <extLst>
    <ext xmlns:x15="http://schemas.microsoft.com/office/spreadsheetml/2010/11/main" uri="{3A4CF648-6AED-40f4-86FF-DC5316D8AED3}">
      <x14:slicerList xmlns:x14="http://schemas.microsoft.com/office/spreadsheetml/2009/9/main">
        <x14:slicer r:id="rId18"/>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3D74-9290-40FC-92A2-AF49C9D8B452}">
  <dimension ref="A1:AK128"/>
  <sheetViews>
    <sheetView showGridLines="0" topLeftCell="Q1" zoomScale="90" zoomScaleNormal="90" workbookViewId="0">
      <selection activeCell="A3" sqref="A3:B81"/>
    </sheetView>
  </sheetViews>
  <sheetFormatPr defaultRowHeight="14.4" x14ac:dyDescent="0.3"/>
  <cols>
    <col min="1" max="1" width="18.88671875" hidden="1" customWidth="1"/>
    <col min="2" max="2" width="19.6640625" hidden="1" customWidth="1"/>
    <col min="3" max="3" width="16.109375" hidden="1" customWidth="1"/>
    <col min="4" max="4" width="31.6640625" hidden="1" customWidth="1"/>
    <col min="5" max="5" width="13.33203125" style="214" hidden="1" customWidth="1"/>
    <col min="6" max="12" width="17.6640625" style="214" hidden="1" customWidth="1"/>
    <col min="13" max="13" width="9.33203125" hidden="1" customWidth="1"/>
    <col min="14" max="14" width="10" hidden="1" customWidth="1"/>
    <col min="15" max="15" width="21.44140625" hidden="1" customWidth="1"/>
    <col min="16" max="16" width="2" hidden="1" customWidth="1"/>
    <col min="17" max="17" width="18.88671875" bestFit="1" customWidth="1"/>
    <col min="18" max="18" width="17.5546875" bestFit="1" customWidth="1"/>
    <col min="19" max="19" width="13.33203125" bestFit="1" customWidth="1"/>
    <col min="20" max="20" width="12.6640625" bestFit="1" customWidth="1"/>
    <col min="21" max="22" width="12.21875" bestFit="1" customWidth="1"/>
    <col min="23" max="23" width="12" bestFit="1" customWidth="1"/>
    <col min="24" max="24" width="12.21875" bestFit="1" customWidth="1"/>
    <col min="25" max="25" width="11" bestFit="1" customWidth="1"/>
    <col min="26" max="26" width="12" bestFit="1" customWidth="1"/>
    <col min="27" max="28" width="12.21875" bestFit="1" customWidth="1"/>
    <col min="29" max="29" width="0.88671875" customWidth="1"/>
    <col min="30" max="30" width="12.6640625" style="107" customWidth="1"/>
    <col min="31" max="31" width="12.33203125" bestFit="1" customWidth="1"/>
    <col min="32" max="32" width="12" bestFit="1" customWidth="1"/>
    <col min="33" max="34" width="12.33203125" bestFit="1" customWidth="1"/>
    <col min="35" max="35" width="11.109375" bestFit="1" customWidth="1"/>
    <col min="36" max="36" width="12.33203125" bestFit="1" customWidth="1"/>
    <col min="37" max="37" width="12.33203125" customWidth="1"/>
  </cols>
  <sheetData>
    <row r="1" spans="1:37" x14ac:dyDescent="0.3">
      <c r="A1" s="42" t="s">
        <v>0</v>
      </c>
      <c r="B1" t="s">
        <v>1</v>
      </c>
      <c r="Q1" s="42" t="s">
        <v>0</v>
      </c>
      <c r="R1" t="s">
        <v>1</v>
      </c>
    </row>
    <row r="2" spans="1:37" s="104" customFormat="1" ht="21" x14ac:dyDescent="0.4">
      <c r="A2" s="118"/>
      <c r="B2"/>
      <c r="C2"/>
      <c r="D2"/>
      <c r="E2"/>
      <c r="F2"/>
      <c r="G2"/>
      <c r="H2"/>
      <c r="I2"/>
      <c r="J2"/>
      <c r="K2"/>
      <c r="L2"/>
      <c r="Q2"/>
      <c r="R2"/>
      <c r="S2"/>
      <c r="T2"/>
      <c r="U2"/>
      <c r="V2"/>
      <c r="W2"/>
      <c r="X2"/>
      <c r="Y2"/>
      <c r="Z2"/>
      <c r="AA2"/>
      <c r="AB2"/>
      <c r="AC2"/>
      <c r="AD2" s="220"/>
      <c r="AE2"/>
      <c r="AF2"/>
      <c r="AG2"/>
      <c r="AH2"/>
      <c r="AI2"/>
      <c r="AJ2"/>
      <c r="AK2"/>
    </row>
    <row r="3" spans="1:37" ht="43.2" x14ac:dyDescent="0.3">
      <c r="A3" s="247" t="s">
        <v>3</v>
      </c>
      <c r="B3" s="247" t="s">
        <v>4</v>
      </c>
      <c r="C3" s="247" t="s">
        <v>39</v>
      </c>
      <c r="D3" s="247" t="s">
        <v>6</v>
      </c>
      <c r="E3" s="248" t="s">
        <v>7</v>
      </c>
      <c r="F3" s="248"/>
      <c r="G3" s="248"/>
      <c r="H3" s="248"/>
      <c r="I3" s="248"/>
      <c r="J3" s="248"/>
      <c r="K3" s="248"/>
      <c r="L3" s="248"/>
      <c r="M3" s="247" t="s">
        <v>8</v>
      </c>
      <c r="N3" s="247" t="s">
        <v>9</v>
      </c>
      <c r="O3" s="247" t="s">
        <v>10</v>
      </c>
      <c r="P3" s="215"/>
      <c r="Q3" s="247" t="s">
        <v>3</v>
      </c>
      <c r="R3" s="247" t="s">
        <v>40</v>
      </c>
      <c r="S3" s="247" t="s">
        <v>39</v>
      </c>
      <c r="T3" s="247" t="s">
        <v>41</v>
      </c>
      <c r="U3" s="247" t="s">
        <v>1472</v>
      </c>
      <c r="V3" s="247" t="s">
        <v>1473</v>
      </c>
      <c r="W3" s="247" t="s">
        <v>42</v>
      </c>
      <c r="X3" s="247" t="s">
        <v>43</v>
      </c>
      <c r="Y3" s="247" t="s">
        <v>44</v>
      </c>
      <c r="Z3" s="247" t="s">
        <v>45</v>
      </c>
      <c r="AA3" s="247" t="s">
        <v>46</v>
      </c>
      <c r="AC3" s="272"/>
      <c r="AD3" s="247" t="s">
        <v>47</v>
      </c>
      <c r="AE3" s="247" t="s">
        <v>1472</v>
      </c>
      <c r="AF3" s="247" t="s">
        <v>1473</v>
      </c>
      <c r="AG3" s="247" t="s">
        <v>42</v>
      </c>
      <c r="AH3" s="247" t="s">
        <v>43</v>
      </c>
      <c r="AI3" s="247" t="s">
        <v>44</v>
      </c>
      <c r="AJ3" s="247" t="s">
        <v>45</v>
      </c>
      <c r="AK3" s="247" t="s">
        <v>46</v>
      </c>
    </row>
    <row r="4" spans="1:37" x14ac:dyDescent="0.3">
      <c r="A4" s="43" t="s">
        <v>15</v>
      </c>
      <c r="B4">
        <v>63</v>
      </c>
      <c r="C4" s="115">
        <v>305830985.5</v>
      </c>
      <c r="D4" s="115">
        <v>448884789.42279696</v>
      </c>
      <c r="E4" s="115">
        <v>162819619.97545221</v>
      </c>
      <c r="F4" s="115"/>
      <c r="G4" s="115"/>
      <c r="H4" s="115"/>
      <c r="I4" s="115"/>
      <c r="J4" s="115"/>
      <c r="K4" s="115"/>
      <c r="L4" s="115"/>
      <c r="M4" s="214">
        <f>C4/(E4/12)</f>
        <v>22.540108044431683</v>
      </c>
      <c r="N4" s="216">
        <f>+E4/C4</f>
        <v>0.53238431583137347</v>
      </c>
      <c r="O4" s="216">
        <f>C4/$C$7</f>
        <v>0.49697045904287662</v>
      </c>
      <c r="P4" s="216"/>
      <c r="Q4" s="43" t="s">
        <v>15</v>
      </c>
      <c r="R4">
        <v>63</v>
      </c>
      <c r="S4" s="115">
        <v>307970985.5</v>
      </c>
      <c r="T4" s="115">
        <v>32030274</v>
      </c>
      <c r="U4" s="115">
        <v>19817128.68</v>
      </c>
      <c r="V4" s="115">
        <v>5990824.04</v>
      </c>
      <c r="W4" s="237">
        <v>31488116.306130305</v>
      </c>
      <c r="X4" s="115">
        <v>26622682.48</v>
      </c>
      <c r="Y4" s="237">
        <v>13519926.5</v>
      </c>
      <c r="Z4" s="115">
        <v>11982316.020000001</v>
      </c>
      <c r="AA4" s="115">
        <v>30666328.849999998</v>
      </c>
      <c r="AD4" s="108">
        <f>U4/T4</f>
        <v>0.61869994243570936</v>
      </c>
      <c r="AE4" s="115">
        <v>19817128.68</v>
      </c>
      <c r="AF4" s="115">
        <v>6158851.5</v>
      </c>
      <c r="AG4" s="237">
        <v>31488116.306130309</v>
      </c>
      <c r="AH4" s="115">
        <v>28422143.48</v>
      </c>
      <c r="AI4" s="237">
        <v>13167430.5</v>
      </c>
      <c r="AJ4" s="115">
        <v>11216438.5</v>
      </c>
      <c r="AK4" s="115">
        <v>27594512.099999994</v>
      </c>
    </row>
    <row r="5" spans="1:37" x14ac:dyDescent="0.3">
      <c r="A5" s="43" t="s">
        <v>16</v>
      </c>
      <c r="B5">
        <v>53</v>
      </c>
      <c r="C5" s="115">
        <v>218197705</v>
      </c>
      <c r="D5" s="115">
        <v>276939326.82000005</v>
      </c>
      <c r="E5" s="115">
        <v>84979784.722000003</v>
      </c>
      <c r="F5" s="115"/>
      <c r="G5" s="115"/>
      <c r="H5" s="115"/>
      <c r="I5" s="115"/>
      <c r="J5" s="115"/>
      <c r="K5" s="115"/>
      <c r="L5" s="115"/>
      <c r="M5" s="214">
        <f>C5/(E5/12)</f>
        <v>30.811709732681194</v>
      </c>
      <c r="N5" s="216">
        <f>+E5/C5</f>
        <v>0.3894623214391737</v>
      </c>
      <c r="O5" s="216">
        <f>C5/$C$7</f>
        <v>0.35456778010464923</v>
      </c>
      <c r="P5" s="216"/>
      <c r="Q5" s="43" t="s">
        <v>16</v>
      </c>
      <c r="R5">
        <v>52</v>
      </c>
      <c r="S5" s="115">
        <v>214097705</v>
      </c>
      <c r="T5" s="115">
        <v>29670253</v>
      </c>
      <c r="U5" s="115">
        <v>16426162.020000001</v>
      </c>
      <c r="V5" s="115">
        <v>14873107</v>
      </c>
      <c r="W5" s="237">
        <v>12640766.689999999</v>
      </c>
      <c r="X5" s="115">
        <v>5378179.0999999996</v>
      </c>
      <c r="Y5" s="277">
        <v>12039814.27</v>
      </c>
      <c r="Z5" s="115">
        <v>7710850.5499999998</v>
      </c>
      <c r="AA5" s="115">
        <v>16410536.250000002</v>
      </c>
      <c r="AD5" s="108">
        <f>U5/T5</f>
        <v>0.5536239283163511</v>
      </c>
      <c r="AE5" s="115">
        <v>16481007.970000001</v>
      </c>
      <c r="AF5" s="115">
        <v>8230616</v>
      </c>
      <c r="AG5" s="237">
        <v>8363065.8700000001</v>
      </c>
      <c r="AH5" s="115">
        <v>4095439.1</v>
      </c>
      <c r="AI5" s="277">
        <v>10248085.91</v>
      </c>
      <c r="AJ5" s="115">
        <v>7556499.6500000013</v>
      </c>
      <c r="AK5" s="115">
        <v>15877724.25</v>
      </c>
    </row>
    <row r="6" spans="1:37" x14ac:dyDescent="0.3">
      <c r="A6" s="43" t="s">
        <v>17</v>
      </c>
      <c r="B6">
        <v>15</v>
      </c>
      <c r="C6" s="115">
        <v>91361983</v>
      </c>
      <c r="D6" s="115">
        <v>45498229</v>
      </c>
      <c r="E6" s="115">
        <v>15367599.600000001</v>
      </c>
      <c r="F6" s="115"/>
      <c r="G6" s="115"/>
      <c r="H6" s="115"/>
      <c r="I6" s="115"/>
      <c r="J6" s="115"/>
      <c r="K6" s="115"/>
      <c r="L6" s="115"/>
      <c r="M6" s="214">
        <f>C6/(E6/12)</f>
        <v>71.34125201960623</v>
      </c>
      <c r="N6" s="216">
        <f>+E6/C6</f>
        <v>0.16820562662261831</v>
      </c>
      <c r="O6" s="216">
        <f>C6/$C$7</f>
        <v>0.14846176085247415</v>
      </c>
      <c r="P6" s="216"/>
      <c r="Q6" s="43" t="s">
        <v>17</v>
      </c>
      <c r="R6">
        <v>14</v>
      </c>
      <c r="S6" s="115">
        <v>76915583</v>
      </c>
      <c r="T6" s="115">
        <v>6670422</v>
      </c>
      <c r="U6" s="115">
        <v>1037061</v>
      </c>
      <c r="V6" s="115">
        <v>1764011</v>
      </c>
      <c r="W6" s="237">
        <v>1931670</v>
      </c>
      <c r="X6" s="115">
        <v>4047362</v>
      </c>
      <c r="Y6" s="277">
        <v>4331871</v>
      </c>
      <c r="Z6" s="115">
        <v>2713889</v>
      </c>
      <c r="AA6" s="115">
        <v>1608305</v>
      </c>
      <c r="AD6" s="108">
        <f>U6/T6</f>
        <v>0.15547157286300628</v>
      </c>
      <c r="AE6" s="115">
        <v>1367061</v>
      </c>
      <c r="AF6" s="115">
        <v>2646115</v>
      </c>
      <c r="AG6" s="237">
        <v>2231670</v>
      </c>
      <c r="AH6" s="115">
        <v>4047362</v>
      </c>
      <c r="AI6" s="277">
        <v>3553623</v>
      </c>
      <c r="AJ6" s="115">
        <v>2650889</v>
      </c>
      <c r="AK6" s="115">
        <v>1475613</v>
      </c>
    </row>
    <row r="7" spans="1:37" x14ac:dyDescent="0.3">
      <c r="A7" s="267" t="s">
        <v>18</v>
      </c>
      <c r="B7" s="268">
        <v>131</v>
      </c>
      <c r="C7" s="268">
        <v>615390673.5</v>
      </c>
      <c r="D7" s="268">
        <v>771322345.24279714</v>
      </c>
      <c r="E7" s="219">
        <v>263167004.29745224</v>
      </c>
      <c r="F7" s="219"/>
      <c r="G7" s="219"/>
      <c r="H7" s="219"/>
      <c r="I7" s="219"/>
      <c r="J7" s="219"/>
      <c r="K7" s="219"/>
      <c r="L7" s="219"/>
      <c r="M7" s="249">
        <f>C7/(E7/12)</f>
        <v>28.060843348177642</v>
      </c>
      <c r="N7" s="249">
        <f>+E7/C7</f>
        <v>0.42764217208672439</v>
      </c>
      <c r="O7" s="250">
        <f>C7/$C$7</f>
        <v>1</v>
      </c>
      <c r="P7" s="278"/>
      <c r="Q7" s="253" t="s">
        <v>48</v>
      </c>
      <c r="R7" s="252">
        <v>129</v>
      </c>
      <c r="S7" s="252">
        <v>598984273.5</v>
      </c>
      <c r="T7" s="252">
        <v>68370949</v>
      </c>
      <c r="U7" s="252">
        <v>37280351.700000003</v>
      </c>
      <c r="V7" s="252">
        <v>22627942.039999999</v>
      </c>
      <c r="W7" s="254">
        <v>46060552.996130303</v>
      </c>
      <c r="X7" s="252">
        <v>36048223.579999998</v>
      </c>
      <c r="Y7" s="270">
        <v>29891611.770000003</v>
      </c>
      <c r="Z7" s="252">
        <v>22407055.569999997</v>
      </c>
      <c r="AA7" s="252">
        <v>48685170.100000009</v>
      </c>
      <c r="AC7" s="273"/>
      <c r="AD7" s="250">
        <f>U7/T7</f>
        <v>0.54526596815264339</v>
      </c>
      <c r="AE7" s="252">
        <v>37665197.650000006</v>
      </c>
      <c r="AF7" s="252">
        <v>17035582.5</v>
      </c>
      <c r="AG7" s="254">
        <v>42082852.17613031</v>
      </c>
      <c r="AH7" s="252">
        <v>36564944.579999998</v>
      </c>
      <c r="AI7" s="270">
        <v>26969139.410000004</v>
      </c>
      <c r="AJ7" s="252">
        <v>21423827.150000002</v>
      </c>
      <c r="AK7" s="252">
        <v>44947849.350000001</v>
      </c>
    </row>
    <row r="8" spans="1:37" x14ac:dyDescent="0.3">
      <c r="A8" s="115"/>
      <c r="B8" s="115"/>
      <c r="C8" s="115"/>
      <c r="D8" s="115"/>
      <c r="E8" s="115"/>
      <c r="F8" s="115"/>
      <c r="G8" s="115"/>
      <c r="H8" s="115"/>
      <c r="I8" s="115"/>
      <c r="J8" s="115"/>
      <c r="K8" s="115"/>
      <c r="L8" s="115"/>
      <c r="M8" s="115"/>
      <c r="N8" s="108"/>
      <c r="O8" s="108"/>
      <c r="U8" s="115"/>
      <c r="V8" s="115"/>
      <c r="W8" s="115"/>
      <c r="X8" s="115"/>
      <c r="Y8" s="115"/>
      <c r="Z8" s="115"/>
      <c r="AA8" s="115"/>
      <c r="AB8" s="115"/>
      <c r="AC8" s="115"/>
      <c r="AD8" s="279"/>
      <c r="AE8" s="115"/>
      <c r="AF8" s="115"/>
      <c r="AG8" s="115"/>
      <c r="AH8" s="115"/>
      <c r="AI8" s="115"/>
      <c r="AJ8" s="115"/>
      <c r="AK8" s="115"/>
    </row>
    <row r="9" spans="1:37" x14ac:dyDescent="0.3">
      <c r="A9" s="42" t="s">
        <v>0</v>
      </c>
      <c r="B9" t="s">
        <v>1</v>
      </c>
      <c r="C9" s="115"/>
      <c r="D9" s="115"/>
      <c r="E9" s="115"/>
      <c r="F9" s="115"/>
      <c r="G9" s="115"/>
      <c r="H9" s="115"/>
      <c r="I9" s="115"/>
      <c r="J9" s="115"/>
      <c r="K9" s="115"/>
      <c r="L9" s="115"/>
      <c r="Q9" s="42" t="s">
        <v>0</v>
      </c>
      <c r="R9" t="s">
        <v>1</v>
      </c>
    </row>
    <row r="10" spans="1:37" x14ac:dyDescent="0.3">
      <c r="AD10" s="220"/>
    </row>
    <row r="11" spans="1:37" s="104" customFormat="1" ht="43.2" x14ac:dyDescent="0.3">
      <c r="A11" s="247" t="s">
        <v>19</v>
      </c>
      <c r="B11" s="247" t="s">
        <v>4</v>
      </c>
      <c r="C11" s="247" t="s">
        <v>39</v>
      </c>
      <c r="D11" s="247" t="s">
        <v>20</v>
      </c>
      <c r="E11" s="262" t="s">
        <v>7</v>
      </c>
      <c r="F11" s="262"/>
      <c r="G11" s="262"/>
      <c r="H11" s="262"/>
      <c r="I11" s="262"/>
      <c r="J11" s="262"/>
      <c r="K11" s="262"/>
      <c r="L11" s="262"/>
      <c r="M11" s="247" t="s">
        <v>8</v>
      </c>
      <c r="N11" s="247" t="s">
        <v>9</v>
      </c>
      <c r="O11" s="247" t="s">
        <v>10</v>
      </c>
      <c r="P11" s="215"/>
      <c r="Q11" s="247" t="s">
        <v>19</v>
      </c>
      <c r="R11" s="247" t="s">
        <v>40</v>
      </c>
      <c r="S11" s="247" t="s">
        <v>39</v>
      </c>
      <c r="T11" s="248" t="s">
        <v>41</v>
      </c>
      <c r="U11" s="247" t="s">
        <v>1472</v>
      </c>
      <c r="V11" s="247" t="s">
        <v>1473</v>
      </c>
      <c r="W11" s="247" t="s">
        <v>42</v>
      </c>
      <c r="X11" s="247" t="s">
        <v>43</v>
      </c>
      <c r="Y11" s="247" t="s">
        <v>44</v>
      </c>
      <c r="Z11" s="247" t="s">
        <v>45</v>
      </c>
      <c r="AA11" s="247" t="s">
        <v>46</v>
      </c>
      <c r="AB11"/>
      <c r="AC11"/>
      <c r="AD11" s="247" t="s">
        <v>47</v>
      </c>
      <c r="AE11" s="247" t="s">
        <v>1472</v>
      </c>
      <c r="AF11" s="247" t="s">
        <v>1473</v>
      </c>
      <c r="AG11" s="247" t="s">
        <v>42</v>
      </c>
      <c r="AH11" s="247" t="s">
        <v>43</v>
      </c>
      <c r="AI11" s="247" t="s">
        <v>44</v>
      </c>
      <c r="AJ11" s="247" t="s">
        <v>45</v>
      </c>
      <c r="AK11" s="247" t="s">
        <v>46</v>
      </c>
    </row>
    <row r="12" spans="1:37" x14ac:dyDescent="0.3">
      <c r="A12" s="43" t="s">
        <v>21</v>
      </c>
      <c r="B12">
        <v>21</v>
      </c>
      <c r="C12" s="115">
        <v>227114444</v>
      </c>
      <c r="D12" s="115">
        <v>213856201.6661303</v>
      </c>
      <c r="E12" s="115">
        <v>77431815.374452114</v>
      </c>
      <c r="F12" s="115"/>
      <c r="G12" s="115"/>
      <c r="H12" s="115"/>
      <c r="I12" s="115"/>
      <c r="J12" s="115"/>
      <c r="K12" s="115"/>
      <c r="L12" s="115"/>
      <c r="M12" s="214">
        <f t="shared" ref="M12:M19" si="0">C12/(E12/12)</f>
        <v>35.197073900700651</v>
      </c>
      <c r="N12" s="216">
        <f t="shared" ref="N12:N19" si="1">+E12/C12</f>
        <v>0.34093743229493634</v>
      </c>
      <c r="O12" s="216">
        <f t="shared" ref="O12:O20" si="2">C12/$C$21</f>
        <v>0.36905733833809884</v>
      </c>
      <c r="P12" s="216"/>
      <c r="Q12" s="43" t="s">
        <v>21</v>
      </c>
      <c r="R12">
        <v>21</v>
      </c>
      <c r="S12" s="115">
        <v>227114444</v>
      </c>
      <c r="T12" s="115">
        <v>19697466</v>
      </c>
      <c r="U12" s="115">
        <v>7053990.9299999997</v>
      </c>
      <c r="V12" s="115">
        <v>10396267.5</v>
      </c>
      <c r="W12" s="237">
        <v>25982018.126130305</v>
      </c>
      <c r="X12" s="115">
        <v>16663509.48</v>
      </c>
      <c r="Y12" s="237">
        <v>7063154.3599999994</v>
      </c>
      <c r="Z12" s="115">
        <v>3934114.52</v>
      </c>
      <c r="AA12" s="115">
        <v>6893451.4800000004</v>
      </c>
      <c r="AD12" s="108">
        <f t="shared" ref="AD12:AD21" si="3">U12/T12</f>
        <v>0.35811666993104596</v>
      </c>
      <c r="AE12" s="115">
        <v>6716489.8799999999</v>
      </c>
      <c r="AF12" s="115">
        <v>4485701.5</v>
      </c>
      <c r="AG12" s="237">
        <v>21999848.306130309</v>
      </c>
      <c r="AH12" s="115">
        <v>15529769.48</v>
      </c>
      <c r="AI12" s="237">
        <v>6005905</v>
      </c>
      <c r="AJ12" s="115">
        <v>3294150</v>
      </c>
      <c r="AK12" s="115">
        <v>7319839.4800000004</v>
      </c>
    </row>
    <row r="13" spans="1:37" x14ac:dyDescent="0.3">
      <c r="A13" s="43" t="s">
        <v>24</v>
      </c>
      <c r="B13">
        <v>30</v>
      </c>
      <c r="C13" s="115">
        <v>120366352</v>
      </c>
      <c r="D13" s="115">
        <v>170812140.07999998</v>
      </c>
      <c r="E13" s="115">
        <v>60036212.232000008</v>
      </c>
      <c r="F13" s="115"/>
      <c r="G13" s="115"/>
      <c r="H13" s="115"/>
      <c r="I13" s="115"/>
      <c r="J13" s="115"/>
      <c r="K13" s="115"/>
      <c r="L13" s="115"/>
      <c r="M13" s="214">
        <f t="shared" si="0"/>
        <v>24.058750049359706</v>
      </c>
      <c r="N13" s="216">
        <f t="shared" si="1"/>
        <v>0.49877902947494834</v>
      </c>
      <c r="O13" s="216">
        <f t="shared" si="2"/>
        <v>0.19559339649303281</v>
      </c>
      <c r="P13" s="216"/>
      <c r="Q13" s="43" t="s">
        <v>24</v>
      </c>
      <c r="R13">
        <v>30</v>
      </c>
      <c r="S13" s="115">
        <v>120366352</v>
      </c>
      <c r="T13" s="115">
        <v>17430548</v>
      </c>
      <c r="U13" s="115">
        <v>3213910.73</v>
      </c>
      <c r="V13" s="115">
        <v>5055485</v>
      </c>
      <c r="W13" s="237">
        <v>7989923</v>
      </c>
      <c r="X13" s="115">
        <v>5859114</v>
      </c>
      <c r="Y13" s="237">
        <v>7009726</v>
      </c>
      <c r="Z13" s="115">
        <v>8542081.5899999999</v>
      </c>
      <c r="AA13" s="115">
        <v>10367703</v>
      </c>
      <c r="AD13" s="108">
        <f t="shared" si="3"/>
        <v>0.18438380307951305</v>
      </c>
      <c r="AE13" s="115">
        <v>16943566.5</v>
      </c>
      <c r="AF13" s="115">
        <v>5251165</v>
      </c>
      <c r="AG13" s="237">
        <v>7462022.9500000002</v>
      </c>
      <c r="AH13" s="115">
        <v>3691545</v>
      </c>
      <c r="AI13" s="237">
        <v>2933727.5</v>
      </c>
      <c r="AJ13" s="115">
        <v>5189957.0999999996</v>
      </c>
      <c r="AK13" s="115">
        <v>8882463.1500000004</v>
      </c>
    </row>
    <row r="14" spans="1:37" x14ac:dyDescent="0.3">
      <c r="A14" s="43" t="s">
        <v>49</v>
      </c>
      <c r="B14">
        <v>19</v>
      </c>
      <c r="C14" s="115">
        <v>96440445</v>
      </c>
      <c r="D14" s="115">
        <v>169167544.52666667</v>
      </c>
      <c r="E14" s="115">
        <v>59308484.04299999</v>
      </c>
      <c r="F14" s="115"/>
      <c r="G14" s="115"/>
      <c r="H14" s="115"/>
      <c r="I14" s="115"/>
      <c r="J14" s="115"/>
      <c r="K14" s="115"/>
      <c r="L14" s="115"/>
      <c r="M14" s="214">
        <f t="shared" si="0"/>
        <v>19.51298129894775</v>
      </c>
      <c r="N14" s="216">
        <f t="shared" si="1"/>
        <v>0.61497522168214791</v>
      </c>
      <c r="O14" s="216">
        <f t="shared" si="2"/>
        <v>0.15671418036204607</v>
      </c>
      <c r="P14" s="216"/>
      <c r="Q14" s="43" t="s">
        <v>49</v>
      </c>
      <c r="R14">
        <v>19</v>
      </c>
      <c r="S14" s="115">
        <v>96440445</v>
      </c>
      <c r="T14" s="115">
        <v>9353845</v>
      </c>
      <c r="U14" s="115">
        <v>16862041.5</v>
      </c>
      <c r="V14" s="115">
        <v>5888302.54</v>
      </c>
      <c r="W14" s="237">
        <v>7757553.9500000002</v>
      </c>
      <c r="X14" s="115">
        <v>4505365</v>
      </c>
      <c r="Y14" s="237">
        <v>3702940.5</v>
      </c>
      <c r="Z14" s="115">
        <v>5672539.5</v>
      </c>
      <c r="AA14" s="115">
        <v>9527183.9000000004</v>
      </c>
      <c r="AD14" s="108">
        <f t="shared" si="3"/>
        <v>1.8026855801010173</v>
      </c>
      <c r="AE14" s="115">
        <v>3524732.73</v>
      </c>
      <c r="AF14" s="115">
        <v>5190605</v>
      </c>
      <c r="AG14" s="237">
        <v>7989923</v>
      </c>
      <c r="AH14" s="115">
        <v>8209445</v>
      </c>
      <c r="AI14" s="237">
        <v>6606316</v>
      </c>
      <c r="AJ14" s="115">
        <v>8438400.0899999999</v>
      </c>
      <c r="AK14" s="115">
        <v>7611815</v>
      </c>
    </row>
    <row r="15" spans="1:37" x14ac:dyDescent="0.3">
      <c r="A15" s="43" t="s">
        <v>51</v>
      </c>
      <c r="B15">
        <v>8</v>
      </c>
      <c r="C15" s="115">
        <v>46301837.5</v>
      </c>
      <c r="D15" s="115">
        <v>73215510.840000004</v>
      </c>
      <c r="E15" s="115">
        <v>21551964.336000003</v>
      </c>
      <c r="F15" s="115"/>
      <c r="G15" s="115"/>
      <c r="H15" s="115"/>
      <c r="I15" s="115"/>
      <c r="J15" s="115"/>
      <c r="K15" s="115"/>
      <c r="L15" s="115"/>
      <c r="M15" s="214">
        <f t="shared" si="0"/>
        <v>25.78057579057419</v>
      </c>
      <c r="N15" s="216">
        <f t="shared" si="1"/>
        <v>0.46546671794612909</v>
      </c>
      <c r="O15" s="216">
        <f t="shared" si="2"/>
        <v>7.523974524453042E-2</v>
      </c>
      <c r="P15" s="216"/>
      <c r="Q15" s="43" t="s">
        <v>51</v>
      </c>
      <c r="R15">
        <v>8</v>
      </c>
      <c r="S15" s="115">
        <v>46301837.5</v>
      </c>
      <c r="T15" s="115">
        <v>10897077</v>
      </c>
      <c r="U15" s="115">
        <v>4097047.24</v>
      </c>
      <c r="V15" s="115">
        <v>0</v>
      </c>
      <c r="W15" s="237">
        <v>1073994.42</v>
      </c>
      <c r="X15" s="115">
        <v>3395384.1</v>
      </c>
      <c r="Y15" s="237">
        <v>2840198</v>
      </c>
      <c r="Z15" s="115">
        <v>992700</v>
      </c>
      <c r="AA15" s="115">
        <v>3882221.3</v>
      </c>
      <c r="AD15" s="108">
        <f t="shared" si="3"/>
        <v>0.37597671742615019</v>
      </c>
      <c r="AE15" s="115">
        <v>2172284</v>
      </c>
      <c r="AF15" s="115">
        <v>194540</v>
      </c>
      <c r="AG15" s="237">
        <v>879151.6</v>
      </c>
      <c r="AH15" s="115">
        <v>1811987</v>
      </c>
      <c r="AI15" s="237">
        <v>5444518.7999999998</v>
      </c>
      <c r="AJ15" s="115">
        <v>754466</v>
      </c>
      <c r="AK15" s="115">
        <v>5534426.7999999998</v>
      </c>
    </row>
    <row r="16" spans="1:37" x14ac:dyDescent="0.3">
      <c r="A16" s="43" t="s">
        <v>22</v>
      </c>
      <c r="B16">
        <v>29</v>
      </c>
      <c r="C16" s="115">
        <v>42155418.999999985</v>
      </c>
      <c r="D16" s="115">
        <v>93617235.24000001</v>
      </c>
      <c r="E16" s="115">
        <v>29741184.895999994</v>
      </c>
      <c r="F16" s="115"/>
      <c r="G16" s="115"/>
      <c r="H16" s="115"/>
      <c r="I16" s="115"/>
      <c r="J16" s="115"/>
      <c r="K16" s="115"/>
      <c r="L16" s="115"/>
      <c r="M16" s="214">
        <f t="shared" si="0"/>
        <v>17.008906328679444</v>
      </c>
      <c r="N16" s="216">
        <f t="shared" si="1"/>
        <v>0.70551273362980937</v>
      </c>
      <c r="O16" s="216">
        <f t="shared" si="2"/>
        <v>6.85018815125088E-2</v>
      </c>
      <c r="P16" s="216"/>
      <c r="Q16" s="43" t="s">
        <v>22</v>
      </c>
      <c r="R16">
        <v>29</v>
      </c>
      <c r="S16" s="115">
        <v>42155418.999999985</v>
      </c>
      <c r="T16" s="115">
        <v>4587432</v>
      </c>
      <c r="U16" s="115">
        <v>3494716.75</v>
      </c>
      <c r="V16" s="115">
        <v>927767</v>
      </c>
      <c r="W16" s="237">
        <v>2377911.9</v>
      </c>
      <c r="X16" s="115">
        <v>2118214</v>
      </c>
      <c r="Y16" s="237">
        <v>2730813.11</v>
      </c>
      <c r="Z16" s="115">
        <v>1099748.96</v>
      </c>
      <c r="AA16" s="115">
        <v>11157143.620000001</v>
      </c>
      <c r="AD16" s="108">
        <f t="shared" si="3"/>
        <v>0.76180240927821929</v>
      </c>
      <c r="AE16" s="115">
        <v>4097047.24</v>
      </c>
      <c r="AF16" s="115">
        <v>446984</v>
      </c>
      <c r="AG16" s="237">
        <v>1073994.42</v>
      </c>
      <c r="AH16" s="115">
        <v>3395384.1</v>
      </c>
      <c r="AI16" s="237">
        <v>2147598</v>
      </c>
      <c r="AJ16" s="115">
        <v>626700</v>
      </c>
      <c r="AK16" s="115">
        <v>3751621.3</v>
      </c>
    </row>
    <row r="17" spans="1:37" x14ac:dyDescent="0.3">
      <c r="A17" s="43" t="s">
        <v>25</v>
      </c>
      <c r="B17">
        <v>14</v>
      </c>
      <c r="C17" s="115">
        <v>37579001</v>
      </c>
      <c r="D17" s="115">
        <v>37243801.340000004</v>
      </c>
      <c r="E17" s="115">
        <v>11385498.796</v>
      </c>
      <c r="F17" s="115"/>
      <c r="G17" s="115"/>
      <c r="H17" s="115"/>
      <c r="I17" s="115"/>
      <c r="J17" s="115"/>
      <c r="K17" s="115"/>
      <c r="L17" s="115"/>
      <c r="M17" s="214">
        <f t="shared" si="0"/>
        <v>39.607224951657706</v>
      </c>
      <c r="N17" s="216">
        <f t="shared" si="1"/>
        <v>0.30297502575973212</v>
      </c>
      <c r="O17" s="216">
        <f t="shared" si="2"/>
        <v>6.1065275471712199E-2</v>
      </c>
      <c r="P17" s="278"/>
      <c r="Q17" s="43" t="s">
        <v>25</v>
      </c>
      <c r="R17">
        <v>14</v>
      </c>
      <c r="S17" s="115">
        <v>37579001</v>
      </c>
      <c r="T17" s="115">
        <v>3429621</v>
      </c>
      <c r="U17" s="115">
        <v>2172284</v>
      </c>
      <c r="V17" s="115">
        <v>653300</v>
      </c>
      <c r="W17" s="237">
        <v>1780151.6</v>
      </c>
      <c r="X17" s="115">
        <v>1549037</v>
      </c>
      <c r="Y17" s="237">
        <v>5444518.7999999998</v>
      </c>
      <c r="Z17" s="115">
        <v>754466</v>
      </c>
      <c r="AA17" s="115">
        <v>6407626.7999999998</v>
      </c>
      <c r="AD17" s="108">
        <f t="shared" si="3"/>
        <v>0.63338893714494982</v>
      </c>
      <c r="AE17" s="115">
        <v>3494716.75</v>
      </c>
      <c r="AF17" s="115">
        <v>927767</v>
      </c>
      <c r="AG17" s="237">
        <v>2377911.9</v>
      </c>
      <c r="AH17" s="115">
        <v>1969214</v>
      </c>
      <c r="AI17" s="237">
        <v>2730813.11</v>
      </c>
      <c r="AJ17" s="115">
        <v>1265748.96</v>
      </c>
      <c r="AK17" s="115">
        <v>10967143.620000001</v>
      </c>
    </row>
    <row r="18" spans="1:37" x14ac:dyDescent="0.3">
      <c r="A18" s="43" t="s">
        <v>50</v>
      </c>
      <c r="B18">
        <v>4</v>
      </c>
      <c r="C18" s="115">
        <v>28717900</v>
      </c>
      <c r="D18" s="115">
        <v>3565461.55</v>
      </c>
      <c r="E18" s="115">
        <v>1352144.62</v>
      </c>
      <c r="F18" s="115"/>
      <c r="G18" s="115"/>
      <c r="H18" s="115"/>
      <c r="I18" s="115"/>
      <c r="J18" s="115"/>
      <c r="K18" s="115"/>
      <c r="L18" s="115"/>
      <c r="M18" s="214">
        <f t="shared" si="0"/>
        <v>254.86534125321595</v>
      </c>
      <c r="N18" s="216">
        <f t="shared" si="1"/>
        <v>4.708368717768361E-2</v>
      </c>
      <c r="O18" s="216">
        <f t="shared" si="2"/>
        <v>4.6666128098218573E-2</v>
      </c>
      <c r="Q18" s="43" t="s">
        <v>50</v>
      </c>
      <c r="R18">
        <v>4</v>
      </c>
      <c r="S18" s="115">
        <v>28717900</v>
      </c>
      <c r="T18" s="115">
        <v>2180972</v>
      </c>
      <c r="U18" s="115">
        <v>386360.55</v>
      </c>
      <c r="V18" s="115">
        <v>238820</v>
      </c>
      <c r="W18" s="237">
        <v>0</v>
      </c>
      <c r="X18" s="115">
        <v>0</v>
      </c>
      <c r="Y18" s="237">
        <v>663761</v>
      </c>
      <c r="Z18" s="115">
        <v>1120705</v>
      </c>
      <c r="AA18" s="115">
        <v>242440</v>
      </c>
      <c r="AD18" s="108">
        <f t="shared" si="3"/>
        <v>0.17715062366687881</v>
      </c>
      <c r="AE18" s="115">
        <v>330000</v>
      </c>
      <c r="AF18" s="115">
        <v>300000</v>
      </c>
      <c r="AG18" s="237">
        <v>300000</v>
      </c>
      <c r="AH18" s="115">
        <v>1745700</v>
      </c>
      <c r="AI18" s="237">
        <v>270000</v>
      </c>
      <c r="AJ18" s="115">
        <v>517700</v>
      </c>
      <c r="AK18" s="115">
        <v>765400</v>
      </c>
    </row>
    <row r="19" spans="1:37" x14ac:dyDescent="0.3">
      <c r="A19" s="43" t="s">
        <v>52</v>
      </c>
      <c r="B19">
        <v>4</v>
      </c>
      <c r="C19" s="115">
        <v>8458821</v>
      </c>
      <c r="D19" s="115">
        <v>8456450</v>
      </c>
      <c r="E19" s="115">
        <v>2021900</v>
      </c>
      <c r="F19" s="115"/>
      <c r="G19" s="115"/>
      <c r="H19" s="115"/>
      <c r="I19" s="115"/>
      <c r="J19" s="115"/>
      <c r="K19" s="115"/>
      <c r="L19" s="115"/>
      <c r="M19" s="242">
        <f t="shared" si="0"/>
        <v>50.203200949601865</v>
      </c>
      <c r="N19" s="243">
        <f t="shared" si="1"/>
        <v>0.23902858329783785</v>
      </c>
      <c r="O19" s="216">
        <f t="shared" si="2"/>
        <v>1.3745448808788292E-2</v>
      </c>
      <c r="Q19" s="43" t="s">
        <v>52</v>
      </c>
      <c r="R19">
        <v>4</v>
      </c>
      <c r="S19" s="115">
        <v>8458821</v>
      </c>
      <c r="T19" s="115">
        <v>1242583</v>
      </c>
      <c r="U19" s="115">
        <v>0</v>
      </c>
      <c r="V19" s="115">
        <v>0</v>
      </c>
      <c r="W19" s="237">
        <v>0</v>
      </c>
      <c r="X19" s="115">
        <v>1745700</v>
      </c>
      <c r="Y19" s="237">
        <v>270000</v>
      </c>
      <c r="Z19" s="115">
        <v>517700</v>
      </c>
      <c r="AA19" s="115">
        <v>765400</v>
      </c>
      <c r="AD19" s="108">
        <f t="shared" si="3"/>
        <v>0</v>
      </c>
      <c r="AE19" s="115">
        <v>386360.55</v>
      </c>
      <c r="AF19" s="115">
        <v>238820</v>
      </c>
      <c r="AG19" s="237">
        <v>0</v>
      </c>
      <c r="AH19" s="115">
        <v>0</v>
      </c>
      <c r="AI19" s="237">
        <v>663761</v>
      </c>
      <c r="AJ19" s="115">
        <v>1120705</v>
      </c>
      <c r="AK19" s="115">
        <v>98940</v>
      </c>
    </row>
    <row r="20" spans="1:37" x14ac:dyDescent="0.3">
      <c r="A20" s="43" t="s">
        <v>53</v>
      </c>
      <c r="B20">
        <v>2</v>
      </c>
      <c r="C20" s="115">
        <v>8256454</v>
      </c>
      <c r="D20" s="115">
        <v>1388000</v>
      </c>
      <c r="E20" s="115">
        <v>337800</v>
      </c>
      <c r="F20" s="263"/>
      <c r="G20" s="263"/>
      <c r="H20" s="263"/>
      <c r="I20" s="263"/>
      <c r="J20" s="263"/>
      <c r="K20" s="263"/>
      <c r="L20" s="263"/>
      <c r="M20" s="251"/>
      <c r="N20" s="251"/>
      <c r="O20" s="216">
        <f t="shared" si="2"/>
        <v>1.341660567106401E-2</v>
      </c>
      <c r="Q20" s="43" t="s">
        <v>53</v>
      </c>
      <c r="R20">
        <v>2</v>
      </c>
      <c r="S20" s="115">
        <v>8256454</v>
      </c>
      <c r="T20" s="115">
        <v>582454</v>
      </c>
      <c r="W20" s="237"/>
      <c r="X20">
        <v>211900</v>
      </c>
      <c r="Y20" s="237">
        <v>166500</v>
      </c>
      <c r="Z20" s="115">
        <v>216000</v>
      </c>
      <c r="AA20" s="115">
        <v>315200</v>
      </c>
      <c r="AD20" s="108">
        <f t="shared" si="3"/>
        <v>0</v>
      </c>
      <c r="AG20" s="237"/>
      <c r="AH20">
        <v>211900</v>
      </c>
      <c r="AI20" s="237">
        <v>166500</v>
      </c>
      <c r="AJ20" s="115">
        <v>216000</v>
      </c>
      <c r="AK20" s="115">
        <v>16200</v>
      </c>
    </row>
    <row r="21" spans="1:37" x14ac:dyDescent="0.3">
      <c r="A21" s="269" t="s">
        <v>48</v>
      </c>
      <c r="B21" s="269">
        <v>131</v>
      </c>
      <c r="C21" s="269">
        <v>615390673.5</v>
      </c>
      <c r="D21" s="269">
        <v>771322345.24279702</v>
      </c>
      <c r="E21" s="263">
        <v>263167004.29745212</v>
      </c>
      <c r="F21" s="115"/>
      <c r="G21" s="115"/>
      <c r="H21" s="115"/>
      <c r="I21" s="115"/>
      <c r="J21" s="115"/>
      <c r="K21" s="115"/>
      <c r="L21" s="115"/>
      <c r="M21" s="115"/>
      <c r="N21" s="108"/>
      <c r="O21" s="250">
        <f>C21/$C$7</f>
        <v>1</v>
      </c>
      <c r="Q21" s="253" t="s">
        <v>48</v>
      </c>
      <c r="R21" s="253">
        <v>131</v>
      </c>
      <c r="S21" s="253">
        <v>615390673.5</v>
      </c>
      <c r="T21" s="253">
        <v>69401998</v>
      </c>
      <c r="U21" s="253">
        <v>37280351.700000003</v>
      </c>
      <c r="V21" s="253">
        <v>23159942.039999999</v>
      </c>
      <c r="W21" s="253">
        <v>46961552.996130317</v>
      </c>
      <c r="X21" s="253">
        <v>36048223.579999998</v>
      </c>
      <c r="Y21" s="266">
        <v>29891611.770000003</v>
      </c>
      <c r="Z21" s="253">
        <v>22850055.57</v>
      </c>
      <c r="AA21" s="253">
        <v>49558370.100000001</v>
      </c>
      <c r="AD21" s="250">
        <f t="shared" si="3"/>
        <v>0.53716539544005637</v>
      </c>
      <c r="AE21" s="253">
        <v>37665197.649999991</v>
      </c>
      <c r="AF21" s="253">
        <v>17035582.5</v>
      </c>
      <c r="AG21" s="253">
        <v>42082852.17613031</v>
      </c>
      <c r="AH21" s="253">
        <v>36564944.579999998</v>
      </c>
      <c r="AI21" s="266">
        <v>26969139.410000004</v>
      </c>
      <c r="AJ21" s="253">
        <v>21423827.149999999</v>
      </c>
      <c r="AK21" s="253">
        <v>44947849.350000001</v>
      </c>
    </row>
    <row r="22" spans="1:37" x14ac:dyDescent="0.3">
      <c r="E22"/>
      <c r="F22" s="115"/>
      <c r="G22" s="115"/>
      <c r="H22" s="115"/>
      <c r="I22" s="115"/>
      <c r="J22" s="115"/>
      <c r="K22" s="115"/>
      <c r="L22" s="115"/>
      <c r="M22" s="115"/>
      <c r="N22" s="108"/>
      <c r="Q22" s="42" t="s">
        <v>0</v>
      </c>
      <c r="R22" t="s">
        <v>1</v>
      </c>
      <c r="AD22"/>
    </row>
    <row r="23" spans="1:37" x14ac:dyDescent="0.3">
      <c r="A23" s="42" t="s">
        <v>0</v>
      </c>
      <c r="B23" t="s">
        <v>1</v>
      </c>
      <c r="C23" s="115"/>
      <c r="D23" s="115"/>
      <c r="E23" s="115"/>
      <c r="F23" s="115"/>
      <c r="G23" s="115"/>
      <c r="H23" s="115"/>
      <c r="I23" s="115"/>
      <c r="J23" s="115"/>
      <c r="K23" s="115"/>
      <c r="L23" s="115"/>
      <c r="Q23" s="247" t="s">
        <v>202</v>
      </c>
      <c r="R23" t="s">
        <v>21</v>
      </c>
    </row>
    <row r="24" spans="1:37" x14ac:dyDescent="0.3">
      <c r="AD24" s="220"/>
    </row>
    <row r="25" spans="1:37" s="104" customFormat="1" ht="43.2" x14ac:dyDescent="0.3">
      <c r="A25" s="247" t="s">
        <v>19</v>
      </c>
      <c r="B25" s="247" t="s">
        <v>4</v>
      </c>
      <c r="C25" s="247" t="s">
        <v>39</v>
      </c>
      <c r="D25" s="247" t="s">
        <v>20</v>
      </c>
      <c r="E25" s="262" t="s">
        <v>7</v>
      </c>
      <c r="F25" s="262"/>
      <c r="G25" s="262"/>
      <c r="H25" s="262"/>
      <c r="I25" s="262"/>
      <c r="J25" s="262"/>
      <c r="K25" s="262"/>
      <c r="L25" s="262"/>
      <c r="M25" s="247" t="s">
        <v>8</v>
      </c>
      <c r="N25" s="247" t="s">
        <v>9</v>
      </c>
      <c r="O25" s="247" t="s">
        <v>10</v>
      </c>
      <c r="P25" s="215"/>
      <c r="Q25" s="247" t="s">
        <v>216</v>
      </c>
      <c r="R25" s="247" t="s">
        <v>40</v>
      </c>
      <c r="S25" s="247" t="s">
        <v>39</v>
      </c>
      <c r="T25" s="248" t="s">
        <v>41</v>
      </c>
      <c r="U25" s="247" t="s">
        <v>1472</v>
      </c>
      <c r="V25" s="247" t="s">
        <v>1473</v>
      </c>
      <c r="W25" s="247" t="s">
        <v>42</v>
      </c>
      <c r="X25" s="247" t="s">
        <v>43</v>
      </c>
      <c r="Y25" s="247" t="s">
        <v>44</v>
      </c>
      <c r="Z25" s="247" t="s">
        <v>45</v>
      </c>
      <c r="AA25" s="247" t="s">
        <v>46</v>
      </c>
      <c r="AB25"/>
      <c r="AC25"/>
      <c r="AD25" s="247" t="s">
        <v>47</v>
      </c>
      <c r="AE25" s="272"/>
      <c r="AF25" s="272"/>
      <c r="AG25" s="272"/>
      <c r="AH25" s="272"/>
      <c r="AI25" s="272"/>
      <c r="AJ25" s="272"/>
      <c r="AK25" s="272"/>
    </row>
    <row r="26" spans="1:37" x14ac:dyDescent="0.3">
      <c r="A26" s="43" t="s">
        <v>21</v>
      </c>
      <c r="B26">
        <v>21</v>
      </c>
      <c r="C26" s="115">
        <v>227114444</v>
      </c>
      <c r="D26" s="115">
        <v>213856201.6661303</v>
      </c>
      <c r="E26" s="115">
        <v>77431815.374452114</v>
      </c>
      <c r="F26" s="115"/>
      <c r="G26" s="115"/>
      <c r="H26" s="115"/>
      <c r="I26" s="115"/>
      <c r="J26" s="115"/>
      <c r="K26" s="115"/>
      <c r="L26" s="115"/>
      <c r="M26" s="214">
        <f t="shared" ref="M26:M33" si="4">C26/(E26/12)</f>
        <v>35.197073900700651</v>
      </c>
      <c r="N26" s="216">
        <f t="shared" ref="N26:N33" si="5">+E26/C26</f>
        <v>0.34093743229493634</v>
      </c>
      <c r="O26" s="216">
        <f t="shared" ref="O26:O34" si="6">C26/$C$21</f>
        <v>0.36905733833809884</v>
      </c>
      <c r="P26" s="216"/>
      <c r="Q26" t="s">
        <v>138</v>
      </c>
      <c r="R26">
        <v>2</v>
      </c>
      <c r="S26" s="115">
        <v>25027938</v>
      </c>
      <c r="T26" s="115">
        <v>2885447</v>
      </c>
      <c r="U26">
        <v>337501.05</v>
      </c>
      <c r="V26">
        <v>0</v>
      </c>
      <c r="W26" s="237">
        <v>232678.02000000002</v>
      </c>
      <c r="X26">
        <v>1114740</v>
      </c>
      <c r="Y26" s="237">
        <v>1374211.3599999999</v>
      </c>
      <c r="Z26">
        <v>0</v>
      </c>
      <c r="AA26">
        <v>12320</v>
      </c>
      <c r="AD26" s="108">
        <f>U26/T26</f>
        <v>0.11696664329651524</v>
      </c>
      <c r="AE26" s="115"/>
      <c r="AF26" s="115"/>
      <c r="AG26" s="115"/>
      <c r="AH26" s="115"/>
      <c r="AI26" s="115"/>
      <c r="AJ26" s="115"/>
      <c r="AK26" s="115"/>
    </row>
    <row r="27" spans="1:37" x14ac:dyDescent="0.3">
      <c r="A27" s="43" t="s">
        <v>24</v>
      </c>
      <c r="B27">
        <v>30</v>
      </c>
      <c r="C27" s="115">
        <v>120366352</v>
      </c>
      <c r="D27" s="115">
        <v>170812140.07999998</v>
      </c>
      <c r="E27" s="115">
        <v>60036212.232000008</v>
      </c>
      <c r="F27" s="115"/>
      <c r="G27" s="115"/>
      <c r="H27" s="115"/>
      <c r="I27" s="115"/>
      <c r="J27" s="115"/>
      <c r="K27" s="115"/>
      <c r="L27" s="115"/>
      <c r="M27" s="214">
        <f t="shared" si="4"/>
        <v>24.058750049359706</v>
      </c>
      <c r="N27" s="216">
        <f t="shared" si="5"/>
        <v>0.49877902947494834</v>
      </c>
      <c r="O27" s="216">
        <f t="shared" si="6"/>
        <v>0.19559339649303281</v>
      </c>
      <c r="P27" s="216"/>
      <c r="Q27" t="s">
        <v>58</v>
      </c>
      <c r="R27">
        <v>2</v>
      </c>
      <c r="S27" s="115">
        <v>18831680</v>
      </c>
      <c r="T27" s="115">
        <v>2459926</v>
      </c>
      <c r="U27" s="115">
        <v>3061340.88</v>
      </c>
      <c r="V27" s="115">
        <v>1363306</v>
      </c>
      <c r="W27" s="115">
        <v>11640512.619999999</v>
      </c>
      <c r="X27" s="115">
        <v>12115632</v>
      </c>
      <c r="Y27" s="115">
        <v>0</v>
      </c>
      <c r="Z27" s="115">
        <v>0</v>
      </c>
      <c r="AA27" s="115">
        <v>3637852.48</v>
      </c>
      <c r="AD27" s="108">
        <f>U27/T27</f>
        <v>1.2444849479211977</v>
      </c>
      <c r="AE27" s="115"/>
      <c r="AF27" s="115"/>
      <c r="AG27" s="115"/>
      <c r="AH27" s="115"/>
      <c r="AI27" s="115"/>
      <c r="AJ27" s="115"/>
      <c r="AK27" s="115"/>
    </row>
    <row r="28" spans="1:37" x14ac:dyDescent="0.3">
      <c r="A28" s="43" t="s">
        <v>49</v>
      </c>
      <c r="B28">
        <v>19</v>
      </c>
      <c r="C28" s="115">
        <v>96440445</v>
      </c>
      <c r="D28" s="115">
        <v>169167544.52666667</v>
      </c>
      <c r="E28" s="115">
        <v>59308484.04299999</v>
      </c>
      <c r="F28" s="115"/>
      <c r="G28" s="115"/>
      <c r="H28" s="115"/>
      <c r="I28" s="115"/>
      <c r="J28" s="115"/>
      <c r="K28" s="115"/>
      <c r="L28" s="115"/>
      <c r="M28" s="214">
        <f t="shared" si="4"/>
        <v>19.51298129894775</v>
      </c>
      <c r="N28" s="216">
        <f t="shared" si="5"/>
        <v>0.61497522168214791</v>
      </c>
      <c r="O28" s="216">
        <f t="shared" si="6"/>
        <v>0.15671418036204607</v>
      </c>
      <c r="P28" s="216"/>
      <c r="Q28" t="s">
        <v>115</v>
      </c>
      <c r="R28">
        <v>1</v>
      </c>
      <c r="S28" s="115">
        <v>18824399</v>
      </c>
      <c r="T28" s="115">
        <v>1550725</v>
      </c>
      <c r="U28" s="115">
        <v>1089608</v>
      </c>
      <c r="V28" s="115">
        <v>578220</v>
      </c>
      <c r="W28" s="115">
        <v>1859355.5561303066</v>
      </c>
      <c r="X28" s="115">
        <v>0</v>
      </c>
      <c r="Y28" s="115">
        <v>350113</v>
      </c>
      <c r="Z28" s="115">
        <v>210000</v>
      </c>
      <c r="AA28" s="115">
        <v>425000</v>
      </c>
      <c r="AD28" s="108">
        <f>U28/T28</f>
        <v>0.70264424704573669</v>
      </c>
      <c r="AE28" s="115"/>
      <c r="AF28" s="115"/>
      <c r="AG28" s="115"/>
      <c r="AH28" s="115"/>
      <c r="AI28" s="115"/>
      <c r="AJ28" s="115"/>
      <c r="AK28" s="115"/>
    </row>
    <row r="29" spans="1:37" x14ac:dyDescent="0.3">
      <c r="A29" s="43" t="s">
        <v>51</v>
      </c>
      <c r="B29">
        <v>8</v>
      </c>
      <c r="C29" s="115">
        <v>46301837.5</v>
      </c>
      <c r="D29" s="115">
        <v>73215510.840000004</v>
      </c>
      <c r="E29" s="115">
        <v>21551964.336000003</v>
      </c>
      <c r="F29" s="115"/>
      <c r="G29" s="115"/>
      <c r="H29" s="115"/>
      <c r="I29" s="115"/>
      <c r="J29" s="115"/>
      <c r="K29" s="115"/>
      <c r="L29" s="115"/>
      <c r="M29" s="214">
        <f t="shared" si="4"/>
        <v>25.78057579057419</v>
      </c>
      <c r="N29" s="216">
        <f t="shared" si="5"/>
        <v>0.46546671794612909</v>
      </c>
      <c r="O29" s="216">
        <f t="shared" si="6"/>
        <v>7.523974524453042E-2</v>
      </c>
      <c r="P29" s="216"/>
      <c r="Q29" t="s">
        <v>111</v>
      </c>
      <c r="R29">
        <v>1</v>
      </c>
      <c r="S29" s="115">
        <v>18808000</v>
      </c>
      <c r="T29" s="115">
        <v>3123750</v>
      </c>
      <c r="U29">
        <v>0</v>
      </c>
      <c r="V29">
        <v>6230153</v>
      </c>
      <c r="W29" s="237">
        <v>3749491.8000000003</v>
      </c>
      <c r="X29">
        <v>19000</v>
      </c>
      <c r="Y29" s="237">
        <v>0</v>
      </c>
      <c r="Z29">
        <v>0</v>
      </c>
      <c r="AA29">
        <v>0</v>
      </c>
      <c r="AD29" s="108">
        <f>U29/T29</f>
        <v>0</v>
      </c>
      <c r="AE29" s="115"/>
      <c r="AF29" s="115"/>
      <c r="AG29" s="115"/>
      <c r="AH29" s="115"/>
      <c r="AI29" s="115"/>
      <c r="AJ29" s="115"/>
      <c r="AK29" s="115"/>
    </row>
    <row r="30" spans="1:37" x14ac:dyDescent="0.3">
      <c r="A30" s="43" t="s">
        <v>22</v>
      </c>
      <c r="B30">
        <v>29</v>
      </c>
      <c r="C30" s="115">
        <v>42155418.999999985</v>
      </c>
      <c r="D30" s="115">
        <v>93617235.24000001</v>
      </c>
      <c r="E30" s="115">
        <v>29741184.895999994</v>
      </c>
      <c r="F30" s="115"/>
      <c r="G30" s="115"/>
      <c r="H30" s="115"/>
      <c r="I30" s="115"/>
      <c r="J30" s="115"/>
      <c r="K30" s="115"/>
      <c r="L30" s="115"/>
      <c r="M30" s="214">
        <f t="shared" si="4"/>
        <v>17.008906328679444</v>
      </c>
      <c r="N30" s="216">
        <f t="shared" si="5"/>
        <v>0.70551273362980937</v>
      </c>
      <c r="O30" s="216">
        <f t="shared" si="6"/>
        <v>6.85018815125088E-2</v>
      </c>
      <c r="P30" s="216"/>
      <c r="Q30" t="s">
        <v>75</v>
      </c>
      <c r="R30">
        <v>1</v>
      </c>
      <c r="S30" s="115">
        <v>16465883</v>
      </c>
      <c r="T30" s="115">
        <v>864628</v>
      </c>
      <c r="U30" s="115">
        <v>0</v>
      </c>
      <c r="V30" s="115">
        <v>0</v>
      </c>
      <c r="W30" s="115">
        <v>0</v>
      </c>
      <c r="X30" s="115">
        <v>0</v>
      </c>
      <c r="Y30" s="115">
        <v>0</v>
      </c>
      <c r="Z30" s="115">
        <v>0</v>
      </c>
      <c r="AA30" s="115">
        <v>0</v>
      </c>
      <c r="AD30" s="108">
        <f>U30/T30</f>
        <v>0</v>
      </c>
      <c r="AE30" s="115"/>
      <c r="AF30" s="115"/>
      <c r="AG30" s="115"/>
      <c r="AH30" s="115"/>
      <c r="AI30" s="115"/>
      <c r="AJ30" s="115"/>
      <c r="AK30" s="115"/>
    </row>
    <row r="31" spans="1:37" x14ac:dyDescent="0.3">
      <c r="A31" s="43" t="s">
        <v>25</v>
      </c>
      <c r="B31">
        <v>14</v>
      </c>
      <c r="C31" s="115">
        <v>37579001</v>
      </c>
      <c r="D31" s="115">
        <v>37243801.340000004</v>
      </c>
      <c r="E31" s="115">
        <v>11385498.796</v>
      </c>
      <c r="F31" s="115"/>
      <c r="G31" s="115"/>
      <c r="H31" s="115"/>
      <c r="I31" s="115"/>
      <c r="J31" s="115"/>
      <c r="K31" s="115"/>
      <c r="L31" s="115"/>
      <c r="M31" s="214">
        <f t="shared" si="4"/>
        <v>39.607224951657706</v>
      </c>
      <c r="N31" s="216">
        <f t="shared" si="5"/>
        <v>0.30297502575973212</v>
      </c>
      <c r="O31" s="216">
        <f t="shared" si="6"/>
        <v>6.1065275471712199E-2</v>
      </c>
      <c r="P31" s="278"/>
      <c r="Q31" t="s">
        <v>146</v>
      </c>
      <c r="R31">
        <v>1</v>
      </c>
      <c r="S31" s="115">
        <v>14446400</v>
      </c>
      <c r="T31" s="115">
        <v>855600</v>
      </c>
      <c r="W31" s="237"/>
      <c r="Y31" s="237"/>
      <c r="Z31">
        <v>443000</v>
      </c>
      <c r="AD31" s="108">
        <f t="shared" ref="AD31:AD94" si="7">U31/T31</f>
        <v>0</v>
      </c>
      <c r="AE31" s="115"/>
      <c r="AF31" s="115"/>
      <c r="AG31" s="115"/>
      <c r="AH31" s="115"/>
      <c r="AI31" s="115"/>
      <c r="AJ31" s="115"/>
      <c r="AK31" s="115"/>
    </row>
    <row r="32" spans="1:37" x14ac:dyDescent="0.3">
      <c r="A32" s="43" t="s">
        <v>50</v>
      </c>
      <c r="B32">
        <v>4</v>
      </c>
      <c r="C32" s="115">
        <v>28717900</v>
      </c>
      <c r="D32" s="115">
        <v>3565461.55</v>
      </c>
      <c r="E32" s="115">
        <v>1352144.62</v>
      </c>
      <c r="F32" s="115"/>
      <c r="G32" s="115"/>
      <c r="H32" s="115"/>
      <c r="I32" s="115"/>
      <c r="J32" s="115"/>
      <c r="K32" s="115"/>
      <c r="L32" s="115"/>
      <c r="M32" s="214">
        <f t="shared" si="4"/>
        <v>254.86534125321595</v>
      </c>
      <c r="N32" s="216">
        <f t="shared" si="5"/>
        <v>4.708368717768361E-2</v>
      </c>
      <c r="O32" s="216">
        <f t="shared" si="6"/>
        <v>4.6666128098218573E-2</v>
      </c>
      <c r="Q32" t="s">
        <v>83</v>
      </c>
      <c r="R32">
        <v>1</v>
      </c>
      <c r="S32" s="115">
        <v>14446400</v>
      </c>
      <c r="T32" s="115">
        <v>855600</v>
      </c>
      <c r="U32" s="115"/>
      <c r="V32" s="115"/>
      <c r="W32" s="115"/>
      <c r="X32" s="115"/>
      <c r="Y32" s="115">
        <v>469000</v>
      </c>
      <c r="Z32" s="115"/>
      <c r="AA32" s="115">
        <v>0</v>
      </c>
      <c r="AD32" s="108">
        <f t="shared" si="7"/>
        <v>0</v>
      </c>
      <c r="AE32" s="115"/>
      <c r="AF32" s="115"/>
      <c r="AG32" s="115"/>
      <c r="AH32" s="115"/>
      <c r="AI32" s="115"/>
      <c r="AJ32" s="115"/>
      <c r="AK32" s="115"/>
    </row>
    <row r="33" spans="1:37" x14ac:dyDescent="0.3">
      <c r="A33" s="43" t="s">
        <v>52</v>
      </c>
      <c r="B33">
        <v>4</v>
      </c>
      <c r="C33" s="115">
        <v>8458821</v>
      </c>
      <c r="D33" s="115">
        <v>8456450</v>
      </c>
      <c r="E33" s="115">
        <v>2021900</v>
      </c>
      <c r="F33" s="115"/>
      <c r="G33" s="115"/>
      <c r="H33" s="115"/>
      <c r="I33" s="115"/>
      <c r="J33" s="115"/>
      <c r="K33" s="115"/>
      <c r="L33" s="115"/>
      <c r="M33" s="242">
        <f t="shared" si="4"/>
        <v>50.203200949601865</v>
      </c>
      <c r="N33" s="243">
        <f t="shared" si="5"/>
        <v>0.23902858329783785</v>
      </c>
      <c r="O33" s="216">
        <f t="shared" si="6"/>
        <v>1.3745448808788292E-2</v>
      </c>
      <c r="Q33" t="s">
        <v>98</v>
      </c>
      <c r="R33">
        <v>1</v>
      </c>
      <c r="S33" s="115">
        <v>14396400</v>
      </c>
      <c r="T33" s="115">
        <v>984486</v>
      </c>
      <c r="U33" s="115"/>
      <c r="V33" s="115"/>
      <c r="W33" s="115"/>
      <c r="X33" s="115">
        <v>868405</v>
      </c>
      <c r="Y33" s="115">
        <v>817823</v>
      </c>
      <c r="Z33" s="115">
        <v>0</v>
      </c>
      <c r="AA33" s="115">
        <v>0</v>
      </c>
      <c r="AD33" s="108">
        <f t="shared" si="7"/>
        <v>0</v>
      </c>
      <c r="AE33" s="115"/>
      <c r="AF33" s="115"/>
      <c r="AG33" s="115"/>
      <c r="AH33" s="115"/>
      <c r="AI33" s="115"/>
      <c r="AJ33" s="115"/>
      <c r="AK33" s="115"/>
    </row>
    <row r="34" spans="1:37" x14ac:dyDescent="0.3">
      <c r="A34" s="43" t="s">
        <v>53</v>
      </c>
      <c r="B34">
        <v>2</v>
      </c>
      <c r="C34" s="115">
        <v>8256454</v>
      </c>
      <c r="D34" s="115">
        <v>1388000</v>
      </c>
      <c r="E34" s="115">
        <v>337800</v>
      </c>
      <c r="F34" s="263"/>
      <c r="G34" s="263"/>
      <c r="H34" s="263"/>
      <c r="I34" s="263"/>
      <c r="J34" s="263"/>
      <c r="K34" s="263"/>
      <c r="L34" s="263"/>
      <c r="M34" s="251"/>
      <c r="N34" s="251"/>
      <c r="O34" s="216">
        <f t="shared" si="6"/>
        <v>1.341660567106401E-2</v>
      </c>
      <c r="Q34" t="s">
        <v>96</v>
      </c>
      <c r="R34">
        <v>1</v>
      </c>
      <c r="S34" s="115">
        <v>9412200</v>
      </c>
      <c r="T34" s="115">
        <v>504629</v>
      </c>
      <c r="U34" s="115">
        <v>437000</v>
      </c>
      <c r="V34" s="115">
        <v>93000</v>
      </c>
      <c r="W34" s="115">
        <v>720000</v>
      </c>
      <c r="X34" s="115">
        <v>127084</v>
      </c>
      <c r="Y34" s="115">
        <v>245000</v>
      </c>
      <c r="Z34" s="115">
        <v>249000</v>
      </c>
      <c r="AA34" s="115">
        <v>375730</v>
      </c>
      <c r="AD34" s="108">
        <f t="shared" si="7"/>
        <v>0.86598273186836272</v>
      </c>
      <c r="AE34" s="115"/>
      <c r="AF34" s="115"/>
      <c r="AG34" s="115"/>
      <c r="AH34" s="115"/>
      <c r="AI34" s="115"/>
      <c r="AJ34" s="115"/>
      <c r="AK34" s="115"/>
    </row>
    <row r="35" spans="1:37" x14ac:dyDescent="0.3">
      <c r="A35" s="269" t="s">
        <v>48</v>
      </c>
      <c r="B35" s="269">
        <v>131</v>
      </c>
      <c r="C35" s="269">
        <v>615390673.5</v>
      </c>
      <c r="D35" s="269">
        <v>771322345.24279702</v>
      </c>
      <c r="E35" s="263">
        <v>263167004.29745212</v>
      </c>
      <c r="F35" s="115"/>
      <c r="G35" s="115"/>
      <c r="H35" s="115"/>
      <c r="I35" s="115"/>
      <c r="J35" s="115"/>
      <c r="K35" s="115"/>
      <c r="L35" s="115"/>
      <c r="M35" s="115"/>
      <c r="N35" s="108"/>
      <c r="O35" s="250">
        <f>C35/$C$7</f>
        <v>1</v>
      </c>
      <c r="Q35" t="s">
        <v>114</v>
      </c>
      <c r="R35">
        <v>1</v>
      </c>
      <c r="S35" s="115">
        <v>9412200</v>
      </c>
      <c r="T35" s="115">
        <v>507479</v>
      </c>
      <c r="U35" s="115">
        <v>522000</v>
      </c>
      <c r="V35" s="115">
        <v>106000</v>
      </c>
      <c r="W35" s="115">
        <v>1040000</v>
      </c>
      <c r="X35" s="115">
        <v>150000</v>
      </c>
      <c r="Y35" s="115">
        <v>250000</v>
      </c>
      <c r="Z35" s="115">
        <v>222500</v>
      </c>
      <c r="AA35" s="115">
        <v>387500</v>
      </c>
      <c r="AD35" s="108">
        <f t="shared" si="7"/>
        <v>1.0286139919090249</v>
      </c>
      <c r="AE35" s="115"/>
      <c r="AF35" s="115"/>
      <c r="AG35" s="115"/>
      <c r="AH35" s="115"/>
      <c r="AI35" s="115"/>
      <c r="AJ35" s="115"/>
      <c r="AK35" s="115"/>
    </row>
    <row r="36" spans="1:37" x14ac:dyDescent="0.3">
      <c r="Q36" t="s">
        <v>110</v>
      </c>
      <c r="R36">
        <v>1</v>
      </c>
      <c r="S36" s="115">
        <v>9297200</v>
      </c>
      <c r="T36" s="115">
        <v>829374</v>
      </c>
      <c r="U36" s="115">
        <v>0</v>
      </c>
      <c r="V36" s="115">
        <v>547499.5</v>
      </c>
      <c r="W36" s="115">
        <v>0</v>
      </c>
      <c r="X36" s="115">
        <v>22500</v>
      </c>
      <c r="Y36" s="115">
        <v>0</v>
      </c>
      <c r="Z36" s="115">
        <v>0</v>
      </c>
      <c r="AA36" s="115">
        <v>0</v>
      </c>
      <c r="AD36" s="108">
        <f t="shared" si="7"/>
        <v>0</v>
      </c>
      <c r="AE36" s="115"/>
      <c r="AF36" s="115"/>
      <c r="AG36" s="115"/>
      <c r="AH36" s="115"/>
      <c r="AI36" s="115"/>
      <c r="AJ36" s="115"/>
      <c r="AK36" s="115"/>
    </row>
    <row r="37" spans="1:37" x14ac:dyDescent="0.3">
      <c r="Q37" t="s">
        <v>133</v>
      </c>
      <c r="R37">
        <v>1</v>
      </c>
      <c r="S37" s="115">
        <v>8595000</v>
      </c>
      <c r="T37" s="115">
        <v>424250</v>
      </c>
      <c r="U37" s="115">
        <v>479000</v>
      </c>
      <c r="V37" s="115">
        <v>107017</v>
      </c>
      <c r="W37" s="115">
        <v>791114</v>
      </c>
      <c r="X37" s="115">
        <v>115000</v>
      </c>
      <c r="Y37" s="115">
        <v>287000</v>
      </c>
      <c r="Z37" s="115">
        <v>81039</v>
      </c>
      <c r="AA37" s="115">
        <v>154000</v>
      </c>
      <c r="AD37" s="108">
        <f t="shared" si="7"/>
        <v>1.1290512669416617</v>
      </c>
      <c r="AE37" s="115"/>
      <c r="AF37" s="115"/>
      <c r="AG37" s="115"/>
      <c r="AH37" s="115"/>
      <c r="AI37" s="115"/>
      <c r="AJ37" s="115"/>
      <c r="AK37" s="115"/>
    </row>
    <row r="38" spans="1:37" x14ac:dyDescent="0.3">
      <c r="Q38" t="s">
        <v>80</v>
      </c>
      <c r="R38">
        <v>1</v>
      </c>
      <c r="S38" s="115">
        <v>8595000</v>
      </c>
      <c r="T38" s="115">
        <v>529967</v>
      </c>
      <c r="U38" s="115">
        <v>416000</v>
      </c>
      <c r="V38" s="115">
        <v>96500</v>
      </c>
      <c r="W38" s="115">
        <v>676000</v>
      </c>
      <c r="X38" s="115">
        <v>120000</v>
      </c>
      <c r="Y38" s="115">
        <v>190000</v>
      </c>
      <c r="Z38" s="115">
        <v>176000</v>
      </c>
      <c r="AA38" s="115">
        <v>340000</v>
      </c>
      <c r="AD38" s="108">
        <f t="shared" si="7"/>
        <v>0.78495453490500355</v>
      </c>
      <c r="AE38" s="115"/>
      <c r="AF38" s="115"/>
      <c r="AG38" s="115"/>
      <c r="AH38" s="115"/>
      <c r="AI38" s="115"/>
      <c r="AJ38" s="115"/>
      <c r="AK38" s="115"/>
    </row>
    <row r="39" spans="1:37" x14ac:dyDescent="0.3">
      <c r="Q39" t="s">
        <v>116</v>
      </c>
      <c r="R39">
        <v>1</v>
      </c>
      <c r="S39" s="115">
        <v>8002112</v>
      </c>
      <c r="T39" s="115">
        <v>497587</v>
      </c>
      <c r="U39" s="115">
        <v>386349</v>
      </c>
      <c r="V39" s="115">
        <v>80000</v>
      </c>
      <c r="W39" s="115">
        <v>585500</v>
      </c>
      <c r="X39" s="115">
        <v>72000</v>
      </c>
      <c r="Y39" s="115">
        <v>188000</v>
      </c>
      <c r="Z39" s="115">
        <v>120000</v>
      </c>
      <c r="AA39" s="115">
        <v>398000</v>
      </c>
      <c r="AD39" s="108">
        <f t="shared" si="7"/>
        <v>0.77644512416924072</v>
      </c>
      <c r="AE39" s="115"/>
      <c r="AF39" s="115"/>
      <c r="AG39" s="115"/>
      <c r="AH39" s="115"/>
      <c r="AI39" s="115"/>
      <c r="AJ39" s="115"/>
      <c r="AK39" s="115"/>
    </row>
    <row r="40" spans="1:37" x14ac:dyDescent="0.3">
      <c r="Q40" t="s">
        <v>104</v>
      </c>
      <c r="R40">
        <v>1</v>
      </c>
      <c r="S40" s="115">
        <v>7420000</v>
      </c>
      <c r="T40" s="115">
        <v>824400</v>
      </c>
      <c r="U40" s="115">
        <v>-84500</v>
      </c>
      <c r="V40" s="115">
        <v>282424</v>
      </c>
      <c r="W40" s="115">
        <v>1689052.55</v>
      </c>
      <c r="X40" s="115">
        <v>0</v>
      </c>
      <c r="Y40" s="115">
        <v>0</v>
      </c>
      <c r="Z40" s="115">
        <v>716366</v>
      </c>
      <c r="AA40" s="115">
        <v>424300</v>
      </c>
      <c r="AD40" s="108">
        <f t="shared" si="7"/>
        <v>-0.10249878699660359</v>
      </c>
      <c r="AE40" s="115"/>
      <c r="AF40" s="115"/>
      <c r="AG40" s="115"/>
      <c r="AH40" s="115"/>
      <c r="AI40" s="115"/>
      <c r="AJ40" s="115"/>
      <c r="AK40" s="115"/>
    </row>
    <row r="41" spans="1:37" x14ac:dyDescent="0.3">
      <c r="Q41" t="s">
        <v>106</v>
      </c>
      <c r="R41">
        <v>1</v>
      </c>
      <c r="S41" s="115">
        <v>6938187</v>
      </c>
      <c r="T41" s="115">
        <v>618263</v>
      </c>
      <c r="U41" s="115"/>
      <c r="V41" s="115"/>
      <c r="W41" s="115"/>
      <c r="X41" s="115"/>
      <c r="Y41" s="115">
        <v>951500</v>
      </c>
      <c r="Z41" s="115">
        <v>72600</v>
      </c>
      <c r="AA41" s="115">
        <v>417200</v>
      </c>
      <c r="AD41" s="108">
        <f t="shared" si="7"/>
        <v>0</v>
      </c>
      <c r="AE41" s="115"/>
      <c r="AF41" s="115"/>
      <c r="AG41" s="115"/>
      <c r="AH41" s="115"/>
      <c r="AI41" s="115"/>
      <c r="AJ41" s="115"/>
      <c r="AK41" s="115"/>
    </row>
    <row r="42" spans="1:37" x14ac:dyDescent="0.3">
      <c r="Q42" t="s">
        <v>1546</v>
      </c>
      <c r="R42">
        <v>1</v>
      </c>
      <c r="S42" s="115">
        <v>6818058</v>
      </c>
      <c r="T42" s="115">
        <v>392516</v>
      </c>
      <c r="U42">
        <v>0</v>
      </c>
      <c r="V42">
        <v>500320</v>
      </c>
      <c r="W42" s="237">
        <v>1132725</v>
      </c>
      <c r="X42">
        <v>1368005</v>
      </c>
      <c r="Y42" s="237">
        <v>895385</v>
      </c>
      <c r="Z42">
        <v>481310</v>
      </c>
      <c r="AA42">
        <v>15980</v>
      </c>
      <c r="AD42" s="108">
        <f t="shared" si="7"/>
        <v>0</v>
      </c>
      <c r="AE42" s="115"/>
      <c r="AF42" s="115"/>
      <c r="AG42" s="115"/>
      <c r="AH42" s="115"/>
      <c r="AI42" s="115"/>
      <c r="AJ42" s="115"/>
      <c r="AK42" s="115"/>
    </row>
    <row r="43" spans="1:37" x14ac:dyDescent="0.3">
      <c r="Q43" t="s">
        <v>63</v>
      </c>
      <c r="R43">
        <v>1</v>
      </c>
      <c r="S43" s="115">
        <v>5962387</v>
      </c>
      <c r="T43" s="115">
        <v>469966</v>
      </c>
      <c r="U43" s="115">
        <v>0</v>
      </c>
      <c r="V43" s="115">
        <v>0</v>
      </c>
      <c r="W43" s="115">
        <v>915691.58000000007</v>
      </c>
      <c r="X43" s="115">
        <v>293100.48</v>
      </c>
      <c r="Y43" s="115">
        <v>0</v>
      </c>
      <c r="Z43" s="115">
        <v>639964.52</v>
      </c>
      <c r="AA43" s="115">
        <v>0</v>
      </c>
      <c r="AD43" s="108">
        <f t="shared" si="7"/>
        <v>0</v>
      </c>
      <c r="AE43" s="115"/>
      <c r="AF43" s="115"/>
      <c r="AG43" s="115"/>
      <c r="AH43" s="115"/>
      <c r="AI43" s="115"/>
      <c r="AJ43" s="115"/>
      <c r="AK43" s="115"/>
    </row>
    <row r="44" spans="1:37" x14ac:dyDescent="0.3">
      <c r="Q44" t="s">
        <v>100</v>
      </c>
      <c r="R44">
        <v>1</v>
      </c>
      <c r="S44" s="115">
        <v>5415000</v>
      </c>
      <c r="T44" s="115">
        <v>518873</v>
      </c>
      <c r="U44" s="115">
        <v>409692</v>
      </c>
      <c r="V44" s="115">
        <v>411828</v>
      </c>
      <c r="W44" s="115">
        <v>949897</v>
      </c>
      <c r="X44" s="115">
        <v>278043</v>
      </c>
      <c r="Y44" s="115">
        <v>1045122</v>
      </c>
      <c r="Z44" s="115">
        <v>522335</v>
      </c>
      <c r="AA44" s="115">
        <v>305569</v>
      </c>
      <c r="AD44" s="108">
        <f t="shared" si="7"/>
        <v>0.78958049464897961</v>
      </c>
      <c r="AE44" s="115"/>
      <c r="AF44" s="115"/>
      <c r="AG44" s="115"/>
      <c r="AH44" s="115"/>
      <c r="AI44" s="115"/>
      <c r="AJ44" s="115"/>
      <c r="AK44" s="115"/>
    </row>
    <row r="45" spans="1:37" x14ac:dyDescent="0.3">
      <c r="Q45" s="252" t="s">
        <v>48</v>
      </c>
      <c r="R45" s="253">
        <v>21</v>
      </c>
      <c r="S45" s="253">
        <v>227114444</v>
      </c>
      <c r="T45" s="253">
        <v>19697466</v>
      </c>
      <c r="U45" s="253">
        <v>7053990.9300000006</v>
      </c>
      <c r="V45" s="253">
        <v>10396267.5</v>
      </c>
      <c r="W45" s="253">
        <v>25982018.126130309</v>
      </c>
      <c r="X45" s="253">
        <v>16663509.48</v>
      </c>
      <c r="Y45" s="266">
        <v>7063154.3599999994</v>
      </c>
      <c r="Z45" s="253">
        <v>3934114.52</v>
      </c>
      <c r="AA45" s="253">
        <v>6893451.4800000004</v>
      </c>
      <c r="AD45" s="108">
        <f t="shared" si="7"/>
        <v>0.35811666993104596</v>
      </c>
      <c r="AE45" s="115"/>
      <c r="AF45" s="115"/>
      <c r="AG45" s="115"/>
      <c r="AH45" s="115"/>
      <c r="AI45" s="115"/>
      <c r="AJ45" s="115"/>
      <c r="AK45" s="115"/>
    </row>
    <row r="46" spans="1:37" x14ac:dyDescent="0.3">
      <c r="AD46" s="108" t="e">
        <f>U46/T46</f>
        <v>#DIV/0!</v>
      </c>
      <c r="AE46" s="115"/>
      <c r="AF46" s="115"/>
      <c r="AG46" s="115"/>
      <c r="AH46" s="115"/>
      <c r="AI46" s="115"/>
      <c r="AJ46" s="115"/>
      <c r="AK46" s="115"/>
    </row>
    <row r="47" spans="1:37" x14ac:dyDescent="0.3">
      <c r="AD47" s="108" t="e">
        <f t="shared" si="7"/>
        <v>#DIV/0!</v>
      </c>
      <c r="AE47" s="115"/>
      <c r="AF47" s="115"/>
      <c r="AG47" s="115"/>
      <c r="AH47" s="115"/>
      <c r="AI47" s="115"/>
      <c r="AJ47" s="115"/>
      <c r="AK47" s="115"/>
    </row>
    <row r="48" spans="1:37" x14ac:dyDescent="0.3">
      <c r="AD48" s="108" t="e">
        <f t="shared" si="7"/>
        <v>#DIV/0!</v>
      </c>
      <c r="AE48" s="115"/>
      <c r="AF48" s="115"/>
      <c r="AG48" s="115"/>
      <c r="AH48" s="115"/>
      <c r="AI48" s="115"/>
      <c r="AJ48" s="115"/>
      <c r="AK48" s="115"/>
    </row>
    <row r="49" spans="30:37" x14ac:dyDescent="0.3">
      <c r="AD49" s="108" t="e">
        <f t="shared" si="7"/>
        <v>#DIV/0!</v>
      </c>
      <c r="AE49" s="115"/>
      <c r="AF49" s="115"/>
      <c r="AG49" s="115"/>
      <c r="AH49" s="115"/>
      <c r="AI49" s="115"/>
      <c r="AJ49" s="115"/>
      <c r="AK49" s="115"/>
    </row>
    <row r="50" spans="30:37" x14ac:dyDescent="0.3">
      <c r="AD50" s="108" t="e">
        <f t="shared" si="7"/>
        <v>#DIV/0!</v>
      </c>
      <c r="AE50" s="115"/>
      <c r="AF50" s="115"/>
      <c r="AG50" s="115"/>
      <c r="AH50" s="115"/>
      <c r="AI50" s="115"/>
      <c r="AJ50" s="115"/>
      <c r="AK50" s="115"/>
    </row>
    <row r="51" spans="30:37" x14ac:dyDescent="0.3">
      <c r="AD51" s="108" t="e">
        <f t="shared" si="7"/>
        <v>#DIV/0!</v>
      </c>
      <c r="AE51" s="115"/>
      <c r="AF51" s="115"/>
      <c r="AG51" s="115"/>
      <c r="AH51" s="115"/>
      <c r="AI51" s="115"/>
      <c r="AJ51" s="115"/>
      <c r="AK51" s="115"/>
    </row>
    <row r="52" spans="30:37" x14ac:dyDescent="0.3">
      <c r="AD52" s="108" t="e">
        <f t="shared" si="7"/>
        <v>#DIV/0!</v>
      </c>
      <c r="AE52" s="115"/>
      <c r="AF52" s="115"/>
      <c r="AG52" s="115"/>
      <c r="AH52" s="115"/>
      <c r="AI52" s="115"/>
      <c r="AJ52" s="115"/>
      <c r="AK52" s="115"/>
    </row>
    <row r="53" spans="30:37" x14ac:dyDescent="0.3">
      <c r="AD53" s="108" t="e">
        <f t="shared" si="7"/>
        <v>#DIV/0!</v>
      </c>
      <c r="AE53" s="115"/>
      <c r="AF53" s="115"/>
      <c r="AG53" s="115"/>
      <c r="AH53" s="115"/>
      <c r="AI53" s="115"/>
      <c r="AJ53" s="115"/>
      <c r="AK53" s="115"/>
    </row>
    <row r="54" spans="30:37" x14ac:dyDescent="0.3">
      <c r="AD54" s="108" t="e">
        <f t="shared" si="7"/>
        <v>#DIV/0!</v>
      </c>
      <c r="AE54" s="115"/>
      <c r="AF54" s="115"/>
      <c r="AG54" s="115"/>
      <c r="AH54" s="115"/>
      <c r="AI54" s="115"/>
      <c r="AJ54" s="115"/>
      <c r="AK54" s="115"/>
    </row>
    <row r="55" spans="30:37" x14ac:dyDescent="0.3">
      <c r="AD55" s="108" t="e">
        <f t="shared" si="7"/>
        <v>#DIV/0!</v>
      </c>
      <c r="AE55" s="115"/>
      <c r="AF55" s="115"/>
      <c r="AG55" s="115"/>
      <c r="AH55" s="115"/>
      <c r="AI55" s="115"/>
      <c r="AJ55" s="115"/>
      <c r="AK55" s="115"/>
    </row>
    <row r="56" spans="30:37" x14ac:dyDescent="0.3">
      <c r="AD56" s="108" t="e">
        <f t="shared" si="7"/>
        <v>#DIV/0!</v>
      </c>
      <c r="AE56" s="115"/>
      <c r="AF56" s="115"/>
      <c r="AG56" s="115"/>
      <c r="AH56" s="115"/>
      <c r="AI56" s="115"/>
      <c r="AJ56" s="115"/>
      <c r="AK56" s="115"/>
    </row>
    <row r="57" spans="30:37" x14ac:dyDescent="0.3">
      <c r="AD57" s="108" t="e">
        <f t="shared" si="7"/>
        <v>#DIV/0!</v>
      </c>
      <c r="AE57" s="115"/>
      <c r="AF57" s="115"/>
      <c r="AG57" s="115"/>
      <c r="AH57" s="115"/>
      <c r="AI57" s="115"/>
      <c r="AJ57" s="115"/>
      <c r="AK57" s="115"/>
    </row>
    <row r="58" spans="30:37" x14ac:dyDescent="0.3">
      <c r="AD58" s="108" t="e">
        <f t="shared" si="7"/>
        <v>#DIV/0!</v>
      </c>
      <c r="AE58" s="115"/>
      <c r="AF58" s="115"/>
      <c r="AG58" s="115"/>
      <c r="AH58" s="115"/>
      <c r="AI58" s="115"/>
      <c r="AJ58" s="115"/>
      <c r="AK58" s="115"/>
    </row>
    <row r="59" spans="30:37" x14ac:dyDescent="0.3">
      <c r="AD59" s="108" t="e">
        <f t="shared" si="7"/>
        <v>#DIV/0!</v>
      </c>
      <c r="AE59" s="115"/>
      <c r="AF59" s="115"/>
      <c r="AG59" s="115"/>
      <c r="AH59" s="115"/>
      <c r="AI59" s="115"/>
      <c r="AJ59" s="115"/>
      <c r="AK59" s="115"/>
    </row>
    <row r="60" spans="30:37" x14ac:dyDescent="0.3">
      <c r="AD60" s="108" t="e">
        <f t="shared" si="7"/>
        <v>#DIV/0!</v>
      </c>
      <c r="AE60" s="115"/>
      <c r="AF60" s="115"/>
      <c r="AG60" s="115"/>
      <c r="AH60" s="115"/>
      <c r="AI60" s="115"/>
      <c r="AJ60" s="115"/>
      <c r="AK60" s="115"/>
    </row>
    <row r="61" spans="30:37" x14ac:dyDescent="0.3">
      <c r="AD61" s="108" t="e">
        <f t="shared" si="7"/>
        <v>#DIV/0!</v>
      </c>
      <c r="AE61" s="115"/>
      <c r="AF61" s="115"/>
      <c r="AG61" s="115"/>
      <c r="AH61" s="115"/>
      <c r="AI61" s="115"/>
      <c r="AJ61" s="115"/>
      <c r="AK61" s="115"/>
    </row>
    <row r="62" spans="30:37" x14ac:dyDescent="0.3">
      <c r="AD62" s="108" t="e">
        <f t="shared" si="7"/>
        <v>#DIV/0!</v>
      </c>
      <c r="AE62" s="115"/>
      <c r="AF62" s="115"/>
      <c r="AG62" s="115"/>
      <c r="AH62" s="115"/>
      <c r="AI62" s="115"/>
      <c r="AJ62" s="115"/>
      <c r="AK62" s="115"/>
    </row>
    <row r="63" spans="30:37" x14ac:dyDescent="0.3">
      <c r="AD63" s="108" t="e">
        <f t="shared" si="7"/>
        <v>#DIV/0!</v>
      </c>
      <c r="AE63" s="115"/>
      <c r="AF63" s="115"/>
      <c r="AG63" s="115"/>
      <c r="AH63" s="115"/>
      <c r="AI63" s="115"/>
      <c r="AJ63" s="115"/>
      <c r="AK63" s="115"/>
    </row>
    <row r="64" spans="30:37" x14ac:dyDescent="0.3">
      <c r="AD64" s="108" t="e">
        <f t="shared" si="7"/>
        <v>#DIV/0!</v>
      </c>
      <c r="AE64" s="115"/>
      <c r="AF64" s="115"/>
      <c r="AG64" s="115"/>
      <c r="AH64" s="115"/>
      <c r="AI64" s="115"/>
      <c r="AJ64" s="115"/>
      <c r="AK64" s="115"/>
    </row>
    <row r="65" spans="30:37" x14ac:dyDescent="0.3">
      <c r="AD65" s="108" t="e">
        <f t="shared" si="7"/>
        <v>#DIV/0!</v>
      </c>
      <c r="AE65" s="115"/>
      <c r="AF65" s="115"/>
      <c r="AG65" s="115"/>
      <c r="AH65" s="115"/>
      <c r="AI65" s="115"/>
      <c r="AJ65" s="115"/>
      <c r="AK65" s="115"/>
    </row>
    <row r="66" spans="30:37" x14ac:dyDescent="0.3">
      <c r="AD66" s="108" t="e">
        <f t="shared" si="7"/>
        <v>#DIV/0!</v>
      </c>
      <c r="AE66" s="115"/>
      <c r="AF66" s="115"/>
      <c r="AG66" s="115"/>
      <c r="AH66" s="115"/>
      <c r="AI66" s="115"/>
      <c r="AJ66" s="115"/>
      <c r="AK66" s="115"/>
    </row>
    <row r="67" spans="30:37" x14ac:dyDescent="0.3">
      <c r="AD67" s="108" t="e">
        <f t="shared" si="7"/>
        <v>#DIV/0!</v>
      </c>
      <c r="AE67" s="115"/>
      <c r="AF67" s="115"/>
      <c r="AG67" s="115"/>
      <c r="AH67" s="115"/>
      <c r="AI67" s="115"/>
      <c r="AJ67" s="115"/>
      <c r="AK67" s="115"/>
    </row>
    <row r="68" spans="30:37" x14ac:dyDescent="0.3">
      <c r="AD68" s="108" t="e">
        <f t="shared" si="7"/>
        <v>#DIV/0!</v>
      </c>
      <c r="AE68" s="115"/>
      <c r="AF68" s="115"/>
      <c r="AG68" s="115"/>
      <c r="AH68" s="115"/>
      <c r="AI68" s="115"/>
      <c r="AJ68" s="115"/>
      <c r="AK68" s="115"/>
    </row>
    <row r="69" spans="30:37" x14ac:dyDescent="0.3">
      <c r="AD69" s="108" t="e">
        <f t="shared" si="7"/>
        <v>#DIV/0!</v>
      </c>
      <c r="AE69" s="115"/>
      <c r="AF69" s="115"/>
      <c r="AG69" s="115"/>
      <c r="AH69" s="115"/>
      <c r="AI69" s="115"/>
      <c r="AJ69" s="115"/>
      <c r="AK69" s="115"/>
    </row>
    <row r="70" spans="30:37" x14ac:dyDescent="0.3">
      <c r="AD70" s="108" t="e">
        <f t="shared" si="7"/>
        <v>#DIV/0!</v>
      </c>
      <c r="AE70" s="115"/>
      <c r="AF70" s="115"/>
      <c r="AG70" s="115"/>
      <c r="AH70" s="115"/>
      <c r="AI70" s="115"/>
      <c r="AJ70" s="115"/>
      <c r="AK70" s="115"/>
    </row>
    <row r="71" spans="30:37" x14ac:dyDescent="0.3">
      <c r="AD71" s="108" t="e">
        <f t="shared" si="7"/>
        <v>#DIV/0!</v>
      </c>
      <c r="AE71" s="115"/>
      <c r="AF71" s="115"/>
      <c r="AG71" s="115"/>
      <c r="AH71" s="115"/>
      <c r="AI71" s="115"/>
      <c r="AJ71" s="115"/>
      <c r="AK71" s="115"/>
    </row>
    <row r="72" spans="30:37" x14ac:dyDescent="0.3">
      <c r="AD72" s="108" t="e">
        <f t="shared" si="7"/>
        <v>#DIV/0!</v>
      </c>
      <c r="AE72" s="115"/>
      <c r="AF72" s="115"/>
      <c r="AG72" s="115"/>
      <c r="AH72" s="115"/>
      <c r="AI72" s="115"/>
      <c r="AJ72" s="115"/>
      <c r="AK72" s="115"/>
    </row>
    <row r="73" spans="30:37" x14ac:dyDescent="0.3">
      <c r="AD73" s="108" t="e">
        <f t="shared" si="7"/>
        <v>#DIV/0!</v>
      </c>
      <c r="AE73" s="115"/>
      <c r="AF73" s="115"/>
      <c r="AG73" s="115"/>
      <c r="AH73" s="115"/>
      <c r="AI73" s="115"/>
      <c r="AJ73" s="115"/>
      <c r="AK73" s="115"/>
    </row>
    <row r="74" spans="30:37" x14ac:dyDescent="0.3">
      <c r="AD74" s="108" t="e">
        <f t="shared" si="7"/>
        <v>#DIV/0!</v>
      </c>
      <c r="AE74" s="115"/>
      <c r="AF74" s="115"/>
      <c r="AG74" s="115"/>
      <c r="AH74" s="115"/>
      <c r="AI74" s="115"/>
      <c r="AJ74" s="115"/>
      <c r="AK74" s="115"/>
    </row>
    <row r="75" spans="30:37" x14ac:dyDescent="0.3">
      <c r="AD75" s="108" t="e">
        <f t="shared" si="7"/>
        <v>#DIV/0!</v>
      </c>
      <c r="AE75" s="115"/>
      <c r="AF75" s="115"/>
      <c r="AG75" s="115"/>
      <c r="AH75" s="115"/>
      <c r="AI75" s="115"/>
      <c r="AJ75" s="115"/>
      <c r="AK75" s="115"/>
    </row>
    <row r="76" spans="30:37" x14ac:dyDescent="0.3">
      <c r="AD76" s="108" t="e">
        <f t="shared" si="7"/>
        <v>#DIV/0!</v>
      </c>
      <c r="AE76" s="115"/>
      <c r="AF76" s="115"/>
      <c r="AG76" s="115"/>
      <c r="AH76" s="115"/>
      <c r="AI76" s="115"/>
      <c r="AJ76" s="115"/>
      <c r="AK76" s="115"/>
    </row>
    <row r="77" spans="30:37" x14ac:dyDescent="0.3">
      <c r="AD77" s="108" t="e">
        <f t="shared" si="7"/>
        <v>#DIV/0!</v>
      </c>
      <c r="AE77" s="115"/>
      <c r="AF77" s="115"/>
      <c r="AG77" s="115"/>
      <c r="AH77" s="115"/>
      <c r="AI77" s="115"/>
      <c r="AJ77" s="115"/>
      <c r="AK77" s="115"/>
    </row>
    <row r="78" spans="30:37" x14ac:dyDescent="0.3">
      <c r="AD78" s="108" t="e">
        <f t="shared" si="7"/>
        <v>#DIV/0!</v>
      </c>
      <c r="AE78" s="115"/>
      <c r="AF78" s="115"/>
      <c r="AG78" s="115"/>
      <c r="AH78" s="115"/>
      <c r="AI78" s="115"/>
      <c r="AJ78" s="115"/>
      <c r="AK78" s="115"/>
    </row>
    <row r="79" spans="30:37" x14ac:dyDescent="0.3">
      <c r="AD79" s="108" t="e">
        <f t="shared" si="7"/>
        <v>#DIV/0!</v>
      </c>
      <c r="AE79" s="115"/>
      <c r="AF79" s="115"/>
      <c r="AG79" s="115"/>
      <c r="AH79" s="115"/>
      <c r="AI79" s="115"/>
      <c r="AJ79" s="115"/>
      <c r="AK79" s="115"/>
    </row>
    <row r="80" spans="30:37" x14ac:dyDescent="0.3">
      <c r="AD80" s="108" t="e">
        <f t="shared" si="7"/>
        <v>#DIV/0!</v>
      </c>
      <c r="AE80" s="115"/>
      <c r="AF80" s="115"/>
      <c r="AG80" s="115"/>
      <c r="AH80" s="115"/>
      <c r="AI80" s="115"/>
      <c r="AJ80" s="115"/>
      <c r="AK80" s="115"/>
    </row>
    <row r="81" spans="30:37" x14ac:dyDescent="0.3">
      <c r="AD81" s="108" t="e">
        <f t="shared" si="7"/>
        <v>#DIV/0!</v>
      </c>
      <c r="AE81" s="115"/>
      <c r="AF81" s="115"/>
      <c r="AG81" s="115"/>
      <c r="AH81" s="115"/>
      <c r="AI81" s="115"/>
      <c r="AJ81" s="115"/>
      <c r="AK81" s="115"/>
    </row>
    <row r="82" spans="30:37" x14ac:dyDescent="0.3">
      <c r="AD82" s="108" t="e">
        <f t="shared" si="7"/>
        <v>#DIV/0!</v>
      </c>
      <c r="AE82" s="115"/>
      <c r="AF82" s="115"/>
      <c r="AG82" s="115"/>
      <c r="AH82" s="115"/>
      <c r="AI82" s="115"/>
      <c r="AJ82" s="115"/>
      <c r="AK82" s="115"/>
    </row>
    <row r="83" spans="30:37" x14ac:dyDescent="0.3">
      <c r="AD83" s="108" t="e">
        <f t="shared" si="7"/>
        <v>#DIV/0!</v>
      </c>
      <c r="AE83" s="115"/>
      <c r="AF83" s="115"/>
      <c r="AG83" s="115"/>
      <c r="AH83" s="115"/>
      <c r="AI83" s="115"/>
      <c r="AJ83" s="115"/>
      <c r="AK83" s="115"/>
    </row>
    <row r="84" spans="30:37" x14ac:dyDescent="0.3">
      <c r="AD84" s="108" t="e">
        <f t="shared" si="7"/>
        <v>#DIV/0!</v>
      </c>
      <c r="AE84" s="115"/>
      <c r="AF84" s="115"/>
      <c r="AG84" s="115"/>
      <c r="AH84" s="115"/>
      <c r="AI84" s="115"/>
      <c r="AJ84" s="115"/>
      <c r="AK84" s="115"/>
    </row>
    <row r="85" spans="30:37" x14ac:dyDescent="0.3">
      <c r="AD85" s="108" t="e">
        <f t="shared" si="7"/>
        <v>#DIV/0!</v>
      </c>
      <c r="AE85" s="115"/>
      <c r="AF85" s="115"/>
      <c r="AG85" s="115"/>
      <c r="AH85" s="115"/>
      <c r="AI85" s="115"/>
      <c r="AJ85" s="115"/>
      <c r="AK85" s="115"/>
    </row>
    <row r="86" spans="30:37" x14ac:dyDescent="0.3">
      <c r="AD86" s="108" t="e">
        <f t="shared" si="7"/>
        <v>#DIV/0!</v>
      </c>
      <c r="AE86" s="115"/>
      <c r="AF86" s="115"/>
      <c r="AG86" s="115"/>
      <c r="AH86" s="115"/>
      <c r="AI86" s="115"/>
      <c r="AJ86" s="115"/>
      <c r="AK86" s="115"/>
    </row>
    <row r="87" spans="30:37" x14ac:dyDescent="0.3">
      <c r="AD87" s="108" t="e">
        <f t="shared" si="7"/>
        <v>#DIV/0!</v>
      </c>
      <c r="AE87" s="115"/>
      <c r="AF87" s="115"/>
      <c r="AG87" s="115"/>
      <c r="AH87" s="115"/>
      <c r="AI87" s="115"/>
      <c r="AJ87" s="115"/>
      <c r="AK87" s="115"/>
    </row>
    <row r="88" spans="30:37" x14ac:dyDescent="0.3">
      <c r="AD88" s="108" t="e">
        <f t="shared" si="7"/>
        <v>#DIV/0!</v>
      </c>
      <c r="AE88" s="115"/>
      <c r="AF88" s="115"/>
      <c r="AG88" s="115"/>
      <c r="AH88" s="115"/>
      <c r="AI88" s="115"/>
      <c r="AJ88" s="115"/>
      <c r="AK88" s="115"/>
    </row>
    <row r="89" spans="30:37" x14ac:dyDescent="0.3">
      <c r="AD89" s="108" t="e">
        <f t="shared" si="7"/>
        <v>#DIV/0!</v>
      </c>
      <c r="AE89" s="115"/>
      <c r="AF89" s="115"/>
      <c r="AG89" s="115"/>
      <c r="AH89" s="115"/>
      <c r="AI89" s="115"/>
      <c r="AJ89" s="115"/>
      <c r="AK89" s="115"/>
    </row>
    <row r="90" spans="30:37" x14ac:dyDescent="0.3">
      <c r="AD90" s="108" t="e">
        <f t="shared" si="7"/>
        <v>#DIV/0!</v>
      </c>
      <c r="AE90" s="115"/>
      <c r="AF90" s="115"/>
      <c r="AG90" s="115"/>
      <c r="AH90" s="115"/>
      <c r="AI90" s="115"/>
      <c r="AJ90" s="115"/>
      <c r="AK90" s="115"/>
    </row>
    <row r="91" spans="30:37" x14ac:dyDescent="0.3">
      <c r="AD91" s="108" t="e">
        <f t="shared" si="7"/>
        <v>#DIV/0!</v>
      </c>
      <c r="AE91" s="115"/>
      <c r="AF91" s="115"/>
      <c r="AG91" s="115"/>
      <c r="AH91" s="115"/>
      <c r="AI91" s="115"/>
      <c r="AJ91" s="115"/>
      <c r="AK91" s="115"/>
    </row>
    <row r="92" spans="30:37" x14ac:dyDescent="0.3">
      <c r="AD92" s="108" t="e">
        <f t="shared" si="7"/>
        <v>#DIV/0!</v>
      </c>
      <c r="AE92" s="115"/>
      <c r="AF92" s="115"/>
      <c r="AG92" s="115"/>
      <c r="AH92" s="115"/>
      <c r="AI92" s="115"/>
      <c r="AJ92" s="115"/>
      <c r="AK92" s="115"/>
    </row>
    <row r="93" spans="30:37" x14ac:dyDescent="0.3">
      <c r="AD93" s="108" t="e">
        <f t="shared" si="7"/>
        <v>#DIV/0!</v>
      </c>
      <c r="AE93" s="115"/>
      <c r="AF93" s="115"/>
      <c r="AG93" s="115"/>
      <c r="AH93" s="115"/>
      <c r="AI93" s="115"/>
      <c r="AJ93" s="115"/>
      <c r="AK93" s="115"/>
    </row>
    <row r="94" spans="30:37" x14ac:dyDescent="0.3">
      <c r="AD94" s="108" t="e">
        <f t="shared" si="7"/>
        <v>#DIV/0!</v>
      </c>
      <c r="AE94" s="115"/>
      <c r="AF94" s="115"/>
      <c r="AG94" s="115"/>
      <c r="AH94" s="115"/>
      <c r="AI94" s="115"/>
      <c r="AJ94" s="115"/>
      <c r="AK94" s="115"/>
    </row>
    <row r="95" spans="30:37" x14ac:dyDescent="0.3">
      <c r="AD95" s="108" t="e">
        <f t="shared" ref="AD95:AD109" si="8">U95/T95</f>
        <v>#DIV/0!</v>
      </c>
      <c r="AE95" s="115"/>
      <c r="AF95" s="115"/>
      <c r="AG95" s="115"/>
      <c r="AH95" s="115"/>
      <c r="AI95" s="115"/>
      <c r="AJ95" s="115"/>
      <c r="AK95" s="115"/>
    </row>
    <row r="96" spans="30:37" x14ac:dyDescent="0.3">
      <c r="AD96" s="108" t="e">
        <f t="shared" si="8"/>
        <v>#DIV/0!</v>
      </c>
      <c r="AE96" s="115"/>
      <c r="AF96" s="115"/>
      <c r="AG96" s="115"/>
      <c r="AH96" s="115"/>
      <c r="AI96" s="115"/>
      <c r="AJ96" s="115"/>
      <c r="AK96" s="115"/>
    </row>
    <row r="97" spans="30:37" x14ac:dyDescent="0.3">
      <c r="AD97" s="108" t="e">
        <f t="shared" si="8"/>
        <v>#DIV/0!</v>
      </c>
      <c r="AE97" s="115"/>
      <c r="AF97" s="115"/>
      <c r="AG97" s="115"/>
      <c r="AH97" s="115"/>
      <c r="AI97" s="115"/>
      <c r="AJ97" s="115"/>
      <c r="AK97" s="115"/>
    </row>
    <row r="98" spans="30:37" x14ac:dyDescent="0.3">
      <c r="AD98" s="108" t="e">
        <f t="shared" si="8"/>
        <v>#DIV/0!</v>
      </c>
      <c r="AE98" s="115"/>
      <c r="AF98" s="115"/>
      <c r="AG98" s="115"/>
      <c r="AH98" s="115"/>
      <c r="AI98" s="115"/>
      <c r="AJ98" s="115"/>
      <c r="AK98" s="115"/>
    </row>
    <row r="99" spans="30:37" x14ac:dyDescent="0.3">
      <c r="AD99" s="108" t="e">
        <f t="shared" si="8"/>
        <v>#DIV/0!</v>
      </c>
      <c r="AE99" s="115"/>
      <c r="AF99" s="115"/>
      <c r="AG99" s="115"/>
      <c r="AH99" s="115"/>
      <c r="AI99" s="115"/>
      <c r="AJ99" s="115"/>
      <c r="AK99" s="115"/>
    </row>
    <row r="100" spans="30:37" x14ac:dyDescent="0.3">
      <c r="AD100" s="108" t="e">
        <f t="shared" si="8"/>
        <v>#DIV/0!</v>
      </c>
      <c r="AE100" s="115"/>
      <c r="AF100" s="115"/>
      <c r="AG100" s="115"/>
      <c r="AH100" s="115"/>
      <c r="AI100" s="115"/>
      <c r="AJ100" s="115"/>
      <c r="AK100" s="115"/>
    </row>
    <row r="101" spans="30:37" x14ac:dyDescent="0.3">
      <c r="AD101" s="108" t="e">
        <f t="shared" si="8"/>
        <v>#DIV/0!</v>
      </c>
      <c r="AE101" s="115"/>
      <c r="AF101" s="115"/>
      <c r="AG101" s="115"/>
      <c r="AH101" s="115"/>
      <c r="AI101" s="115"/>
      <c r="AJ101" s="115"/>
      <c r="AK101" s="115"/>
    </row>
    <row r="102" spans="30:37" x14ac:dyDescent="0.3">
      <c r="AD102" s="108" t="e">
        <f t="shared" si="8"/>
        <v>#DIV/0!</v>
      </c>
      <c r="AE102" s="115"/>
      <c r="AF102" s="115"/>
      <c r="AG102" s="115"/>
      <c r="AH102" s="115"/>
      <c r="AI102" s="115"/>
      <c r="AJ102" s="115"/>
      <c r="AK102" s="115"/>
    </row>
    <row r="103" spans="30:37" x14ac:dyDescent="0.3">
      <c r="AD103" s="108" t="e">
        <f t="shared" si="8"/>
        <v>#DIV/0!</v>
      </c>
      <c r="AE103" s="115"/>
      <c r="AF103" s="115"/>
      <c r="AG103" s="115"/>
      <c r="AH103" s="115"/>
      <c r="AI103" s="115"/>
      <c r="AJ103" s="115"/>
      <c r="AK103" s="115"/>
    </row>
    <row r="104" spans="30:37" x14ac:dyDescent="0.3">
      <c r="AD104" s="108" t="e">
        <f t="shared" si="8"/>
        <v>#DIV/0!</v>
      </c>
      <c r="AE104" s="115"/>
      <c r="AF104" s="115"/>
      <c r="AG104" s="115"/>
      <c r="AH104" s="115"/>
      <c r="AI104" s="115"/>
      <c r="AJ104" s="115"/>
      <c r="AK104" s="115"/>
    </row>
    <row r="105" spans="30:37" x14ac:dyDescent="0.3">
      <c r="AD105" s="108" t="e">
        <f t="shared" si="8"/>
        <v>#DIV/0!</v>
      </c>
      <c r="AE105" s="115"/>
      <c r="AF105" s="115"/>
      <c r="AG105" s="115"/>
      <c r="AH105" s="115"/>
      <c r="AI105" s="115"/>
      <c r="AJ105" s="115"/>
      <c r="AK105" s="115"/>
    </row>
    <row r="106" spans="30:37" x14ac:dyDescent="0.3">
      <c r="AD106" s="108" t="e">
        <f t="shared" si="8"/>
        <v>#DIV/0!</v>
      </c>
      <c r="AE106" s="115"/>
      <c r="AF106" s="115"/>
      <c r="AG106" s="115"/>
      <c r="AH106" s="115"/>
      <c r="AI106" s="115"/>
      <c r="AJ106" s="115"/>
      <c r="AK106" s="115"/>
    </row>
    <row r="107" spans="30:37" x14ac:dyDescent="0.3">
      <c r="AD107" s="108" t="e">
        <f t="shared" si="8"/>
        <v>#DIV/0!</v>
      </c>
      <c r="AE107" s="115"/>
      <c r="AF107" s="115"/>
      <c r="AG107" s="115"/>
      <c r="AH107" s="115"/>
      <c r="AI107" s="115"/>
      <c r="AJ107" s="115"/>
      <c r="AK107" s="115"/>
    </row>
    <row r="108" spans="30:37" x14ac:dyDescent="0.3">
      <c r="AD108" s="108" t="e">
        <f t="shared" si="8"/>
        <v>#DIV/0!</v>
      </c>
      <c r="AE108" s="115"/>
      <c r="AF108" s="115"/>
      <c r="AG108" s="115"/>
      <c r="AH108" s="115"/>
      <c r="AI108" s="115"/>
      <c r="AJ108" s="115"/>
      <c r="AK108" s="115"/>
    </row>
    <row r="109" spans="30:37" x14ac:dyDescent="0.3">
      <c r="AD109" s="280" t="e">
        <f t="shared" si="8"/>
        <v>#DIV/0!</v>
      </c>
      <c r="AE109" s="281"/>
      <c r="AF109" s="281"/>
      <c r="AG109" s="281"/>
      <c r="AH109" s="281"/>
      <c r="AI109" s="282"/>
      <c r="AJ109" s="281"/>
      <c r="AK109" s="281"/>
    </row>
    <row r="110" spans="30:37" x14ac:dyDescent="0.3">
      <c r="AD110" s="108"/>
    </row>
    <row r="111" spans="30:37" x14ac:dyDescent="0.3">
      <c r="AD111" s="108"/>
    </row>
    <row r="112" spans="30:37" x14ac:dyDescent="0.3">
      <c r="AD112" s="108"/>
    </row>
    <row r="113" spans="30:30" x14ac:dyDescent="0.3">
      <c r="AD113" s="108"/>
    </row>
    <row r="114" spans="30:30" x14ac:dyDescent="0.3">
      <c r="AD114" s="108"/>
    </row>
    <row r="115" spans="30:30" x14ac:dyDescent="0.3">
      <c r="AD115" s="108"/>
    </row>
    <row r="116" spans="30:30" x14ac:dyDescent="0.3">
      <c r="AD116" s="108"/>
    </row>
    <row r="117" spans="30:30" x14ac:dyDescent="0.3">
      <c r="AD117" s="108"/>
    </row>
    <row r="118" spans="30:30" x14ac:dyDescent="0.3">
      <c r="AD118" s="108"/>
    </row>
    <row r="119" spans="30:30" x14ac:dyDescent="0.3">
      <c r="AD119" s="108"/>
    </row>
    <row r="120" spans="30:30" x14ac:dyDescent="0.3">
      <c r="AD120" s="108"/>
    </row>
    <row r="121" spans="30:30" x14ac:dyDescent="0.3">
      <c r="AD121" s="108"/>
    </row>
    <row r="122" spans="30:30" x14ac:dyDescent="0.3">
      <c r="AD122" s="108"/>
    </row>
    <row r="123" spans="30:30" x14ac:dyDescent="0.3">
      <c r="AD123" s="108"/>
    </row>
    <row r="124" spans="30:30" x14ac:dyDescent="0.3">
      <c r="AD124" s="108"/>
    </row>
    <row r="125" spans="30:30" x14ac:dyDescent="0.3">
      <c r="AD125" s="108"/>
    </row>
    <row r="126" spans="30:30" x14ac:dyDescent="0.3">
      <c r="AD126" s="108"/>
    </row>
    <row r="127" spans="30:30" x14ac:dyDescent="0.3">
      <c r="AD127" s="108"/>
    </row>
    <row r="128" spans="30:30" x14ac:dyDescent="0.3">
      <c r="AD128" s="280"/>
    </row>
  </sheetData>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65C5ED1C7A954196F86A52D64A16E2" ma:contentTypeVersion="10" ma:contentTypeDescription="Create a new document." ma:contentTypeScope="" ma:versionID="1a0c3e1a9876973203b1ce4631eaed4e">
  <xsd:schema xmlns:xsd="http://www.w3.org/2001/XMLSchema" xmlns:xs="http://www.w3.org/2001/XMLSchema" xmlns:p="http://schemas.microsoft.com/office/2006/metadata/properties" xmlns:ns2="f026ed3c-47c4-4a0a-93fa-5657387c1515" targetNamespace="http://schemas.microsoft.com/office/2006/metadata/properties" ma:root="true" ma:fieldsID="618d8a813408111cb8d75bfab8d8094d" ns2:_="">
    <xsd:import namespace="f026ed3c-47c4-4a0a-93fa-5657387c15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26ed3c-47c4-4a0a-93fa-5657387c15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3e6a66f-74ee-4d76-9873-5e4dc16118a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26ed3c-47c4-4a0a-93fa-5657387c15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F9C6AE-97C5-4B61-B845-4F79D17A2DB2}">
  <ds:schemaRefs>
    <ds:schemaRef ds:uri="http://schemas.microsoft.com/sharepoint/v3/contenttype/forms"/>
  </ds:schemaRefs>
</ds:datastoreItem>
</file>

<file path=customXml/itemProps2.xml><?xml version="1.0" encoding="utf-8"?>
<ds:datastoreItem xmlns:ds="http://schemas.openxmlformats.org/officeDocument/2006/customXml" ds:itemID="{14990F0F-C554-48D1-AF0F-2B39F6D81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26ed3c-47c4-4a0a-93fa-5657387c15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B2617C-0601-49F0-A791-01A9AB097E25}">
  <ds:schemaRef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04a3d198-a65d-42a6-8390-95d5b8cfe6af"/>
    <ds:schemaRef ds:uri="http://purl.org/dc/terms/"/>
    <ds:schemaRef ds:uri="http://schemas.openxmlformats.org/package/2006/metadata/core-properties"/>
    <ds:schemaRef ds:uri="511e59d6-0afb-4c42-9ea8-64c220452a43"/>
    <ds:schemaRef ds:uri="http://schemas.microsoft.com/office/2006/metadata/properties"/>
    <ds:schemaRef ds:uri="f026ed3c-47c4-4a0a-93fa-5657387c15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Sheet6</vt:lpstr>
      <vt:lpstr>Sheet1</vt:lpstr>
      <vt:lpstr>Technology Wise Summary</vt:lpstr>
      <vt:lpstr>Sheet5</vt:lpstr>
      <vt:lpstr>Sheet7</vt:lpstr>
      <vt:lpstr>Main Pivot (3)</vt:lpstr>
      <vt:lpstr>Sheet8</vt:lpstr>
      <vt:lpstr>Customer Wise Summary</vt:lpstr>
      <vt:lpstr>Comments</vt:lpstr>
      <vt:lpstr>AB Report</vt:lpstr>
      <vt:lpstr>Data</vt:lpstr>
      <vt:lpstr>Sheet3</vt:lpstr>
      <vt:lpstr>Revised &amp; Closed</vt:lpstr>
      <vt:lpstr>Sales (Dec-Jan)</vt:lpstr>
      <vt:lpstr>Sheet2</vt:lpstr>
      <vt:lpstr>Pivot Summary</vt:lpstr>
      <vt:lpstr>Sheet4</vt:lpstr>
      <vt:lpstr>Sheet1 (2)</vt:lpstr>
      <vt:lpstr>Main Pivot (2)</vt:lpstr>
      <vt:lpstr>Data!Print_Area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Mohsin Alqamari - Controlling</dc:creator>
  <cp:keywords/>
  <dc:description/>
  <cp:lastModifiedBy>Abdul Qadir  Khan</cp:lastModifiedBy>
  <cp:revision/>
  <cp:lastPrinted>2026-04-03T07:28:25Z</cp:lastPrinted>
  <dcterms:created xsi:type="dcterms:W3CDTF">2022-05-09T09:08:42Z</dcterms:created>
  <dcterms:modified xsi:type="dcterms:W3CDTF">2026-05-01T07:05:22Z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0x010100C765C5ED1C7A954196F86A52D64A16E2</vt:lpwstr>
  </property>
  <property fmtid="{D5CDD505-2E9C-101B-9397-08002B2CF9AE}" pid="3" name="CustomUiType">
    <vt:lpwstr>2</vt:lpwstr>
  </property>
  <property fmtid="{D5CDD505-2E9C-101B-9397-08002B2CF9AE}" pid="4" name="MediaServiceImageTags">
    <vt:lpwstr/>
  </property>
</Properties>
</file>